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_viitearvot" sheetId="1" state="hidden" r:id="rId3"/>
    <sheet name="H-H Testit" sheetId="2" state="visible" r:id="rId4"/>
    <sheet name="📋 Ohjee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<sst xmlns="http://schemas.openxmlformats.org/spreadsheetml/2006/main" count="880" uniqueCount="301">
  <si>
    <t xml:space="preserve">ikäluokka</t>
  </si>
  <si>
    <t xml:space="preserve">sukupuoli</t>
  </si>
  <si>
    <t xml:space="preserve">testi</t>
  </si>
  <si>
    <t xml:space="preserve">taso5</t>
  </si>
  <si>
    <t xml:space="preserve">taso4</t>
  </si>
  <si>
    <t xml:space="preserve">taso3</t>
  </si>
  <si>
    <t xml:space="preserve">taso2</t>
  </si>
  <si>
    <t xml:space="preserve">taso1</t>
  </si>
  <si>
    <t xml:space="preserve">avain</t>
  </si>
  <si>
    <t xml:space="preserve">t5_lookup</t>
  </si>
  <si>
    <t xml:space="preserve">t4_lookup</t>
  </si>
  <si>
    <t xml:space="preserve">t3_lookup</t>
  </si>
  <si>
    <t xml:space="preserve">t2_lookup</t>
  </si>
  <si>
    <t xml:space="preserve">P10</t>
  </si>
  <si>
    <t xml:space="preserve">P</t>
  </si>
  <si>
    <t xml:space="preserve">lin5m</t>
  </si>
  <si>
    <t xml:space="preserve">P10lin5m</t>
  </si>
  <si>
    <t xml:space="preserve">P11</t>
  </si>
  <si>
    <t xml:space="preserve">P11lin5m</t>
  </si>
  <si>
    <t xml:space="preserve">P12</t>
  </si>
  <si>
    <t xml:space="preserve">P12lin5m</t>
  </si>
  <si>
    <t xml:space="preserve">P13</t>
  </si>
  <si>
    <t xml:space="preserve">P13lin5m</t>
  </si>
  <si>
    <t xml:space="preserve">P14</t>
  </si>
  <si>
    <t xml:space="preserve">P14lin5m</t>
  </si>
  <si>
    <t xml:space="preserve">P15</t>
  </si>
  <si>
    <t xml:space="preserve">P15lin5m</t>
  </si>
  <si>
    <t xml:space="preserve">P16</t>
  </si>
  <si>
    <t xml:space="preserve">P16lin5m</t>
  </si>
  <si>
    <t xml:space="preserve">P17</t>
  </si>
  <si>
    <t xml:space="preserve">P17lin5m</t>
  </si>
  <si>
    <t xml:space="preserve">P18</t>
  </si>
  <si>
    <t xml:space="preserve">P18lin5m</t>
  </si>
  <si>
    <t xml:space="preserve">P19</t>
  </si>
  <si>
    <t xml:space="preserve">P19lin5m</t>
  </si>
  <si>
    <t xml:space="preserve">lin10m</t>
  </si>
  <si>
    <t xml:space="preserve">P10lin10m</t>
  </si>
  <si>
    <t xml:space="preserve">P11lin10m</t>
  </si>
  <si>
    <t xml:space="preserve">P12lin10m</t>
  </si>
  <si>
    <t xml:space="preserve">P13lin10m</t>
  </si>
  <si>
    <t xml:space="preserve">P14lin10m</t>
  </si>
  <si>
    <t xml:space="preserve">P15lin10m</t>
  </si>
  <si>
    <t xml:space="preserve">P16lin10m</t>
  </si>
  <si>
    <t xml:space="preserve">P17lin10m</t>
  </si>
  <si>
    <t xml:space="preserve">P18lin10m</t>
  </si>
  <si>
    <t xml:space="preserve">P19lin10m</t>
  </si>
  <si>
    <t xml:space="preserve">lin20m</t>
  </si>
  <si>
    <t xml:space="preserve">P10lin20m</t>
  </si>
  <si>
    <t xml:space="preserve">P11lin20m</t>
  </si>
  <si>
    <t xml:space="preserve">P12lin20m</t>
  </si>
  <si>
    <t xml:space="preserve">P13lin20m</t>
  </si>
  <si>
    <t xml:space="preserve">P14lin20m</t>
  </si>
  <si>
    <t xml:space="preserve">P15lin20m</t>
  </si>
  <si>
    <t xml:space="preserve">P16lin20m</t>
  </si>
  <si>
    <t xml:space="preserve">P17lin20m</t>
  </si>
  <si>
    <t xml:space="preserve">P18lin20m</t>
  </si>
  <si>
    <t xml:space="preserve">P19lin20m</t>
  </si>
  <si>
    <t xml:space="preserve">lin30m</t>
  </si>
  <si>
    <t xml:space="preserve">P10lin30m</t>
  </si>
  <si>
    <t xml:space="preserve">P11lin30m</t>
  </si>
  <si>
    <t xml:space="preserve">P12lin30m</t>
  </si>
  <si>
    <t xml:space="preserve">P13lin30m</t>
  </si>
  <si>
    <t xml:space="preserve">P14lin30m</t>
  </si>
  <si>
    <t xml:space="preserve">P15lin30m</t>
  </si>
  <si>
    <t xml:space="preserve">P16lin30m</t>
  </si>
  <si>
    <t xml:space="preserve">P17lin30m</t>
  </si>
  <si>
    <t xml:space="preserve">P18lin30m</t>
  </si>
  <si>
    <t xml:space="preserve">P19lin30m</t>
  </si>
  <si>
    <t xml:space="preserve">kasirata</t>
  </si>
  <si>
    <t xml:space="preserve">P10kasirata</t>
  </si>
  <si>
    <t xml:space="preserve">P11kasirata</t>
  </si>
  <si>
    <t xml:space="preserve">P12kasirata</t>
  </si>
  <si>
    <t xml:space="preserve">P13kasirata</t>
  </si>
  <si>
    <t xml:space="preserve">P14kasirata</t>
  </si>
  <si>
    <t xml:space="preserve">P15kasirata</t>
  </si>
  <si>
    <t xml:space="preserve">P16kasirata</t>
  </si>
  <si>
    <t xml:space="preserve">P17kasirata</t>
  </si>
  <si>
    <t xml:space="preserve">P18kasirata</t>
  </si>
  <si>
    <t xml:space="preserve">P19kasirata</t>
  </si>
  <si>
    <t xml:space="preserve">smjuoksu</t>
  </si>
  <si>
    <t xml:space="preserve">P10smjuoksu</t>
  </si>
  <si>
    <t xml:space="preserve">P11smjuoksu</t>
  </si>
  <si>
    <t xml:space="preserve">P12smjuoksu</t>
  </si>
  <si>
    <t xml:space="preserve">P13smjuoksu</t>
  </si>
  <si>
    <t xml:space="preserve">P14smjuoksu</t>
  </si>
  <si>
    <t xml:space="preserve">P15smjuoksu</t>
  </si>
  <si>
    <t xml:space="preserve">P16smjuoksu</t>
  </si>
  <si>
    <t xml:space="preserve">P17smjuoksu</t>
  </si>
  <si>
    <t xml:space="preserve">P18smjuoksu</t>
  </si>
  <si>
    <t xml:space="preserve">P19smjuoksu</t>
  </si>
  <si>
    <t xml:space="preserve">smpallo</t>
  </si>
  <si>
    <t xml:space="preserve">P10smpallo</t>
  </si>
  <si>
    <t xml:space="preserve">P11smpallo</t>
  </si>
  <si>
    <t xml:space="preserve">P12smpallo</t>
  </si>
  <si>
    <t xml:space="preserve">P13smpallo</t>
  </si>
  <si>
    <t xml:space="preserve">P14smpallo</t>
  </si>
  <si>
    <t xml:space="preserve">P15smpallo</t>
  </si>
  <si>
    <t xml:space="preserve">P16smpallo</t>
  </si>
  <si>
    <t xml:space="preserve">P17smpallo</t>
  </si>
  <si>
    <t xml:space="preserve">P18smpallo</t>
  </si>
  <si>
    <t xml:space="preserve">P19smpallo</t>
  </si>
  <si>
    <t xml:space="preserve">cmj</t>
  </si>
  <si>
    <t xml:space="preserve">P10cmj</t>
  </si>
  <si>
    <t xml:space="preserve">P11cmj</t>
  </si>
  <si>
    <t xml:space="preserve">P12cmj</t>
  </si>
  <si>
    <t xml:space="preserve">P13cmj</t>
  </si>
  <si>
    <t xml:space="preserve">P14cmj</t>
  </si>
  <si>
    <t xml:space="preserve">P15cmj</t>
  </si>
  <si>
    <t xml:space="preserve">P16cmj</t>
  </si>
  <si>
    <t xml:space="preserve">P17cmj</t>
  </si>
  <si>
    <t xml:space="preserve">P18cmj</t>
  </si>
  <si>
    <t xml:space="preserve">P19cmj</t>
  </si>
  <si>
    <t xml:space="preserve">bronco</t>
  </si>
  <si>
    <t xml:space="preserve">P10bronco</t>
  </si>
  <si>
    <t xml:space="preserve">P11bronco</t>
  </si>
  <si>
    <t xml:space="preserve">P12bronco</t>
  </si>
  <si>
    <t xml:space="preserve">P13bronco</t>
  </si>
  <si>
    <t xml:space="preserve">P14bronco</t>
  </si>
  <si>
    <t xml:space="preserve">P15bronco</t>
  </si>
  <si>
    <t xml:space="preserve">P16bronco</t>
  </si>
  <si>
    <t xml:space="preserve">P17bronco</t>
  </si>
  <si>
    <t xml:space="preserve">P18bronco</t>
  </si>
  <si>
    <t xml:space="preserve">P19bronco</t>
  </si>
  <si>
    <t xml:space="preserve">pujottelu</t>
  </si>
  <si>
    <t xml:space="preserve">P10pujottelu</t>
  </si>
  <si>
    <t xml:space="preserve">P11pujottelu</t>
  </si>
  <si>
    <t xml:space="preserve">P12pujottelu</t>
  </si>
  <si>
    <t xml:space="preserve">P13pujottelu</t>
  </si>
  <si>
    <t xml:space="preserve">P14pujottelu</t>
  </si>
  <si>
    <t xml:space="preserve">P15pujottelu</t>
  </si>
  <si>
    <t xml:space="preserve">syotto</t>
  </si>
  <si>
    <t xml:space="preserve">P10syotto</t>
  </si>
  <si>
    <t xml:space="preserve">P11syotto</t>
  </si>
  <si>
    <t xml:space="preserve">P12syotto</t>
  </si>
  <si>
    <t xml:space="preserve">P13syotto</t>
  </si>
  <si>
    <t xml:space="preserve">P14syotto</t>
  </si>
  <si>
    <t xml:space="preserve">P15syotto</t>
  </si>
  <si>
    <t xml:space="preserve">T10</t>
  </si>
  <si>
    <t xml:space="preserve">T</t>
  </si>
  <si>
    <t xml:space="preserve">T10lin5m</t>
  </si>
  <si>
    <t xml:space="preserve">T11</t>
  </si>
  <si>
    <t xml:space="preserve">T11lin5m</t>
  </si>
  <si>
    <t xml:space="preserve">T12</t>
  </si>
  <si>
    <t xml:space="preserve">T12lin5m</t>
  </si>
  <si>
    <t xml:space="preserve">T13</t>
  </si>
  <si>
    <t xml:space="preserve">T13lin5m</t>
  </si>
  <si>
    <t xml:space="preserve">T14</t>
  </si>
  <si>
    <t xml:space="preserve">T14lin5m</t>
  </si>
  <si>
    <t xml:space="preserve">T15</t>
  </si>
  <si>
    <t xml:space="preserve">T15lin5m</t>
  </si>
  <si>
    <t xml:space="preserve">T16</t>
  </si>
  <si>
    <t xml:space="preserve">T16lin5m</t>
  </si>
  <si>
    <t xml:space="preserve">T17</t>
  </si>
  <si>
    <t xml:space="preserve">T17lin5m</t>
  </si>
  <si>
    <t xml:space="preserve">T18</t>
  </si>
  <si>
    <t xml:space="preserve">T18lin5m</t>
  </si>
  <si>
    <t xml:space="preserve">T19</t>
  </si>
  <si>
    <t xml:space="preserve">T19lin5m</t>
  </si>
  <si>
    <t xml:space="preserve">T10lin10m</t>
  </si>
  <si>
    <t xml:space="preserve">T11lin10m</t>
  </si>
  <si>
    <t xml:space="preserve">T12lin10m</t>
  </si>
  <si>
    <t xml:space="preserve">T13lin10m</t>
  </si>
  <si>
    <t xml:space="preserve">T14lin10m</t>
  </si>
  <si>
    <t xml:space="preserve">T15lin10m</t>
  </si>
  <si>
    <t xml:space="preserve">T16lin10m</t>
  </si>
  <si>
    <t xml:space="preserve">T17lin10m</t>
  </si>
  <si>
    <t xml:space="preserve">T18lin10m</t>
  </si>
  <si>
    <t xml:space="preserve">T19lin10m</t>
  </si>
  <si>
    <t xml:space="preserve">T10lin20m</t>
  </si>
  <si>
    <t xml:space="preserve">T11lin20m</t>
  </si>
  <si>
    <t xml:space="preserve">T12lin20m</t>
  </si>
  <si>
    <t xml:space="preserve">T13lin20m</t>
  </si>
  <si>
    <t xml:space="preserve">T14lin20m</t>
  </si>
  <si>
    <t xml:space="preserve">T15lin20m</t>
  </si>
  <si>
    <t xml:space="preserve">T16lin20m</t>
  </si>
  <si>
    <t xml:space="preserve">T17lin20m</t>
  </si>
  <si>
    <t xml:space="preserve">T18lin20m</t>
  </si>
  <si>
    <t xml:space="preserve">T19lin20m</t>
  </si>
  <si>
    <t xml:space="preserve">T10lin30m</t>
  </si>
  <si>
    <t xml:space="preserve">T11lin30m</t>
  </si>
  <si>
    <t xml:space="preserve">T12lin30m</t>
  </si>
  <si>
    <t xml:space="preserve">T13lin30m</t>
  </si>
  <si>
    <t xml:space="preserve">T14lin30m</t>
  </si>
  <si>
    <t xml:space="preserve">T15lin30m</t>
  </si>
  <si>
    <t xml:space="preserve">T16lin30m</t>
  </si>
  <si>
    <t xml:space="preserve">T17lin30m</t>
  </si>
  <si>
    <t xml:space="preserve">T18lin30m</t>
  </si>
  <si>
    <t xml:space="preserve">T19lin30m</t>
  </si>
  <si>
    <t xml:space="preserve">T10kasirata</t>
  </si>
  <si>
    <t xml:space="preserve">T11kasirata</t>
  </si>
  <si>
    <t xml:space="preserve">T12kasirata</t>
  </si>
  <si>
    <t xml:space="preserve">T13kasirata</t>
  </si>
  <si>
    <t xml:space="preserve">T14kasirata</t>
  </si>
  <si>
    <t xml:space="preserve">T15kasirata</t>
  </si>
  <si>
    <t xml:space="preserve">T16kasirata</t>
  </si>
  <si>
    <t xml:space="preserve">T17kasirata</t>
  </si>
  <si>
    <t xml:space="preserve">T18kasirata</t>
  </si>
  <si>
    <t xml:space="preserve">T19kasirata</t>
  </si>
  <si>
    <t xml:space="preserve">T10smjuoksu</t>
  </si>
  <si>
    <t xml:space="preserve">T11smjuoksu</t>
  </si>
  <si>
    <t xml:space="preserve">T12smjuoksu</t>
  </si>
  <si>
    <t xml:space="preserve">T13smjuoksu</t>
  </si>
  <si>
    <t xml:space="preserve">T14smjuoksu</t>
  </si>
  <si>
    <t xml:space="preserve">T15smjuoksu</t>
  </si>
  <si>
    <t xml:space="preserve">T16smjuoksu</t>
  </si>
  <si>
    <t xml:space="preserve">T17smjuoksu</t>
  </si>
  <si>
    <t xml:space="preserve">T18smjuoksu</t>
  </si>
  <si>
    <t xml:space="preserve">T19smjuoksu</t>
  </si>
  <si>
    <t xml:space="preserve">T10smpallo</t>
  </si>
  <si>
    <t xml:space="preserve">T11smpallo</t>
  </si>
  <si>
    <t xml:space="preserve">T12smpallo</t>
  </si>
  <si>
    <t xml:space="preserve">T13smpallo</t>
  </si>
  <si>
    <t xml:space="preserve">T14smpallo</t>
  </si>
  <si>
    <t xml:space="preserve">T15smpallo</t>
  </si>
  <si>
    <t xml:space="preserve">T16smpallo</t>
  </si>
  <si>
    <t xml:space="preserve">T17smpallo</t>
  </si>
  <si>
    <t xml:space="preserve">T18smpallo</t>
  </si>
  <si>
    <t xml:space="preserve">T19smpallo</t>
  </si>
  <si>
    <t xml:space="preserve">T10cmj</t>
  </si>
  <si>
    <t xml:space="preserve">T11cmj</t>
  </si>
  <si>
    <t xml:space="preserve">T12cmj</t>
  </si>
  <si>
    <t xml:space="preserve">T13cmj</t>
  </si>
  <si>
    <t xml:space="preserve">T14cmj</t>
  </si>
  <si>
    <t xml:space="preserve">T15cmj</t>
  </si>
  <si>
    <t xml:space="preserve">T16cmj</t>
  </si>
  <si>
    <t xml:space="preserve">T17cmj</t>
  </si>
  <si>
    <t xml:space="preserve">T18cmj</t>
  </si>
  <si>
    <t xml:space="preserve">T19cmj</t>
  </si>
  <si>
    <t xml:space="preserve">T10bronco</t>
  </si>
  <si>
    <t xml:space="preserve">T11bronco</t>
  </si>
  <si>
    <t xml:space="preserve">T12bronco</t>
  </si>
  <si>
    <t xml:space="preserve">T13bronco</t>
  </si>
  <si>
    <t xml:space="preserve">T14bronco</t>
  </si>
  <si>
    <t xml:space="preserve">T15bronco</t>
  </si>
  <si>
    <t xml:space="preserve">T16bronco</t>
  </si>
  <si>
    <t xml:space="preserve">T17bronco</t>
  </si>
  <si>
    <t xml:space="preserve">T18bronco</t>
  </si>
  <si>
    <t xml:space="preserve">T19bronco</t>
  </si>
  <si>
    <t xml:space="preserve">T10pujottelu</t>
  </si>
  <si>
    <t xml:space="preserve">T11pujottelu</t>
  </si>
  <si>
    <t xml:space="preserve">T12pujottelu</t>
  </si>
  <si>
    <t xml:space="preserve">T13pujottelu</t>
  </si>
  <si>
    <t xml:space="preserve">T14pujottelu</t>
  </si>
  <si>
    <t xml:space="preserve">T15pujottelu</t>
  </si>
  <si>
    <t xml:space="preserve">T10syotto</t>
  </si>
  <si>
    <t xml:space="preserve">T11syotto</t>
  </si>
  <si>
    <t xml:space="preserve">T12syotto</t>
  </si>
  <si>
    <t xml:space="preserve">T13syotto</t>
  </si>
  <si>
    <t xml:space="preserve">T14syotto</t>
  </si>
  <si>
    <t xml:space="preserve">T15syotto</t>
  </si>
  <si>
    <t xml:space="preserve">TalentMaster™ — H-H-polun fyysistekniset testit (Eerikkilä/Palloliitto 2024) | AC = Bio-ikä → biologinen taso | AD = Taso-ero (bio - krono)</t>
  </si>
  <si>
    <t xml:space="preserve">🔵 Pakollinen   🟢 Testitulos   🟡 Taso (krono, automaattinen)   🔵 AC: Bio-ikä (syötä Mirwald-pohjasta)   🟢 AD: Taso-ero bio vs krono</t>
  </si>
  <si>
    <t xml:space="preserve">Taso-ero (AD): +1 tai +2 = pelaaja suoriutuu yli oman ikätasonsa biologiseen ikään suhteutettuna. -1 tai -2 = suoriutuu alle. Positiivinen luku kertoo lahjakkuudesta suhteessa kehitysvaiheeseen.</t>
  </si>
  <si>
    <t xml:space="preserve">PalloID *</t>
  </si>
  <si>
    <t xml:space="preserve">Nimi *</t>
  </si>
  <si>
    <t xml:space="preserve">Syntymäaika *</t>
  </si>
  <si>
    <t xml:space="preserve">Sukupuoli *</t>
  </si>
  <si>
    <t xml:space="preserve">Joukkue *</t>
  </si>
  <si>
    <t xml:space="preserve">Testauspvm *</t>
  </si>
  <si>
    <t xml:space="preserve">Arvioija</t>
  </si>
  <si>
    <t xml:space="preserve">5m (s)</t>
  </si>
  <si>
    <t xml:space="preserve">10m (s)</t>
  </si>
  <si>
    <t xml:space="preserve">20m (s)</t>
  </si>
  <si>
    <t xml:space="preserve">30m (s)</t>
  </si>
  <si>
    <t xml:space="preserve">Kasirata (s)</t>
  </si>
  <si>
    <t xml:space="preserve">SM-juoksu (s)</t>
  </si>
  <si>
    <t xml:space="preserve">SM-pallo (s)</t>
  </si>
  <si>
    <t xml:space="preserve">CMJ (cm)</t>
  </si>
  <si>
    <t xml:space="preserve">Bronco (m/s)</t>
  </si>
  <si>
    <t xml:space="preserve">Pujottelu (s)</t>
  </si>
  <si>
    <t xml:space="preserve">Syöttö (s)</t>
  </si>
  <si>
    <t xml:space="preserve">Taso
5m</t>
  </si>
  <si>
    <t xml:space="preserve">Taso
10m</t>
  </si>
  <si>
    <t xml:space="preserve">Taso
20m</t>
  </si>
  <si>
    <t xml:space="preserve">Taso
30m</t>
  </si>
  <si>
    <t xml:space="preserve">Taso
Kasi</t>
  </si>
  <si>
    <t xml:space="preserve">Taso
SM-j</t>
  </si>
  <si>
    <t xml:space="preserve">Taso
SM-p</t>
  </si>
  <si>
    <t xml:space="preserve">Taso
CMJ</t>
  </si>
  <si>
    <t xml:space="preserve">Taso
Bronco</t>
  </si>
  <si>
    <t xml:space="preserve">Huomio</t>
  </si>
  <si>
    <t xml:space="preserve">Bio-ikä
(syötä tai
auto)</t>
  </si>
  <si>
    <t xml:space="preserve">Taso-ero
(bio-krono)</t>
  </si>
  <si>
    <t xml:space="preserve">TalentMaster™ — H-H-polun testiohjeet (Eerikkilä/Palloliitto 2024)</t>
  </si>
  <si>
    <t xml:space="preserve">TESTIT JA MITTAUKSET</t>
  </si>
  <si>
    <t xml:space="preserve">  1. LINEAARINOPEUS (5m, 10m, 20m, 30m): Mitataan aika sekunteina. Käytä fotoelektristä lasermittausta tai kosketuslevyä. Pienempi arvo = parempi. Kaikille ikäluokille T10/P10 asti aikuisiin.</t>
  </si>
  <si>
    <t xml:space="preserve">  2. KASIRATA: Suunnanmuutosnopeus kahdeksikonmuotoisella radalla. Sekunteina. Pienempi = parempi.</t>
  </si>
  <si>
    <t xml:space="preserve">  3. SM-JUOKSU: Suunnanmuutosnopeus jalkapallospesifisellä radalla. Sekunteina. Pienempi = parempi.</t>
  </si>
  <si>
    <t xml:space="preserve">  4. SM-PALLO: Sama rata kuin SM-juoksu mutta pallonkäsittelyn kanssa. Sekunteina. Pienempi = parempi.</t>
  </si>
  <si>
    <t xml:space="preserve">  5. KEVENNYSHYPPY (CMJ): Kädet lantioilla, esikuormitus 90° polveen, hyppy ylös. Mitataan korkeus senttimetreissä. Suurempi = parempi.</t>
  </si>
  <si>
    <t xml:space="preserve">  6. BRONCO / 1200m MAS: Pendelitesti 20m+20m+20m yhteensä 10 kertaa = 1200m. Tulos ilmoitetaan maksimaalisena aerobisena nopeutena (m/s). Suurempi = parempi. Aika muunnetaan m/s:ksi MAS-kaavalla.</t>
  </si>
  <si>
    <t xml:space="preserve">  7. PUJOTTELU: Lajitekniikkatesti. Vain T10-T15 / P10-P15 ikäluokille. Sekunteina, pienempi = parempi. Kolmiportainen asteikko (1-3).</t>
  </si>
  <si>
    <t xml:space="preserve">  8. SYÖTTÖ: Lajitekniikkatesti. Vain T10-T15 / P10-P15 ikäluokille. Sekunteina. Kolmiportainen asteikko (1-3).</t>
  </si>
  <si>
    <t xml:space="preserve">TASOASTEIKKO</t>
  </si>
  <si>
    <t xml:space="preserve">  Taso 5 = kansainvälinen kärkitaso (paras 10%)</t>
  </si>
  <si>
    <t xml:space="preserve">  Taso 4 = kansallinen kärkitaso (paras 25%)</t>
  </si>
  <si>
    <t xml:space="preserve">  Taso 3 = hieman yli kansallisen keskitason (paras 45%)</t>
  </si>
  <si>
    <t xml:space="preserve">  Taso 2 = hieman alle kansallisen keskitason (paras 70%)</t>
  </si>
  <si>
    <t xml:space="preserve">  Taso 1 = alle kansallisen keskitason</t>
  </si>
  <si>
    <t xml:space="preserve">LÄHDE</t>
  </si>
  <si>
    <t xml:space="preserve">  Eerikkilä Sport &amp; Outdoor Resort / Suomen Palloliitto, Huuhkaja- ja Helmaripolku. Tavoitetasot päivitetty 2024. https://eerikkila.fi/urheilu/testauspalvelut-urheilijoille/jalkapallon-testit-ja-tavoitetasot/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</si>
</sst>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\+0;\-0;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5A6A82"/>
      <name val="Arial"/>
      <family val="0"/>
      <charset val="1"/>
    </font>
    <font>
      <b val="true"/>
      <sz val="9"/>
      <color rgb="FF00D4AA"/>
      <name val="Arial"/>
      <family val="0"/>
      <charset val="1"/>
    </font>
    <font>
      <b val="true"/>
      <sz val="9"/>
      <color rgb="FF4B9EFF"/>
      <name val="Arial"/>
      <family val="0"/>
      <charset val="1"/>
    </font>
    <font>
      <b val="true"/>
      <sz val="9"/>
      <color rgb="FF34D39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E2A3D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0F17"/>
        <bgColor rgb="FF000000"/>
      </patternFill>
    </fill>
    <fill>
      <patternFill patternType="solid">
        <fgColor rgb="FFF8FAFC"/>
        <bgColor rgb="FFFFFFFF"/>
      </patternFill>
    </fill>
    <fill>
      <patternFill patternType="solid">
        <fgColor rgb="FF1E2A3D"/>
        <bgColor rgb="FF003366"/>
      </patternFill>
    </fill>
    <fill>
      <patternFill patternType="solid">
        <fgColor rgb="FFEBF5FF"/>
        <bgColor rgb="FFE8F4FD"/>
      </patternFill>
    </fill>
    <fill>
      <patternFill patternType="solid">
        <fgColor rgb="FFFFFFFF"/>
        <bgColor rgb="FFF8FAFC"/>
      </patternFill>
    </fill>
    <fill>
      <patternFill patternType="solid">
        <fgColor rgb="FFF0FFF4"/>
        <bgColor rgb="FFEDF9E8"/>
      </patternFill>
    </fill>
    <fill>
      <patternFill patternType="solid">
        <fgColor rgb="FFFFF9E6"/>
        <bgColor rgb="FFF8FAFC"/>
      </patternFill>
    </fill>
    <fill>
      <patternFill patternType="solid">
        <fgColor rgb="FFE8F4FD"/>
        <bgColor rgb="FFEBF5FF"/>
      </patternFill>
    </fill>
    <fill>
      <patternFill patternType="solid">
        <fgColor rgb="FFEDF9E8"/>
        <bgColor rgb="FFF0FFF4"/>
      </patternFill>
    </fill>
    <fill>
      <patternFill patternType="solid">
        <fgColor rgb="FFFFF0C0"/>
        <bgColor rgb="FFFFF9E6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EBF5FF"/>
      <rgbColor rgb="FF808080"/>
      <rgbColor rgb="FF4B9EFF"/>
      <rgbColor rgb="FF993366"/>
      <rgbColor rgb="FFFFF9E6"/>
      <rgbColor rgb="FFD6EAF8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AA"/>
      <rgbColor rgb="FFE8F4FD"/>
      <rgbColor rgb="FFD5F5E3"/>
      <rgbColor rgb="FFFFF0C0"/>
      <rgbColor rgb="FFF0FFF4"/>
      <rgbColor rgb="FFF8FAFC"/>
      <rgbColor rgb="FFCC99FF"/>
      <rgbColor rgb="FFEDF9E8"/>
      <rgbColor rgb="FF3366FF"/>
      <rgbColor rgb="FF34D399"/>
      <rgbColor rgb="FF99CC00"/>
      <rgbColor rgb="FFFFCC00"/>
      <rgbColor rgb="FFFF9900"/>
      <rgbColor rgb="FFFF6600"/>
      <rgbColor rgb="FF5A6A82"/>
      <rgbColor rgb="FF969696"/>
      <rgbColor rgb="FF003366"/>
      <rgbColor rgb="FF339966"/>
      <rgbColor rgb="FF0B0F17"/>
      <rgbColor rgb="FF333300"/>
      <rgbColor rgb="FF993300"/>
      <rgbColor rgb="FF993366"/>
      <rgbColor rgb="FF333399"/>
      <rgbColor rgb="FF1E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true" outlineLevel="0" collapsed="false">
      <c r="A2" s="4" t="s">
        <v>13</v>
      </c>
      <c r="B2" s="4" t="s">
        <v>14</v>
      </c>
      <c r="C2" s="4" t="s">
        <v>15</v>
      </c>
      <c r="D2" s="4" t="n">
        <v>1.08</v>
      </c>
      <c r="E2" s="4" t="n">
        <v>1.11</v>
      </c>
      <c r="F2" s="4" t="n">
        <v>1.14</v>
      </c>
      <c r="G2" s="4" t="n">
        <v>1.18</v>
      </c>
      <c r="H2" s="4" t="n">
        <v>99</v>
      </c>
      <c r="I2" s="4" t="s">
        <v>16</v>
      </c>
      <c r="J2" s="4" t="n">
        <v>1.08</v>
      </c>
      <c r="K2" s="0" t="n">
        <v>1.11</v>
      </c>
      <c r="L2" s="0" t="n">
        <v>1.14</v>
      </c>
      <c r="M2" s="0" t="n">
        <v>1.18</v>
      </c>
    </row>
    <row r="3" customFormat="false" ht="15" hidden="false" customHeight="true" outlineLevel="0" collapsed="false">
      <c r="A3" s="4" t="s">
        <v>17</v>
      </c>
      <c r="B3" s="4" t="s">
        <v>14</v>
      </c>
      <c r="C3" s="4" t="s">
        <v>15</v>
      </c>
      <c r="D3" s="4" t="n">
        <v>1.05</v>
      </c>
      <c r="E3" s="4" t="n">
        <v>1.09</v>
      </c>
      <c r="F3" s="4" t="n">
        <v>1.11</v>
      </c>
      <c r="G3" s="4" t="n">
        <v>1.15</v>
      </c>
      <c r="H3" s="4" t="n">
        <v>99</v>
      </c>
      <c r="I3" s="4" t="s">
        <v>18</v>
      </c>
      <c r="J3" s="0" t="n">
        <v>1.05</v>
      </c>
      <c r="K3" s="0" t="n">
        <v>1.09</v>
      </c>
      <c r="L3" s="0" t="n">
        <v>1.11</v>
      </c>
      <c r="M3" s="0" t="n">
        <v>1.15</v>
      </c>
    </row>
    <row r="4" customFormat="false" ht="15" hidden="false" customHeight="true" outlineLevel="0" collapsed="false">
      <c r="A4" s="4" t="s">
        <v>19</v>
      </c>
      <c r="B4" s="4" t="s">
        <v>14</v>
      </c>
      <c r="C4" s="4" t="s">
        <v>15</v>
      </c>
      <c r="D4" s="4" t="n">
        <v>1.02</v>
      </c>
      <c r="E4" s="4" t="n">
        <v>1.05</v>
      </c>
      <c r="F4" s="4" t="n">
        <v>1.08</v>
      </c>
      <c r="G4" s="4" t="n">
        <v>1.12</v>
      </c>
      <c r="H4" s="4" t="n">
        <v>99</v>
      </c>
      <c r="I4" s="4" t="s">
        <v>20</v>
      </c>
      <c r="J4" s="0" t="n">
        <v>1.02</v>
      </c>
      <c r="K4" s="0" t="n">
        <v>1.05</v>
      </c>
      <c r="L4" s="0" t="n">
        <v>1.08</v>
      </c>
      <c r="M4" s="0" t="n">
        <v>1.12</v>
      </c>
    </row>
    <row r="5" customFormat="false" ht="15" hidden="false" customHeight="true" outlineLevel="0" collapsed="false">
      <c r="A5" s="4" t="s">
        <v>21</v>
      </c>
      <c r="B5" s="4" t="s">
        <v>14</v>
      </c>
      <c r="C5" s="4" t="s">
        <v>15</v>
      </c>
      <c r="D5" s="4" t="n">
        <v>0.99</v>
      </c>
      <c r="E5" s="4" t="n">
        <v>1.02</v>
      </c>
      <c r="F5" s="4" t="n">
        <v>1.05</v>
      </c>
      <c r="G5" s="4" t="n">
        <v>1.09</v>
      </c>
      <c r="H5" s="4" t="n">
        <v>99</v>
      </c>
      <c r="I5" s="4" t="s">
        <v>22</v>
      </c>
      <c r="J5" s="0" t="n">
        <v>0.99</v>
      </c>
      <c r="K5" s="0" t="n">
        <v>1.02</v>
      </c>
      <c r="L5" s="0" t="n">
        <v>1.05</v>
      </c>
      <c r="M5" s="0" t="n">
        <v>1.09</v>
      </c>
    </row>
    <row r="6" customFormat="false" ht="15" hidden="false" customHeight="true" outlineLevel="0" collapsed="false">
      <c r="A6" s="4" t="s">
        <v>23</v>
      </c>
      <c r="B6" s="4" t="s">
        <v>14</v>
      </c>
      <c r="C6" s="4" t="s">
        <v>15</v>
      </c>
      <c r="D6" s="4" t="n">
        <v>0.96</v>
      </c>
      <c r="E6" s="4" t="n">
        <v>0.99</v>
      </c>
      <c r="F6" s="4" t="n">
        <v>1.01</v>
      </c>
      <c r="G6" s="4" t="n">
        <v>1.05</v>
      </c>
      <c r="H6" s="4" t="n">
        <v>99</v>
      </c>
      <c r="I6" s="4" t="s">
        <v>24</v>
      </c>
      <c r="J6" s="0" t="n">
        <v>0.96</v>
      </c>
      <c r="K6" s="0" t="n">
        <v>0.99</v>
      </c>
      <c r="L6" s="0" t="n">
        <v>1.01</v>
      </c>
      <c r="M6" s="0" t="n">
        <v>1.05</v>
      </c>
    </row>
    <row r="7" customFormat="false" ht="15" hidden="false" customHeight="true" outlineLevel="0" collapsed="false">
      <c r="A7" s="4" t="s">
        <v>25</v>
      </c>
      <c r="B7" s="4" t="s">
        <v>14</v>
      </c>
      <c r="C7" s="4" t="s">
        <v>15</v>
      </c>
      <c r="D7" s="4" t="n">
        <v>0.94</v>
      </c>
      <c r="E7" s="4" t="n">
        <v>0.97</v>
      </c>
      <c r="F7" s="4" t="n">
        <v>0.99</v>
      </c>
      <c r="G7" s="4" t="n">
        <v>1.03</v>
      </c>
      <c r="H7" s="4" t="n">
        <v>99</v>
      </c>
      <c r="I7" s="4" t="s">
        <v>26</v>
      </c>
      <c r="J7" s="0" t="n">
        <v>0.94</v>
      </c>
      <c r="K7" s="0" t="n">
        <v>0.97</v>
      </c>
      <c r="L7" s="0" t="n">
        <v>0.99</v>
      </c>
      <c r="M7" s="0" t="n">
        <v>1.03</v>
      </c>
    </row>
    <row r="8" customFormat="false" ht="15" hidden="false" customHeight="true" outlineLevel="0" collapsed="false">
      <c r="A8" s="4" t="s">
        <v>27</v>
      </c>
      <c r="B8" s="4" t="s">
        <v>14</v>
      </c>
      <c r="C8" s="4" t="s">
        <v>15</v>
      </c>
      <c r="D8" s="4" t="n">
        <v>0.92</v>
      </c>
      <c r="E8" s="4" t="n">
        <v>0.95</v>
      </c>
      <c r="F8" s="4" t="n">
        <v>0.97</v>
      </c>
      <c r="G8" s="4" t="n">
        <v>1.01</v>
      </c>
      <c r="H8" s="4" t="n">
        <v>99</v>
      </c>
      <c r="I8" s="4" t="s">
        <v>28</v>
      </c>
      <c r="J8" s="0" t="n">
        <v>0.92</v>
      </c>
      <c r="K8" s="0" t="n">
        <v>0.95</v>
      </c>
      <c r="L8" s="0" t="n">
        <v>0.97</v>
      </c>
      <c r="M8" s="0" t="n">
        <v>1.01</v>
      </c>
    </row>
    <row r="9" customFormat="false" ht="15" hidden="false" customHeight="true" outlineLevel="0" collapsed="false">
      <c r="A9" s="4" t="s">
        <v>29</v>
      </c>
      <c r="B9" s="4" t="s">
        <v>14</v>
      </c>
      <c r="C9" s="4" t="s">
        <v>15</v>
      </c>
      <c r="D9" s="4" t="n">
        <v>0.9</v>
      </c>
      <c r="E9" s="4" t="n">
        <v>0.93</v>
      </c>
      <c r="F9" s="4" t="n">
        <v>0.95</v>
      </c>
      <c r="G9" s="4" t="n">
        <v>0.99</v>
      </c>
      <c r="H9" s="4" t="n">
        <v>99</v>
      </c>
      <c r="I9" s="4" t="s">
        <v>30</v>
      </c>
      <c r="J9" s="0" t="n">
        <v>0.9</v>
      </c>
      <c r="K9" s="0" t="n">
        <v>0.93</v>
      </c>
      <c r="L9" s="0" t="n">
        <v>0.95</v>
      </c>
      <c r="M9" s="0" t="n">
        <v>0.99</v>
      </c>
    </row>
    <row r="10" customFormat="false" ht="15" hidden="false" customHeight="true" outlineLevel="0" collapsed="false">
      <c r="A10" s="4" t="s">
        <v>31</v>
      </c>
      <c r="B10" s="4" t="s">
        <v>14</v>
      </c>
      <c r="C10" s="4" t="s">
        <v>15</v>
      </c>
      <c r="D10" s="4" t="n">
        <v>0.88</v>
      </c>
      <c r="E10" s="4" t="n">
        <v>0.91</v>
      </c>
      <c r="F10" s="4" t="n">
        <v>0.93</v>
      </c>
      <c r="G10" s="4" t="n">
        <v>0.97</v>
      </c>
      <c r="H10" s="4" t="n">
        <v>99</v>
      </c>
      <c r="I10" s="4" t="s">
        <v>32</v>
      </c>
      <c r="J10" s="0" t="n">
        <v>0.88</v>
      </c>
      <c r="K10" s="0" t="n">
        <v>0.91</v>
      </c>
      <c r="L10" s="0" t="n">
        <v>0.93</v>
      </c>
      <c r="M10" s="0" t="n">
        <v>0.97</v>
      </c>
    </row>
    <row r="11" customFormat="false" ht="15" hidden="false" customHeight="true" outlineLevel="0" collapsed="false">
      <c r="A11" s="4" t="s">
        <v>33</v>
      </c>
      <c r="B11" s="4" t="s">
        <v>14</v>
      </c>
      <c r="C11" s="4" t="s">
        <v>15</v>
      </c>
      <c r="D11" s="4" t="n">
        <v>0.87</v>
      </c>
      <c r="E11" s="4" t="n">
        <v>0.89</v>
      </c>
      <c r="F11" s="4" t="n">
        <v>0.91</v>
      </c>
      <c r="G11" s="4" t="n">
        <v>0.95</v>
      </c>
      <c r="H11" s="4" t="n">
        <v>99</v>
      </c>
      <c r="I11" s="4" t="s">
        <v>34</v>
      </c>
      <c r="J11" s="0" t="n">
        <v>0.87</v>
      </c>
      <c r="K11" s="0" t="n">
        <v>0.89</v>
      </c>
      <c r="L11" s="0" t="n">
        <v>0.91</v>
      </c>
      <c r="M11" s="0" t="n">
        <v>0.95</v>
      </c>
    </row>
    <row r="12" customFormat="false" ht="15" hidden="false" customHeight="true" outlineLevel="0" collapsed="false">
      <c r="A12" s="4" t="s">
        <v>13</v>
      </c>
      <c r="B12" s="4" t="s">
        <v>14</v>
      </c>
      <c r="C12" s="4" t="s">
        <v>35</v>
      </c>
      <c r="D12" s="4" t="n">
        <v>1.92</v>
      </c>
      <c r="E12" s="4" t="n">
        <v>1.97</v>
      </c>
      <c r="F12" s="4" t="n">
        <v>2.02</v>
      </c>
      <c r="G12" s="4" t="n">
        <v>2.08</v>
      </c>
      <c r="H12" s="4" t="n">
        <v>99</v>
      </c>
      <c r="I12" s="4" t="s">
        <v>36</v>
      </c>
      <c r="J12" s="0" t="n">
        <v>1.92</v>
      </c>
      <c r="K12" s="0" t="n">
        <v>1.97</v>
      </c>
      <c r="L12" s="0" t="n">
        <v>2.02</v>
      </c>
      <c r="M12" s="0" t="n">
        <v>2.08</v>
      </c>
    </row>
    <row r="13" customFormat="false" ht="15" hidden="false" customHeight="true" outlineLevel="0" collapsed="false">
      <c r="A13" s="4" t="s">
        <v>17</v>
      </c>
      <c r="B13" s="4" t="s">
        <v>14</v>
      </c>
      <c r="C13" s="4" t="s">
        <v>35</v>
      </c>
      <c r="D13" s="4" t="n">
        <v>1.88</v>
      </c>
      <c r="E13" s="4" t="n">
        <v>1.93</v>
      </c>
      <c r="F13" s="4" t="n">
        <v>1.97</v>
      </c>
      <c r="G13" s="4" t="n">
        <v>2.02</v>
      </c>
      <c r="H13" s="4" t="n">
        <v>99</v>
      </c>
      <c r="I13" s="4" t="s">
        <v>37</v>
      </c>
      <c r="J13" s="0" t="n">
        <v>1.88</v>
      </c>
      <c r="K13" s="0" t="n">
        <v>1.93</v>
      </c>
      <c r="L13" s="0" t="n">
        <v>1.97</v>
      </c>
      <c r="M13" s="0" t="n">
        <v>2.02</v>
      </c>
    </row>
    <row r="14" customFormat="false" ht="15" hidden="false" customHeight="true" outlineLevel="0" collapsed="false">
      <c r="A14" s="4" t="s">
        <v>19</v>
      </c>
      <c r="B14" s="4" t="s">
        <v>14</v>
      </c>
      <c r="C14" s="4" t="s">
        <v>35</v>
      </c>
      <c r="D14" s="4" t="n">
        <v>1.81</v>
      </c>
      <c r="E14" s="4" t="n">
        <v>1.86</v>
      </c>
      <c r="F14" s="4" t="n">
        <v>1.91</v>
      </c>
      <c r="G14" s="4" t="n">
        <v>1.97</v>
      </c>
      <c r="H14" s="4" t="n">
        <v>99</v>
      </c>
      <c r="I14" s="4" t="s">
        <v>38</v>
      </c>
      <c r="J14" s="0" t="n">
        <v>1.81</v>
      </c>
      <c r="K14" s="0" t="n">
        <v>1.86</v>
      </c>
      <c r="L14" s="0" t="n">
        <v>1.91</v>
      </c>
      <c r="M14" s="0" t="n">
        <v>1.97</v>
      </c>
    </row>
    <row r="15" customFormat="false" ht="15" hidden="false" customHeight="true" outlineLevel="0" collapsed="false">
      <c r="A15" s="4" t="s">
        <v>21</v>
      </c>
      <c r="B15" s="4" t="s">
        <v>14</v>
      </c>
      <c r="C15" s="4" t="s">
        <v>35</v>
      </c>
      <c r="D15" s="4" t="n">
        <v>1.75</v>
      </c>
      <c r="E15" s="4" t="n">
        <v>1.81</v>
      </c>
      <c r="F15" s="4" t="n">
        <v>1.86</v>
      </c>
      <c r="G15" s="4" t="n">
        <v>1.92</v>
      </c>
      <c r="H15" s="4" t="n">
        <v>99</v>
      </c>
      <c r="I15" s="4" t="s">
        <v>39</v>
      </c>
      <c r="J15" s="0" t="n">
        <v>1.75</v>
      </c>
      <c r="K15" s="0" t="n">
        <v>1.81</v>
      </c>
      <c r="L15" s="0" t="n">
        <v>1.86</v>
      </c>
      <c r="M15" s="0" t="n">
        <v>1.92</v>
      </c>
    </row>
    <row r="16" customFormat="false" ht="15" hidden="false" customHeight="true" outlineLevel="0" collapsed="false">
      <c r="A16" s="4" t="s">
        <v>23</v>
      </c>
      <c r="B16" s="4" t="s">
        <v>14</v>
      </c>
      <c r="C16" s="4" t="s">
        <v>35</v>
      </c>
      <c r="D16" s="4" t="n">
        <v>1.69</v>
      </c>
      <c r="E16" s="4" t="n">
        <v>1.74</v>
      </c>
      <c r="F16" s="4" t="n">
        <v>1.78</v>
      </c>
      <c r="G16" s="4" t="n">
        <v>1.84</v>
      </c>
      <c r="H16" s="4" t="n">
        <v>99</v>
      </c>
      <c r="I16" s="4" t="s">
        <v>40</v>
      </c>
      <c r="J16" s="0" t="n">
        <v>1.69</v>
      </c>
      <c r="K16" s="0" t="n">
        <v>1.74</v>
      </c>
      <c r="L16" s="0" t="n">
        <v>1.78</v>
      </c>
      <c r="M16" s="0" t="n">
        <v>1.84</v>
      </c>
    </row>
    <row r="17" customFormat="false" ht="15" hidden="false" customHeight="true" outlineLevel="0" collapsed="false">
      <c r="A17" s="4" t="s">
        <v>25</v>
      </c>
      <c r="B17" s="4" t="s">
        <v>14</v>
      </c>
      <c r="C17" s="4" t="s">
        <v>35</v>
      </c>
      <c r="D17" s="4" t="n">
        <v>1.67</v>
      </c>
      <c r="E17" s="4" t="n">
        <v>1.71</v>
      </c>
      <c r="F17" s="4" t="n">
        <v>1.74</v>
      </c>
      <c r="G17" s="4" t="n">
        <v>1.8</v>
      </c>
      <c r="H17" s="4" t="n">
        <v>99</v>
      </c>
      <c r="I17" s="4" t="s">
        <v>41</v>
      </c>
      <c r="J17" s="0" t="n">
        <v>1.67</v>
      </c>
      <c r="K17" s="0" t="n">
        <v>1.71</v>
      </c>
      <c r="L17" s="0" t="n">
        <v>1.74</v>
      </c>
      <c r="M17" s="0" t="n">
        <v>1.8</v>
      </c>
    </row>
    <row r="18" customFormat="false" ht="15" hidden="false" customHeight="true" outlineLevel="0" collapsed="false">
      <c r="A18" s="4" t="s">
        <v>27</v>
      </c>
      <c r="B18" s="4" t="s">
        <v>14</v>
      </c>
      <c r="C18" s="4" t="s">
        <v>35</v>
      </c>
      <c r="D18" s="4" t="n">
        <v>1.64</v>
      </c>
      <c r="E18" s="4" t="n">
        <v>1.68</v>
      </c>
      <c r="F18" s="4" t="n">
        <v>1.71</v>
      </c>
      <c r="G18" s="4" t="n">
        <v>1.75</v>
      </c>
      <c r="H18" s="4" t="n">
        <v>99</v>
      </c>
      <c r="I18" s="4" t="s">
        <v>42</v>
      </c>
      <c r="J18" s="0" t="n">
        <v>1.64</v>
      </c>
      <c r="K18" s="0" t="n">
        <v>1.68</v>
      </c>
      <c r="L18" s="0" t="n">
        <v>1.71</v>
      </c>
      <c r="M18" s="0" t="n">
        <v>1.75</v>
      </c>
    </row>
    <row r="19" customFormat="false" ht="15" hidden="false" customHeight="true" outlineLevel="0" collapsed="false">
      <c r="A19" s="4" t="s">
        <v>29</v>
      </c>
      <c r="B19" s="4" t="s">
        <v>14</v>
      </c>
      <c r="C19" s="4" t="s">
        <v>35</v>
      </c>
      <c r="D19" s="4" t="n">
        <v>1.62</v>
      </c>
      <c r="E19" s="4" t="n">
        <v>1.65</v>
      </c>
      <c r="F19" s="4" t="n">
        <v>1.67</v>
      </c>
      <c r="G19" s="4" t="n">
        <v>1.73</v>
      </c>
      <c r="H19" s="4" t="n">
        <v>99</v>
      </c>
      <c r="I19" s="4" t="s">
        <v>43</v>
      </c>
      <c r="J19" s="0" t="n">
        <v>1.62</v>
      </c>
      <c r="K19" s="0" t="n">
        <v>1.65</v>
      </c>
      <c r="L19" s="0" t="n">
        <v>1.67</v>
      </c>
      <c r="M19" s="0" t="n">
        <v>1.73</v>
      </c>
    </row>
    <row r="20" customFormat="false" ht="15" hidden="false" customHeight="true" outlineLevel="0" collapsed="false">
      <c r="A20" s="4" t="s">
        <v>31</v>
      </c>
      <c r="B20" s="4" t="s">
        <v>14</v>
      </c>
      <c r="C20" s="4" t="s">
        <v>35</v>
      </c>
      <c r="D20" s="4" t="n">
        <v>1.59</v>
      </c>
      <c r="E20" s="4" t="n">
        <v>1.63</v>
      </c>
      <c r="F20" s="4" t="n">
        <v>1.65</v>
      </c>
      <c r="G20" s="4" t="n">
        <v>1.71</v>
      </c>
      <c r="H20" s="4" t="n">
        <v>99</v>
      </c>
      <c r="I20" s="4" t="s">
        <v>44</v>
      </c>
      <c r="J20" s="0" t="n">
        <v>1.59</v>
      </c>
      <c r="K20" s="0" t="n">
        <v>1.63</v>
      </c>
      <c r="L20" s="0" t="n">
        <v>1.65</v>
      </c>
      <c r="M20" s="0" t="n">
        <v>1.71</v>
      </c>
    </row>
    <row r="21" customFormat="false" ht="15" hidden="false" customHeight="true" outlineLevel="0" collapsed="false">
      <c r="A21" s="4" t="s">
        <v>33</v>
      </c>
      <c r="B21" s="4" t="s">
        <v>14</v>
      </c>
      <c r="C21" s="4" t="s">
        <v>35</v>
      </c>
      <c r="D21" s="4" t="n">
        <v>1.57</v>
      </c>
      <c r="E21" s="4" t="n">
        <v>1.59</v>
      </c>
      <c r="F21" s="4" t="n">
        <v>1.63</v>
      </c>
      <c r="G21" s="4" t="n">
        <v>1.68</v>
      </c>
      <c r="H21" s="4" t="n">
        <v>99</v>
      </c>
      <c r="I21" s="4" t="s">
        <v>45</v>
      </c>
      <c r="J21" s="0" t="n">
        <v>1.57</v>
      </c>
      <c r="K21" s="0" t="n">
        <v>1.59</v>
      </c>
      <c r="L21" s="0" t="n">
        <v>1.63</v>
      </c>
      <c r="M21" s="0" t="n">
        <v>1.68</v>
      </c>
    </row>
    <row r="22" customFormat="false" ht="15" hidden="false" customHeight="true" outlineLevel="0" collapsed="false">
      <c r="A22" s="4" t="s">
        <v>13</v>
      </c>
      <c r="B22" s="4" t="s">
        <v>14</v>
      </c>
      <c r="C22" s="4" t="s">
        <v>46</v>
      </c>
      <c r="D22" s="4" t="n">
        <v>3.42</v>
      </c>
      <c r="E22" s="4" t="n">
        <v>3.51</v>
      </c>
      <c r="F22" s="4" t="n">
        <v>3.6</v>
      </c>
      <c r="G22" s="4" t="n">
        <v>3.7</v>
      </c>
      <c r="H22" s="4" t="n">
        <v>99</v>
      </c>
      <c r="I22" s="4" t="s">
        <v>47</v>
      </c>
      <c r="J22" s="0" t="n">
        <v>3.42</v>
      </c>
      <c r="K22" s="0" t="n">
        <v>3.51</v>
      </c>
      <c r="L22" s="0" t="n">
        <v>3.6</v>
      </c>
      <c r="M22" s="0" t="n">
        <v>3.7</v>
      </c>
    </row>
    <row r="23" customFormat="false" ht="15" hidden="false" customHeight="true" outlineLevel="0" collapsed="false">
      <c r="A23" s="4" t="s">
        <v>17</v>
      </c>
      <c r="B23" s="4" t="s">
        <v>14</v>
      </c>
      <c r="C23" s="4" t="s">
        <v>46</v>
      </c>
      <c r="D23" s="4" t="n">
        <v>3.34</v>
      </c>
      <c r="E23" s="4" t="n">
        <v>3.42</v>
      </c>
      <c r="F23" s="4" t="n">
        <v>3.5</v>
      </c>
      <c r="G23" s="4" t="n">
        <v>3.6</v>
      </c>
      <c r="H23" s="4" t="n">
        <v>99</v>
      </c>
      <c r="I23" s="4" t="s">
        <v>48</v>
      </c>
      <c r="J23" s="0" t="n">
        <v>3.34</v>
      </c>
      <c r="K23" s="0" t="n">
        <v>3.42</v>
      </c>
      <c r="L23" s="0" t="n">
        <v>3.5</v>
      </c>
      <c r="M23" s="0" t="n">
        <v>3.6</v>
      </c>
    </row>
    <row r="24" customFormat="false" ht="15" hidden="false" customHeight="true" outlineLevel="0" collapsed="false">
      <c r="A24" s="4" t="s">
        <v>19</v>
      </c>
      <c r="B24" s="4" t="s">
        <v>14</v>
      </c>
      <c r="C24" s="4" t="s">
        <v>46</v>
      </c>
      <c r="D24" s="4" t="n">
        <v>3.22</v>
      </c>
      <c r="E24" s="4" t="n">
        <v>3.31</v>
      </c>
      <c r="F24" s="4" t="n">
        <v>3.39</v>
      </c>
      <c r="G24" s="4" t="n">
        <v>3.49</v>
      </c>
      <c r="H24" s="4" t="n">
        <v>99</v>
      </c>
      <c r="I24" s="4" t="s">
        <v>49</v>
      </c>
      <c r="J24" s="0" t="n">
        <v>3.22</v>
      </c>
      <c r="K24" s="0" t="n">
        <v>3.31</v>
      </c>
      <c r="L24" s="0" t="n">
        <v>3.39</v>
      </c>
      <c r="M24" s="0" t="n">
        <v>3.49</v>
      </c>
    </row>
    <row r="25" customFormat="false" ht="15" hidden="false" customHeight="true" outlineLevel="0" collapsed="false">
      <c r="A25" s="4" t="s">
        <v>21</v>
      </c>
      <c r="B25" s="4" t="s">
        <v>14</v>
      </c>
      <c r="C25" s="4" t="s">
        <v>46</v>
      </c>
      <c r="D25" s="4" t="n">
        <v>3.09</v>
      </c>
      <c r="E25" s="4" t="n">
        <v>3.19</v>
      </c>
      <c r="F25" s="4" t="n">
        <v>3.28</v>
      </c>
      <c r="G25" s="4" t="n">
        <v>3.38</v>
      </c>
      <c r="H25" s="4" t="n">
        <v>99</v>
      </c>
      <c r="I25" s="4" t="s">
        <v>50</v>
      </c>
      <c r="J25" s="0" t="n">
        <v>3.09</v>
      </c>
      <c r="K25" s="0" t="n">
        <v>3.19</v>
      </c>
      <c r="L25" s="0" t="n">
        <v>3.28</v>
      </c>
      <c r="M25" s="0" t="n">
        <v>3.38</v>
      </c>
    </row>
    <row r="26" customFormat="false" ht="15" hidden="false" customHeight="true" outlineLevel="0" collapsed="false">
      <c r="A26" s="4" t="s">
        <v>23</v>
      </c>
      <c r="B26" s="4" t="s">
        <v>14</v>
      </c>
      <c r="C26" s="4" t="s">
        <v>46</v>
      </c>
      <c r="D26" s="4" t="n">
        <v>2.97</v>
      </c>
      <c r="E26" s="4" t="n">
        <v>3.06</v>
      </c>
      <c r="F26" s="4" t="n">
        <v>3.14</v>
      </c>
      <c r="G26" s="4" t="n">
        <v>3.24</v>
      </c>
      <c r="H26" s="4" t="n">
        <v>99</v>
      </c>
      <c r="I26" s="4" t="s">
        <v>51</v>
      </c>
      <c r="J26" s="0" t="n">
        <v>2.97</v>
      </c>
      <c r="K26" s="0" t="n">
        <v>3.06</v>
      </c>
      <c r="L26" s="0" t="n">
        <v>3.14</v>
      </c>
      <c r="M26" s="0" t="n">
        <v>3.24</v>
      </c>
    </row>
    <row r="27" customFormat="false" ht="15" hidden="false" customHeight="true" outlineLevel="0" collapsed="false">
      <c r="A27" s="4" t="s">
        <v>25</v>
      </c>
      <c r="B27" s="4" t="s">
        <v>14</v>
      </c>
      <c r="C27" s="4" t="s">
        <v>46</v>
      </c>
      <c r="D27" s="4" t="n">
        <v>2.91</v>
      </c>
      <c r="E27" s="4" t="n">
        <v>3</v>
      </c>
      <c r="F27" s="4" t="n">
        <v>3.06</v>
      </c>
      <c r="G27" s="4" t="n">
        <v>3.14</v>
      </c>
      <c r="H27" s="4" t="n">
        <v>99</v>
      </c>
      <c r="I27" s="4" t="s">
        <v>52</v>
      </c>
      <c r="J27" s="0" t="n">
        <v>2.91</v>
      </c>
      <c r="K27" s="0" t="n">
        <v>3</v>
      </c>
      <c r="L27" s="0" t="n">
        <v>3.06</v>
      </c>
      <c r="M27" s="0" t="n">
        <v>3.14</v>
      </c>
    </row>
    <row r="28" customFormat="false" ht="15" hidden="false" customHeight="true" outlineLevel="0" collapsed="false">
      <c r="A28" s="4" t="s">
        <v>27</v>
      </c>
      <c r="B28" s="4" t="s">
        <v>14</v>
      </c>
      <c r="C28" s="4" t="s">
        <v>46</v>
      </c>
      <c r="D28" s="4" t="n">
        <v>2.87</v>
      </c>
      <c r="E28" s="4" t="n">
        <v>2.96</v>
      </c>
      <c r="F28" s="4" t="n">
        <v>2.99</v>
      </c>
      <c r="G28" s="4" t="n">
        <v>3.09</v>
      </c>
      <c r="H28" s="4" t="n">
        <v>99</v>
      </c>
      <c r="I28" s="4" t="s">
        <v>53</v>
      </c>
      <c r="J28" s="0" t="n">
        <v>2.87</v>
      </c>
      <c r="K28" s="0" t="n">
        <v>2.96</v>
      </c>
      <c r="L28" s="0" t="n">
        <v>2.99</v>
      </c>
      <c r="M28" s="0" t="n">
        <v>3.09</v>
      </c>
    </row>
    <row r="29" customFormat="false" ht="15" hidden="false" customHeight="true" outlineLevel="0" collapsed="false">
      <c r="A29" s="4" t="s">
        <v>29</v>
      </c>
      <c r="B29" s="4" t="s">
        <v>14</v>
      </c>
      <c r="C29" s="4" t="s">
        <v>46</v>
      </c>
      <c r="D29" s="4" t="n">
        <v>2.82</v>
      </c>
      <c r="E29" s="4" t="n">
        <v>2.91</v>
      </c>
      <c r="F29" s="4" t="n">
        <v>2.94</v>
      </c>
      <c r="G29" s="4" t="n">
        <v>3.04</v>
      </c>
      <c r="H29" s="4" t="n">
        <v>99</v>
      </c>
      <c r="I29" s="4" t="s">
        <v>54</v>
      </c>
      <c r="J29" s="0" t="n">
        <v>2.82</v>
      </c>
      <c r="K29" s="0" t="n">
        <v>2.91</v>
      </c>
      <c r="L29" s="0" t="n">
        <v>2.94</v>
      </c>
      <c r="M29" s="0" t="n">
        <v>3.04</v>
      </c>
    </row>
    <row r="30" customFormat="false" ht="15" hidden="false" customHeight="true" outlineLevel="0" collapsed="false">
      <c r="A30" s="4" t="s">
        <v>31</v>
      </c>
      <c r="B30" s="4" t="s">
        <v>14</v>
      </c>
      <c r="C30" s="4" t="s">
        <v>46</v>
      </c>
      <c r="D30" s="4" t="n">
        <v>2.79</v>
      </c>
      <c r="E30" s="4" t="n">
        <v>2.86</v>
      </c>
      <c r="F30" s="4" t="n">
        <v>2.91</v>
      </c>
      <c r="G30" s="4" t="n">
        <v>3</v>
      </c>
      <c r="H30" s="4" t="n">
        <v>99</v>
      </c>
      <c r="I30" s="4" t="s">
        <v>55</v>
      </c>
      <c r="J30" s="0" t="n">
        <v>2.79</v>
      </c>
      <c r="K30" s="0" t="n">
        <v>2.86</v>
      </c>
      <c r="L30" s="0" t="n">
        <v>2.91</v>
      </c>
      <c r="M30" s="0" t="n">
        <v>3</v>
      </c>
    </row>
    <row r="31" customFormat="false" ht="15" hidden="false" customHeight="true" outlineLevel="0" collapsed="false">
      <c r="A31" s="4" t="s">
        <v>33</v>
      </c>
      <c r="B31" s="4" t="s">
        <v>14</v>
      </c>
      <c r="C31" s="4" t="s">
        <v>46</v>
      </c>
      <c r="D31" s="4" t="n">
        <v>2.74</v>
      </c>
      <c r="E31" s="4" t="n">
        <v>2.8</v>
      </c>
      <c r="F31" s="4" t="n">
        <v>2.86</v>
      </c>
      <c r="G31" s="4" t="n">
        <v>2.96</v>
      </c>
      <c r="H31" s="4" t="n">
        <v>99</v>
      </c>
      <c r="I31" s="4" t="s">
        <v>56</v>
      </c>
      <c r="J31" s="0" t="n">
        <v>2.74</v>
      </c>
      <c r="K31" s="0" t="n">
        <v>2.8</v>
      </c>
      <c r="L31" s="0" t="n">
        <v>2.86</v>
      </c>
      <c r="M31" s="0" t="n">
        <v>2.96</v>
      </c>
    </row>
    <row r="32" customFormat="false" ht="15" hidden="false" customHeight="true" outlineLevel="0" collapsed="false">
      <c r="A32" s="4" t="s">
        <v>13</v>
      </c>
      <c r="B32" s="4" t="s">
        <v>14</v>
      </c>
      <c r="C32" s="4" t="s">
        <v>57</v>
      </c>
      <c r="D32" s="4" t="n">
        <v>4.88</v>
      </c>
      <c r="E32" s="4" t="n">
        <v>5.01</v>
      </c>
      <c r="F32" s="4" t="n">
        <v>5.15</v>
      </c>
      <c r="G32" s="4" t="n">
        <v>5.31</v>
      </c>
      <c r="H32" s="4" t="n">
        <v>99</v>
      </c>
      <c r="I32" s="4" t="s">
        <v>58</v>
      </c>
      <c r="J32" s="0" t="n">
        <v>4.88</v>
      </c>
      <c r="K32" s="0" t="n">
        <v>5.01</v>
      </c>
      <c r="L32" s="0" t="n">
        <v>5.15</v>
      </c>
      <c r="M32" s="0" t="n">
        <v>5.31</v>
      </c>
    </row>
    <row r="33" customFormat="false" ht="15" hidden="false" customHeight="true" outlineLevel="0" collapsed="false">
      <c r="A33" s="4" t="s">
        <v>17</v>
      </c>
      <c r="B33" s="4" t="s">
        <v>14</v>
      </c>
      <c r="C33" s="4" t="s">
        <v>57</v>
      </c>
      <c r="D33" s="4" t="n">
        <v>4.73</v>
      </c>
      <c r="E33" s="4" t="n">
        <v>4.86</v>
      </c>
      <c r="F33" s="4" t="n">
        <v>4.99</v>
      </c>
      <c r="G33" s="4" t="n">
        <v>5.14</v>
      </c>
      <c r="H33" s="4" t="n">
        <v>99</v>
      </c>
      <c r="I33" s="4" t="s">
        <v>59</v>
      </c>
      <c r="J33" s="0" t="n">
        <v>4.73</v>
      </c>
      <c r="K33" s="0" t="n">
        <v>4.86</v>
      </c>
      <c r="L33" s="0" t="n">
        <v>4.99</v>
      </c>
      <c r="M33" s="0" t="n">
        <v>5.14</v>
      </c>
    </row>
    <row r="34" customFormat="false" ht="15" hidden="false" customHeight="true" outlineLevel="0" collapsed="false">
      <c r="A34" s="4" t="s">
        <v>19</v>
      </c>
      <c r="B34" s="4" t="s">
        <v>14</v>
      </c>
      <c r="C34" s="4" t="s">
        <v>57</v>
      </c>
      <c r="D34" s="4" t="n">
        <v>4.56</v>
      </c>
      <c r="E34" s="4" t="n">
        <v>4.69</v>
      </c>
      <c r="F34" s="4" t="n">
        <v>4.82</v>
      </c>
      <c r="G34" s="4" t="n">
        <v>4.97</v>
      </c>
      <c r="H34" s="4" t="n">
        <v>99</v>
      </c>
      <c r="I34" s="4" t="s">
        <v>60</v>
      </c>
      <c r="J34" s="0" t="n">
        <v>4.56</v>
      </c>
      <c r="K34" s="0" t="n">
        <v>4.69</v>
      </c>
      <c r="L34" s="0" t="n">
        <v>4.82</v>
      </c>
      <c r="M34" s="0" t="n">
        <v>4.97</v>
      </c>
    </row>
    <row r="35" customFormat="false" ht="15" hidden="false" customHeight="true" outlineLevel="0" collapsed="false">
      <c r="A35" s="4" t="s">
        <v>21</v>
      </c>
      <c r="B35" s="4" t="s">
        <v>14</v>
      </c>
      <c r="C35" s="4" t="s">
        <v>57</v>
      </c>
      <c r="D35" s="4" t="n">
        <v>4.37</v>
      </c>
      <c r="E35" s="4" t="n">
        <v>4.52</v>
      </c>
      <c r="F35" s="4" t="n">
        <v>4.65</v>
      </c>
      <c r="G35" s="4" t="n">
        <v>4.81</v>
      </c>
      <c r="H35" s="4" t="n">
        <v>99</v>
      </c>
      <c r="I35" s="4" t="s">
        <v>61</v>
      </c>
      <c r="J35" s="0" t="n">
        <v>4.37</v>
      </c>
      <c r="K35" s="0" t="n">
        <v>4.52</v>
      </c>
      <c r="L35" s="0" t="n">
        <v>4.65</v>
      </c>
      <c r="M35" s="0" t="n">
        <v>4.81</v>
      </c>
    </row>
    <row r="36" customFormat="false" ht="15" hidden="false" customHeight="true" outlineLevel="0" collapsed="false">
      <c r="A36" s="4" t="s">
        <v>23</v>
      </c>
      <c r="B36" s="4" t="s">
        <v>14</v>
      </c>
      <c r="C36" s="4" t="s">
        <v>57</v>
      </c>
      <c r="D36" s="4" t="n">
        <v>4.17</v>
      </c>
      <c r="E36" s="4" t="n">
        <v>4.29</v>
      </c>
      <c r="F36" s="4" t="n">
        <v>4.42</v>
      </c>
      <c r="G36" s="4" t="n">
        <v>4.57</v>
      </c>
      <c r="H36" s="4" t="n">
        <v>99</v>
      </c>
      <c r="I36" s="4" t="s">
        <v>62</v>
      </c>
      <c r="J36" s="0" t="n">
        <v>4.17</v>
      </c>
      <c r="K36" s="0" t="n">
        <v>4.29</v>
      </c>
      <c r="L36" s="0" t="n">
        <v>4.42</v>
      </c>
      <c r="M36" s="0" t="n">
        <v>4.57</v>
      </c>
    </row>
    <row r="37" customFormat="false" ht="15" hidden="false" customHeight="true" outlineLevel="0" collapsed="false">
      <c r="A37" s="4" t="s">
        <v>25</v>
      </c>
      <c r="B37" s="4" t="s">
        <v>14</v>
      </c>
      <c r="C37" s="4" t="s">
        <v>57</v>
      </c>
      <c r="D37" s="4" t="n">
        <v>4.08</v>
      </c>
      <c r="E37" s="4" t="n">
        <v>4.18</v>
      </c>
      <c r="F37" s="4" t="n">
        <v>4.28</v>
      </c>
      <c r="G37" s="4" t="n">
        <v>4.41</v>
      </c>
      <c r="H37" s="4" t="n">
        <v>99</v>
      </c>
      <c r="I37" s="4" t="s">
        <v>63</v>
      </c>
      <c r="J37" s="0" t="n">
        <v>4.08</v>
      </c>
      <c r="K37" s="0" t="n">
        <v>4.18</v>
      </c>
      <c r="L37" s="0" t="n">
        <v>4.28</v>
      </c>
      <c r="M37" s="0" t="n">
        <v>4.41</v>
      </c>
    </row>
    <row r="38" customFormat="false" ht="15" hidden="false" customHeight="true" outlineLevel="0" collapsed="false">
      <c r="A38" s="4" t="s">
        <v>27</v>
      </c>
      <c r="B38" s="4" t="s">
        <v>14</v>
      </c>
      <c r="C38" s="4" t="s">
        <v>57</v>
      </c>
      <c r="D38" s="4" t="n">
        <v>4.02</v>
      </c>
      <c r="E38" s="4" t="n">
        <v>4.13</v>
      </c>
      <c r="F38" s="4" t="n">
        <v>4.18</v>
      </c>
      <c r="G38" s="4" t="n">
        <v>4.31</v>
      </c>
      <c r="H38" s="4" t="n">
        <v>99</v>
      </c>
      <c r="I38" s="4" t="s">
        <v>64</v>
      </c>
      <c r="J38" s="0" t="n">
        <v>4.02</v>
      </c>
      <c r="K38" s="0" t="n">
        <v>4.13</v>
      </c>
      <c r="L38" s="0" t="n">
        <v>4.18</v>
      </c>
      <c r="M38" s="0" t="n">
        <v>4.31</v>
      </c>
    </row>
    <row r="39" customFormat="false" ht="15" hidden="false" customHeight="true" outlineLevel="0" collapsed="false">
      <c r="A39" s="4" t="s">
        <v>29</v>
      </c>
      <c r="B39" s="4" t="s">
        <v>14</v>
      </c>
      <c r="C39" s="4" t="s">
        <v>57</v>
      </c>
      <c r="D39" s="4" t="n">
        <v>3.96</v>
      </c>
      <c r="E39" s="4" t="n">
        <v>4.06</v>
      </c>
      <c r="F39" s="4" t="n">
        <v>4.11</v>
      </c>
      <c r="G39" s="4" t="n">
        <v>4.24</v>
      </c>
      <c r="H39" s="4" t="n">
        <v>99</v>
      </c>
      <c r="I39" s="4" t="s">
        <v>65</v>
      </c>
      <c r="J39" s="0" t="n">
        <v>3.96</v>
      </c>
      <c r="K39" s="0" t="n">
        <v>4.06</v>
      </c>
      <c r="L39" s="0" t="n">
        <v>4.11</v>
      </c>
      <c r="M39" s="0" t="n">
        <v>4.24</v>
      </c>
    </row>
    <row r="40" customFormat="false" ht="15" hidden="false" customHeight="true" outlineLevel="0" collapsed="false">
      <c r="A40" s="4" t="s">
        <v>31</v>
      </c>
      <c r="B40" s="4" t="s">
        <v>14</v>
      </c>
      <c r="C40" s="4" t="s">
        <v>57</v>
      </c>
      <c r="D40" s="4" t="n">
        <v>3.86</v>
      </c>
      <c r="E40" s="4" t="n">
        <v>3.99</v>
      </c>
      <c r="F40" s="4" t="n">
        <v>4.07</v>
      </c>
      <c r="G40" s="4" t="n">
        <v>4.19</v>
      </c>
      <c r="H40" s="4" t="n">
        <v>99</v>
      </c>
      <c r="I40" s="4" t="s">
        <v>66</v>
      </c>
      <c r="J40" s="0" t="n">
        <v>3.86</v>
      </c>
      <c r="K40" s="0" t="n">
        <v>3.99</v>
      </c>
      <c r="L40" s="0" t="n">
        <v>4.07</v>
      </c>
      <c r="M40" s="0" t="n">
        <v>4.19</v>
      </c>
    </row>
    <row r="41" customFormat="false" ht="15" hidden="false" customHeight="true" outlineLevel="0" collapsed="false">
      <c r="A41" s="4" t="s">
        <v>33</v>
      </c>
      <c r="B41" s="4" t="s">
        <v>14</v>
      </c>
      <c r="C41" s="4" t="s">
        <v>57</v>
      </c>
      <c r="D41" s="4" t="n">
        <v>3.81</v>
      </c>
      <c r="E41" s="4" t="n">
        <v>3.93</v>
      </c>
      <c r="F41" s="4" t="n">
        <v>4</v>
      </c>
      <c r="G41" s="4" t="n">
        <v>4.14</v>
      </c>
      <c r="H41" s="4" t="n">
        <v>99</v>
      </c>
      <c r="I41" s="4" t="s">
        <v>67</v>
      </c>
      <c r="J41" s="0" t="n">
        <v>3.81</v>
      </c>
      <c r="K41" s="0" t="n">
        <v>3.93</v>
      </c>
      <c r="L41" s="0" t="n">
        <v>4</v>
      </c>
      <c r="M41" s="0" t="n">
        <v>4.14</v>
      </c>
    </row>
    <row r="42" customFormat="false" ht="15" hidden="false" customHeight="true" outlineLevel="0" collapsed="false">
      <c r="A42" s="4" t="s">
        <v>13</v>
      </c>
      <c r="B42" s="4" t="s">
        <v>14</v>
      </c>
      <c r="C42" s="4" t="s">
        <v>68</v>
      </c>
      <c r="D42" s="4" t="n">
        <v>7.05</v>
      </c>
      <c r="E42" s="4" t="n">
        <v>7.18</v>
      </c>
      <c r="F42" s="4" t="n">
        <v>7.32</v>
      </c>
      <c r="G42" s="4" t="n">
        <v>7.44</v>
      </c>
      <c r="H42" s="4" t="n">
        <v>99</v>
      </c>
      <c r="I42" s="4" t="s">
        <v>69</v>
      </c>
      <c r="J42" s="0" t="n">
        <v>7.05</v>
      </c>
      <c r="K42" s="0" t="n">
        <v>7.18</v>
      </c>
      <c r="L42" s="0" t="n">
        <v>7.32</v>
      </c>
      <c r="M42" s="0" t="n">
        <v>7.44</v>
      </c>
    </row>
    <row r="43" customFormat="false" ht="15" hidden="false" customHeight="true" outlineLevel="0" collapsed="false">
      <c r="A43" s="4" t="s">
        <v>17</v>
      </c>
      <c r="B43" s="4" t="s">
        <v>14</v>
      </c>
      <c r="C43" s="4" t="s">
        <v>68</v>
      </c>
      <c r="D43" s="4" t="n">
        <v>6.9</v>
      </c>
      <c r="E43" s="4" t="n">
        <v>7.05</v>
      </c>
      <c r="F43" s="4" t="n">
        <v>7.19</v>
      </c>
      <c r="G43" s="4" t="n">
        <v>7.32</v>
      </c>
      <c r="H43" s="4" t="n">
        <v>99</v>
      </c>
      <c r="I43" s="4" t="s">
        <v>70</v>
      </c>
      <c r="J43" s="0" t="n">
        <v>6.9</v>
      </c>
      <c r="K43" s="0" t="n">
        <v>7.05</v>
      </c>
      <c r="L43" s="0" t="n">
        <v>7.19</v>
      </c>
      <c r="M43" s="0" t="n">
        <v>7.32</v>
      </c>
    </row>
    <row r="44" customFormat="false" ht="15" hidden="false" customHeight="true" outlineLevel="0" collapsed="false">
      <c r="A44" s="4" t="s">
        <v>19</v>
      </c>
      <c r="B44" s="4" t="s">
        <v>14</v>
      </c>
      <c r="C44" s="4" t="s">
        <v>68</v>
      </c>
      <c r="D44" s="4" t="n">
        <v>6.74</v>
      </c>
      <c r="E44" s="4" t="n">
        <v>6.9</v>
      </c>
      <c r="F44" s="4" t="n">
        <v>7.04</v>
      </c>
      <c r="G44" s="4" t="n">
        <v>7.17</v>
      </c>
      <c r="H44" s="4" t="n">
        <v>99</v>
      </c>
      <c r="I44" s="4" t="s">
        <v>71</v>
      </c>
      <c r="J44" s="0" t="n">
        <v>6.74</v>
      </c>
      <c r="K44" s="0" t="n">
        <v>6.9</v>
      </c>
      <c r="L44" s="0" t="n">
        <v>7.04</v>
      </c>
      <c r="M44" s="0" t="n">
        <v>7.17</v>
      </c>
    </row>
    <row r="45" customFormat="false" ht="15" hidden="false" customHeight="true" outlineLevel="0" collapsed="false">
      <c r="A45" s="4" t="s">
        <v>21</v>
      </c>
      <c r="B45" s="4" t="s">
        <v>14</v>
      </c>
      <c r="C45" s="4" t="s">
        <v>68</v>
      </c>
      <c r="D45" s="4" t="n">
        <v>6.58</v>
      </c>
      <c r="E45" s="4" t="n">
        <v>6.74</v>
      </c>
      <c r="F45" s="4" t="n">
        <v>6.91</v>
      </c>
      <c r="G45" s="4" t="n">
        <v>7.03</v>
      </c>
      <c r="H45" s="4" t="n">
        <v>99</v>
      </c>
      <c r="I45" s="4" t="s">
        <v>72</v>
      </c>
      <c r="J45" s="0" t="n">
        <v>6.58</v>
      </c>
      <c r="K45" s="0" t="n">
        <v>6.74</v>
      </c>
      <c r="L45" s="0" t="n">
        <v>6.91</v>
      </c>
      <c r="M45" s="0" t="n">
        <v>7.03</v>
      </c>
    </row>
    <row r="46" customFormat="false" ht="15" hidden="false" customHeight="true" outlineLevel="0" collapsed="false">
      <c r="A46" s="4" t="s">
        <v>23</v>
      </c>
      <c r="B46" s="4" t="s">
        <v>14</v>
      </c>
      <c r="C46" s="4" t="s">
        <v>68</v>
      </c>
      <c r="D46" s="4" t="n">
        <v>6.45</v>
      </c>
      <c r="E46" s="4" t="n">
        <v>6.6</v>
      </c>
      <c r="F46" s="4" t="n">
        <v>6.75</v>
      </c>
      <c r="G46" s="4" t="n">
        <v>6.93</v>
      </c>
      <c r="H46" s="4" t="n">
        <v>99</v>
      </c>
      <c r="I46" s="4" t="s">
        <v>73</v>
      </c>
      <c r="J46" s="0" t="n">
        <v>6.45</v>
      </c>
      <c r="K46" s="0" t="n">
        <v>6.6</v>
      </c>
      <c r="L46" s="0" t="n">
        <v>6.75</v>
      </c>
      <c r="M46" s="0" t="n">
        <v>6.93</v>
      </c>
    </row>
    <row r="47" customFormat="false" ht="15" hidden="false" customHeight="true" outlineLevel="0" collapsed="false">
      <c r="A47" s="4" t="s">
        <v>25</v>
      </c>
      <c r="B47" s="4" t="s">
        <v>14</v>
      </c>
      <c r="C47" s="4" t="s">
        <v>68</v>
      </c>
      <c r="D47" s="4" t="n">
        <v>6.37</v>
      </c>
      <c r="E47" s="4" t="n">
        <v>6.52</v>
      </c>
      <c r="F47" s="4" t="n">
        <v>6.67</v>
      </c>
      <c r="G47" s="4" t="n">
        <v>6.88</v>
      </c>
      <c r="H47" s="4" t="n">
        <v>99</v>
      </c>
      <c r="I47" s="4" t="s">
        <v>74</v>
      </c>
      <c r="J47" s="0" t="n">
        <v>6.37</v>
      </c>
      <c r="K47" s="0" t="n">
        <v>6.52</v>
      </c>
      <c r="L47" s="0" t="n">
        <v>6.67</v>
      </c>
      <c r="M47" s="0" t="n">
        <v>6.88</v>
      </c>
    </row>
    <row r="48" customFormat="false" ht="15" hidden="false" customHeight="true" outlineLevel="0" collapsed="false">
      <c r="A48" s="4" t="s">
        <v>27</v>
      </c>
      <c r="B48" s="4" t="s">
        <v>14</v>
      </c>
      <c r="C48" s="4" t="s">
        <v>68</v>
      </c>
      <c r="D48" s="4" t="n">
        <v>6.3</v>
      </c>
      <c r="E48" s="4" t="n">
        <v>6.46</v>
      </c>
      <c r="F48" s="4" t="n">
        <v>6.58</v>
      </c>
      <c r="G48" s="4" t="n">
        <v>6.8</v>
      </c>
      <c r="H48" s="4" t="n">
        <v>99</v>
      </c>
      <c r="I48" s="4" t="s">
        <v>75</v>
      </c>
      <c r="J48" s="0" t="n">
        <v>6.3</v>
      </c>
      <c r="K48" s="0" t="n">
        <v>6.46</v>
      </c>
      <c r="L48" s="0" t="n">
        <v>6.58</v>
      </c>
      <c r="M48" s="0" t="n">
        <v>6.8</v>
      </c>
    </row>
    <row r="49" customFormat="false" ht="15" hidden="false" customHeight="true" outlineLevel="0" collapsed="false">
      <c r="A49" s="4" t="s">
        <v>29</v>
      </c>
      <c r="B49" s="4" t="s">
        <v>14</v>
      </c>
      <c r="C49" s="4" t="s">
        <v>68</v>
      </c>
      <c r="D49" s="4" t="n">
        <v>6.19</v>
      </c>
      <c r="E49" s="4" t="n">
        <v>6.3</v>
      </c>
      <c r="F49" s="4" t="n">
        <v>6.45</v>
      </c>
      <c r="G49" s="4" t="n">
        <v>6.63</v>
      </c>
      <c r="H49" s="4" t="n">
        <v>99</v>
      </c>
      <c r="I49" s="4" t="s">
        <v>76</v>
      </c>
      <c r="J49" s="0" t="n">
        <v>6.19</v>
      </c>
      <c r="K49" s="0" t="n">
        <v>6.3</v>
      </c>
      <c r="L49" s="0" t="n">
        <v>6.45</v>
      </c>
      <c r="M49" s="0" t="n">
        <v>6.63</v>
      </c>
    </row>
    <row r="50" customFormat="false" ht="15" hidden="false" customHeight="true" outlineLevel="0" collapsed="false">
      <c r="A50" s="4" t="s">
        <v>31</v>
      </c>
      <c r="B50" s="4" t="s">
        <v>14</v>
      </c>
      <c r="C50" s="4" t="s">
        <v>68</v>
      </c>
      <c r="D50" s="4" t="n">
        <v>6.04</v>
      </c>
      <c r="E50" s="4" t="n">
        <v>6.18</v>
      </c>
      <c r="F50" s="4" t="n">
        <v>6.32</v>
      </c>
      <c r="G50" s="4" t="n">
        <v>6.48</v>
      </c>
      <c r="H50" s="4" t="n">
        <v>99</v>
      </c>
      <c r="I50" s="4" t="s">
        <v>77</v>
      </c>
      <c r="J50" s="0" t="n">
        <v>6.04</v>
      </c>
      <c r="K50" s="0" t="n">
        <v>6.18</v>
      </c>
      <c r="L50" s="0" t="n">
        <v>6.32</v>
      </c>
      <c r="M50" s="0" t="n">
        <v>6.48</v>
      </c>
    </row>
    <row r="51" customFormat="false" ht="15" hidden="false" customHeight="true" outlineLevel="0" collapsed="false">
      <c r="A51" s="4" t="s">
        <v>33</v>
      </c>
      <c r="B51" s="4" t="s">
        <v>14</v>
      </c>
      <c r="C51" s="4" t="s">
        <v>68</v>
      </c>
      <c r="D51" s="4" t="n">
        <v>5.95</v>
      </c>
      <c r="E51" s="4" t="n">
        <v>6.1</v>
      </c>
      <c r="F51" s="4" t="n">
        <v>6.23</v>
      </c>
      <c r="G51" s="4" t="n">
        <v>6.37</v>
      </c>
      <c r="H51" s="4" t="n">
        <v>99</v>
      </c>
      <c r="I51" s="4" t="s">
        <v>78</v>
      </c>
      <c r="J51" s="0" t="n">
        <v>5.95</v>
      </c>
      <c r="K51" s="0" t="n">
        <v>6.1</v>
      </c>
      <c r="L51" s="0" t="n">
        <v>6.23</v>
      </c>
      <c r="M51" s="0" t="n">
        <v>6.37</v>
      </c>
    </row>
    <row r="52" customFormat="false" ht="15" hidden="false" customHeight="true" outlineLevel="0" collapsed="false">
      <c r="A52" s="4" t="s">
        <v>13</v>
      </c>
      <c r="B52" s="4" t="s">
        <v>14</v>
      </c>
      <c r="C52" s="4" t="s">
        <v>79</v>
      </c>
      <c r="D52" s="4" t="n">
        <v>8.55</v>
      </c>
      <c r="E52" s="4" t="n">
        <v>8.83</v>
      </c>
      <c r="F52" s="4" t="n">
        <v>9.09</v>
      </c>
      <c r="G52" s="4" t="n">
        <v>9.4</v>
      </c>
      <c r="H52" s="4" t="n">
        <v>99</v>
      </c>
      <c r="I52" s="4" t="s">
        <v>80</v>
      </c>
      <c r="J52" s="0" t="n">
        <v>8.55</v>
      </c>
      <c r="K52" s="0" t="n">
        <v>8.83</v>
      </c>
      <c r="L52" s="0" t="n">
        <v>9.09</v>
      </c>
      <c r="M52" s="0" t="n">
        <v>9.4</v>
      </c>
    </row>
    <row r="53" customFormat="false" ht="15" hidden="false" customHeight="true" outlineLevel="0" collapsed="false">
      <c r="A53" s="4" t="s">
        <v>17</v>
      </c>
      <c r="B53" s="4" t="s">
        <v>14</v>
      </c>
      <c r="C53" s="4" t="s">
        <v>79</v>
      </c>
      <c r="D53" s="4" t="n">
        <v>8.21</v>
      </c>
      <c r="E53" s="4" t="n">
        <v>8.5</v>
      </c>
      <c r="F53" s="4" t="n">
        <v>8.73</v>
      </c>
      <c r="G53" s="4" t="n">
        <v>9.03</v>
      </c>
      <c r="H53" s="4" t="n">
        <v>99</v>
      </c>
      <c r="I53" s="4" t="s">
        <v>81</v>
      </c>
      <c r="J53" s="0" t="n">
        <v>8.21</v>
      </c>
      <c r="K53" s="0" t="n">
        <v>8.5</v>
      </c>
      <c r="L53" s="0" t="n">
        <v>8.73</v>
      </c>
      <c r="M53" s="0" t="n">
        <v>9.03</v>
      </c>
    </row>
    <row r="54" customFormat="false" ht="15" hidden="false" customHeight="true" outlineLevel="0" collapsed="false">
      <c r="A54" s="4" t="s">
        <v>19</v>
      </c>
      <c r="B54" s="4" t="s">
        <v>14</v>
      </c>
      <c r="C54" s="4" t="s">
        <v>79</v>
      </c>
      <c r="D54" s="4" t="n">
        <v>8</v>
      </c>
      <c r="E54" s="4" t="n">
        <v>8.21</v>
      </c>
      <c r="F54" s="4" t="n">
        <v>8.45</v>
      </c>
      <c r="G54" s="4" t="n">
        <v>8.73</v>
      </c>
      <c r="H54" s="4" t="n">
        <v>99</v>
      </c>
      <c r="I54" s="4" t="s">
        <v>82</v>
      </c>
      <c r="J54" s="0" t="n">
        <v>8</v>
      </c>
      <c r="K54" s="0" t="n">
        <v>8.21</v>
      </c>
      <c r="L54" s="0" t="n">
        <v>8.45</v>
      </c>
      <c r="M54" s="0" t="n">
        <v>8.73</v>
      </c>
    </row>
    <row r="55" customFormat="false" ht="15" hidden="false" customHeight="true" outlineLevel="0" collapsed="false">
      <c r="A55" s="4" t="s">
        <v>21</v>
      </c>
      <c r="B55" s="4" t="s">
        <v>14</v>
      </c>
      <c r="C55" s="4" t="s">
        <v>79</v>
      </c>
      <c r="D55" s="4" t="n">
        <v>7.73</v>
      </c>
      <c r="E55" s="4" t="n">
        <v>7.99</v>
      </c>
      <c r="F55" s="4" t="n">
        <v>8.22</v>
      </c>
      <c r="G55" s="4" t="n">
        <v>8.49</v>
      </c>
      <c r="H55" s="4" t="n">
        <v>99</v>
      </c>
      <c r="I55" s="4" t="s">
        <v>83</v>
      </c>
      <c r="J55" s="0" t="n">
        <v>7.73</v>
      </c>
      <c r="K55" s="0" t="n">
        <v>7.99</v>
      </c>
      <c r="L55" s="0" t="n">
        <v>8.22</v>
      </c>
      <c r="M55" s="0" t="n">
        <v>8.49</v>
      </c>
    </row>
    <row r="56" customFormat="false" ht="15" hidden="false" customHeight="true" outlineLevel="0" collapsed="false">
      <c r="A56" s="4" t="s">
        <v>23</v>
      </c>
      <c r="B56" s="4" t="s">
        <v>14</v>
      </c>
      <c r="C56" s="4" t="s">
        <v>79</v>
      </c>
      <c r="D56" s="4" t="n">
        <v>7.58</v>
      </c>
      <c r="E56" s="4" t="n">
        <v>7.84</v>
      </c>
      <c r="F56" s="4" t="n">
        <v>8.08</v>
      </c>
      <c r="G56" s="4" t="n">
        <v>8.36</v>
      </c>
      <c r="H56" s="4" t="n">
        <v>99</v>
      </c>
      <c r="I56" s="4" t="s">
        <v>84</v>
      </c>
      <c r="J56" s="0" t="n">
        <v>7.58</v>
      </c>
      <c r="K56" s="0" t="n">
        <v>7.84</v>
      </c>
      <c r="L56" s="0" t="n">
        <v>8.08</v>
      </c>
      <c r="M56" s="0" t="n">
        <v>8.36</v>
      </c>
    </row>
    <row r="57" customFormat="false" ht="15" hidden="false" customHeight="true" outlineLevel="0" collapsed="false">
      <c r="A57" s="4" t="s">
        <v>25</v>
      </c>
      <c r="B57" s="4" t="s">
        <v>14</v>
      </c>
      <c r="C57" s="4" t="s">
        <v>79</v>
      </c>
      <c r="D57" s="4" t="n">
        <v>7.45</v>
      </c>
      <c r="E57" s="4" t="n">
        <v>7.64</v>
      </c>
      <c r="F57" s="4" t="n">
        <v>7.82</v>
      </c>
      <c r="G57" s="4" t="n">
        <v>8.03</v>
      </c>
      <c r="H57" s="4" t="n">
        <v>99</v>
      </c>
      <c r="I57" s="4" t="s">
        <v>85</v>
      </c>
      <c r="J57" s="0" t="n">
        <v>7.45</v>
      </c>
      <c r="K57" s="0" t="n">
        <v>7.64</v>
      </c>
      <c r="L57" s="0" t="n">
        <v>7.82</v>
      </c>
      <c r="M57" s="0" t="n">
        <v>8.03</v>
      </c>
    </row>
    <row r="58" customFormat="false" ht="15" hidden="false" customHeight="true" outlineLevel="0" collapsed="false">
      <c r="A58" s="4" t="s">
        <v>27</v>
      </c>
      <c r="B58" s="4" t="s">
        <v>14</v>
      </c>
      <c r="C58" s="4" t="s">
        <v>79</v>
      </c>
      <c r="D58" s="4" t="n">
        <v>7.35</v>
      </c>
      <c r="E58" s="4" t="n">
        <v>7.49</v>
      </c>
      <c r="F58" s="4" t="n">
        <v>7.61</v>
      </c>
      <c r="G58" s="4" t="n">
        <v>7.8</v>
      </c>
      <c r="H58" s="4" t="n">
        <v>99</v>
      </c>
      <c r="I58" s="4" t="s">
        <v>86</v>
      </c>
      <c r="J58" s="0" t="n">
        <v>7.35</v>
      </c>
      <c r="K58" s="0" t="n">
        <v>7.49</v>
      </c>
      <c r="L58" s="0" t="n">
        <v>7.61</v>
      </c>
      <c r="M58" s="0" t="n">
        <v>7.8</v>
      </c>
    </row>
    <row r="59" customFormat="false" ht="15" hidden="false" customHeight="true" outlineLevel="0" collapsed="false">
      <c r="A59" s="4" t="s">
        <v>29</v>
      </c>
      <c r="B59" s="4" t="s">
        <v>14</v>
      </c>
      <c r="C59" s="4" t="s">
        <v>79</v>
      </c>
      <c r="D59" s="4" t="n">
        <v>7.27</v>
      </c>
      <c r="E59" s="4" t="n">
        <v>7.42</v>
      </c>
      <c r="F59" s="4" t="n">
        <v>7.52</v>
      </c>
      <c r="G59" s="4" t="n">
        <v>7.73</v>
      </c>
      <c r="H59" s="4" t="n">
        <v>99</v>
      </c>
      <c r="I59" s="4" t="s">
        <v>87</v>
      </c>
      <c r="J59" s="0" t="n">
        <v>7.27</v>
      </c>
      <c r="K59" s="0" t="n">
        <v>7.42</v>
      </c>
      <c r="L59" s="0" t="n">
        <v>7.52</v>
      </c>
      <c r="M59" s="0" t="n">
        <v>7.73</v>
      </c>
    </row>
    <row r="60" customFormat="false" ht="15" hidden="false" customHeight="true" outlineLevel="0" collapsed="false">
      <c r="A60" s="4" t="s">
        <v>31</v>
      </c>
      <c r="B60" s="4" t="s">
        <v>14</v>
      </c>
      <c r="C60" s="4" t="s">
        <v>79</v>
      </c>
      <c r="D60" s="4" t="n">
        <v>7.19</v>
      </c>
      <c r="E60" s="4" t="n">
        <v>7.36</v>
      </c>
      <c r="F60" s="4" t="n">
        <v>7.45</v>
      </c>
      <c r="G60" s="4" t="n">
        <v>7.66</v>
      </c>
      <c r="H60" s="4" t="n">
        <v>99</v>
      </c>
      <c r="I60" s="4" t="s">
        <v>88</v>
      </c>
      <c r="J60" s="0" t="n">
        <v>7.19</v>
      </c>
      <c r="K60" s="0" t="n">
        <v>7.36</v>
      </c>
      <c r="L60" s="0" t="n">
        <v>7.45</v>
      </c>
      <c r="M60" s="0" t="n">
        <v>7.66</v>
      </c>
    </row>
    <row r="61" customFormat="false" ht="15" hidden="false" customHeight="true" outlineLevel="0" collapsed="false">
      <c r="A61" s="4" t="s">
        <v>33</v>
      </c>
      <c r="B61" s="4" t="s">
        <v>14</v>
      </c>
      <c r="C61" s="4" t="s">
        <v>79</v>
      </c>
      <c r="D61" s="4" t="n">
        <v>7.11</v>
      </c>
      <c r="E61" s="4" t="n">
        <v>7.28</v>
      </c>
      <c r="F61" s="4" t="n">
        <v>7.38</v>
      </c>
      <c r="G61" s="4" t="n">
        <v>7.58</v>
      </c>
      <c r="H61" s="4" t="n">
        <v>99</v>
      </c>
      <c r="I61" s="4" t="s">
        <v>89</v>
      </c>
      <c r="J61" s="0" t="n">
        <v>7.11</v>
      </c>
      <c r="K61" s="0" t="n">
        <v>7.28</v>
      </c>
      <c r="L61" s="0" t="n">
        <v>7.38</v>
      </c>
      <c r="M61" s="0" t="n">
        <v>7.58</v>
      </c>
    </row>
    <row r="62" customFormat="false" ht="15" hidden="false" customHeight="true" outlineLevel="0" collapsed="false">
      <c r="A62" s="4" t="s">
        <v>13</v>
      </c>
      <c r="B62" s="4" t="s">
        <v>14</v>
      </c>
      <c r="C62" s="4" t="s">
        <v>90</v>
      </c>
      <c r="D62" s="4" t="n">
        <v>9.89</v>
      </c>
      <c r="E62" s="4" t="n">
        <v>10.24</v>
      </c>
      <c r="F62" s="4" t="n">
        <v>10.58</v>
      </c>
      <c r="G62" s="4" t="n">
        <v>11.02</v>
      </c>
      <c r="H62" s="4" t="n">
        <v>99</v>
      </c>
      <c r="I62" s="4" t="s">
        <v>91</v>
      </c>
      <c r="J62" s="0" t="n">
        <v>9.89</v>
      </c>
      <c r="K62" s="0" t="n">
        <v>10.24</v>
      </c>
      <c r="L62" s="0" t="n">
        <v>10.58</v>
      </c>
      <c r="M62" s="0" t="n">
        <v>11.02</v>
      </c>
    </row>
    <row r="63" customFormat="false" ht="15" hidden="false" customHeight="true" outlineLevel="0" collapsed="false">
      <c r="A63" s="4" t="s">
        <v>17</v>
      </c>
      <c r="B63" s="4" t="s">
        <v>14</v>
      </c>
      <c r="C63" s="4" t="s">
        <v>90</v>
      </c>
      <c r="D63" s="4" t="n">
        <v>9.51</v>
      </c>
      <c r="E63" s="4" t="n">
        <v>9.84</v>
      </c>
      <c r="F63" s="4" t="n">
        <v>10.14</v>
      </c>
      <c r="G63" s="4" t="n">
        <v>10.53</v>
      </c>
      <c r="H63" s="4" t="n">
        <v>99</v>
      </c>
      <c r="I63" s="4" t="s">
        <v>92</v>
      </c>
      <c r="J63" s="0" t="n">
        <v>9.51</v>
      </c>
      <c r="K63" s="0" t="n">
        <v>9.84</v>
      </c>
      <c r="L63" s="0" t="n">
        <v>10.14</v>
      </c>
      <c r="M63" s="0" t="n">
        <v>10.53</v>
      </c>
    </row>
    <row r="64" customFormat="false" ht="15" hidden="false" customHeight="true" outlineLevel="0" collapsed="false">
      <c r="A64" s="4" t="s">
        <v>19</v>
      </c>
      <c r="B64" s="4" t="s">
        <v>14</v>
      </c>
      <c r="C64" s="4" t="s">
        <v>90</v>
      </c>
      <c r="D64" s="4" t="n">
        <v>9.27</v>
      </c>
      <c r="E64" s="4" t="n">
        <v>9.58</v>
      </c>
      <c r="F64" s="4" t="n">
        <v>9.86</v>
      </c>
      <c r="G64" s="4" t="n">
        <v>10.18</v>
      </c>
      <c r="H64" s="4" t="n">
        <v>99</v>
      </c>
      <c r="I64" s="4" t="s">
        <v>93</v>
      </c>
      <c r="J64" s="0" t="n">
        <v>9.27</v>
      </c>
      <c r="K64" s="0" t="n">
        <v>9.58</v>
      </c>
      <c r="L64" s="0" t="n">
        <v>9.86</v>
      </c>
      <c r="M64" s="0" t="n">
        <v>10.18</v>
      </c>
    </row>
    <row r="65" customFormat="false" ht="15" hidden="false" customHeight="true" outlineLevel="0" collapsed="false">
      <c r="A65" s="4" t="s">
        <v>21</v>
      </c>
      <c r="B65" s="4" t="s">
        <v>14</v>
      </c>
      <c r="C65" s="4" t="s">
        <v>90</v>
      </c>
      <c r="D65" s="4" t="n">
        <v>8.98</v>
      </c>
      <c r="E65" s="4" t="n">
        <v>9.31</v>
      </c>
      <c r="F65" s="4" t="n">
        <v>9.56</v>
      </c>
      <c r="G65" s="4" t="n">
        <v>9.92</v>
      </c>
      <c r="H65" s="4" t="n">
        <v>99</v>
      </c>
      <c r="I65" s="4" t="s">
        <v>94</v>
      </c>
      <c r="J65" s="0" t="n">
        <v>8.98</v>
      </c>
      <c r="K65" s="0" t="n">
        <v>9.31</v>
      </c>
      <c r="L65" s="0" t="n">
        <v>9.56</v>
      </c>
      <c r="M65" s="0" t="n">
        <v>9.92</v>
      </c>
    </row>
    <row r="66" customFormat="false" ht="15" hidden="false" customHeight="true" outlineLevel="0" collapsed="false">
      <c r="A66" s="4" t="s">
        <v>23</v>
      </c>
      <c r="B66" s="4" t="s">
        <v>14</v>
      </c>
      <c r="C66" s="4" t="s">
        <v>90</v>
      </c>
      <c r="D66" s="4" t="n">
        <v>8.75</v>
      </c>
      <c r="E66" s="4" t="n">
        <v>9.04</v>
      </c>
      <c r="F66" s="4" t="n">
        <v>9.28</v>
      </c>
      <c r="G66" s="4" t="n">
        <v>9.57</v>
      </c>
      <c r="H66" s="4" t="n">
        <v>99</v>
      </c>
      <c r="I66" s="4" t="s">
        <v>95</v>
      </c>
      <c r="J66" s="0" t="n">
        <v>8.75</v>
      </c>
      <c r="K66" s="0" t="n">
        <v>9.04</v>
      </c>
      <c r="L66" s="0" t="n">
        <v>9.28</v>
      </c>
      <c r="M66" s="0" t="n">
        <v>9.57</v>
      </c>
    </row>
    <row r="67" customFormat="false" ht="15" hidden="false" customHeight="true" outlineLevel="0" collapsed="false">
      <c r="A67" s="4" t="s">
        <v>25</v>
      </c>
      <c r="B67" s="4" t="s">
        <v>14</v>
      </c>
      <c r="C67" s="4" t="s">
        <v>90</v>
      </c>
      <c r="D67" s="4" t="n">
        <v>8.57</v>
      </c>
      <c r="E67" s="4" t="n">
        <v>8.83</v>
      </c>
      <c r="F67" s="4" t="n">
        <v>9.02</v>
      </c>
      <c r="G67" s="4" t="n">
        <v>9.31</v>
      </c>
      <c r="H67" s="4" t="n">
        <v>99</v>
      </c>
      <c r="I67" s="4" t="s">
        <v>96</v>
      </c>
      <c r="J67" s="0" t="n">
        <v>8.57</v>
      </c>
      <c r="K67" s="0" t="n">
        <v>8.83</v>
      </c>
      <c r="L67" s="0" t="n">
        <v>9.02</v>
      </c>
      <c r="M67" s="0" t="n">
        <v>9.31</v>
      </c>
    </row>
    <row r="68" customFormat="false" ht="15" hidden="false" customHeight="true" outlineLevel="0" collapsed="false">
      <c r="A68" s="4" t="s">
        <v>27</v>
      </c>
      <c r="B68" s="4" t="s">
        <v>14</v>
      </c>
      <c r="C68" s="4" t="s">
        <v>90</v>
      </c>
      <c r="D68" s="4" t="n">
        <v>8.39</v>
      </c>
      <c r="E68" s="4" t="n">
        <v>8.6</v>
      </c>
      <c r="F68" s="4" t="n">
        <v>8.74</v>
      </c>
      <c r="G68" s="4" t="n">
        <v>8.99</v>
      </c>
      <c r="H68" s="4" t="n">
        <v>99</v>
      </c>
      <c r="I68" s="4" t="s">
        <v>97</v>
      </c>
      <c r="J68" s="0" t="n">
        <v>8.39</v>
      </c>
      <c r="K68" s="0" t="n">
        <v>8.6</v>
      </c>
      <c r="L68" s="0" t="n">
        <v>8.74</v>
      </c>
      <c r="M68" s="0" t="n">
        <v>8.99</v>
      </c>
    </row>
    <row r="69" customFormat="false" ht="15" hidden="false" customHeight="true" outlineLevel="0" collapsed="false">
      <c r="A69" s="4" t="s">
        <v>29</v>
      </c>
      <c r="B69" s="4" t="s">
        <v>14</v>
      </c>
      <c r="C69" s="4" t="s">
        <v>90</v>
      </c>
      <c r="D69" s="4" t="n">
        <v>8.3</v>
      </c>
      <c r="E69" s="4" t="n">
        <v>8.47</v>
      </c>
      <c r="F69" s="4" t="n">
        <v>8.6</v>
      </c>
      <c r="G69" s="4" t="n">
        <v>8.82</v>
      </c>
      <c r="H69" s="4" t="n">
        <v>99</v>
      </c>
      <c r="I69" s="4" t="s">
        <v>98</v>
      </c>
      <c r="J69" s="0" t="n">
        <v>8.3</v>
      </c>
      <c r="K69" s="0" t="n">
        <v>8.47</v>
      </c>
      <c r="L69" s="0" t="n">
        <v>8.6</v>
      </c>
      <c r="M69" s="0" t="n">
        <v>8.82</v>
      </c>
    </row>
    <row r="70" customFormat="false" ht="15" hidden="false" customHeight="true" outlineLevel="0" collapsed="false">
      <c r="A70" s="4" t="s">
        <v>31</v>
      </c>
      <c r="B70" s="4" t="s">
        <v>14</v>
      </c>
      <c r="C70" s="4" t="s">
        <v>90</v>
      </c>
      <c r="D70" s="4" t="n">
        <v>8.21</v>
      </c>
      <c r="E70" s="4" t="n">
        <v>8.41</v>
      </c>
      <c r="F70" s="4" t="n">
        <v>8.52</v>
      </c>
      <c r="G70" s="4" t="n">
        <v>8.74</v>
      </c>
      <c r="H70" s="4" t="n">
        <v>99</v>
      </c>
      <c r="I70" s="4" t="s">
        <v>99</v>
      </c>
      <c r="J70" s="0" t="n">
        <v>8.21</v>
      </c>
      <c r="K70" s="0" t="n">
        <v>8.41</v>
      </c>
      <c r="L70" s="0" t="n">
        <v>8.52</v>
      </c>
      <c r="M70" s="0" t="n">
        <v>8.74</v>
      </c>
    </row>
    <row r="71" customFormat="false" ht="15" hidden="false" customHeight="true" outlineLevel="0" collapsed="false">
      <c r="A71" s="4" t="s">
        <v>33</v>
      </c>
      <c r="B71" s="4" t="s">
        <v>14</v>
      </c>
      <c r="C71" s="4" t="s">
        <v>90</v>
      </c>
      <c r="D71" s="4" t="n">
        <v>8.13</v>
      </c>
      <c r="E71" s="4" t="n">
        <v>8.32</v>
      </c>
      <c r="F71" s="4" t="n">
        <v>8.44</v>
      </c>
      <c r="G71" s="4" t="n">
        <v>8.65</v>
      </c>
      <c r="H71" s="4" t="n">
        <v>99</v>
      </c>
      <c r="I71" s="4" t="s">
        <v>100</v>
      </c>
      <c r="J71" s="0" t="n">
        <v>8.13</v>
      </c>
      <c r="K71" s="0" t="n">
        <v>8.32</v>
      </c>
      <c r="L71" s="0" t="n">
        <v>8.44</v>
      </c>
      <c r="M71" s="0" t="n">
        <v>8.65</v>
      </c>
    </row>
    <row r="72" customFormat="false" ht="15" hidden="false" customHeight="true" outlineLevel="0" collapsed="false">
      <c r="A72" s="4" t="s">
        <v>13</v>
      </c>
      <c r="B72" s="4" t="s">
        <v>14</v>
      </c>
      <c r="C72" s="4" t="s">
        <v>101</v>
      </c>
      <c r="D72" s="4" t="n">
        <v>27.3</v>
      </c>
      <c r="E72" s="4" t="n">
        <v>25.5</v>
      </c>
      <c r="F72" s="4" t="n">
        <v>23.7</v>
      </c>
      <c r="G72" s="4" t="n">
        <v>22.3</v>
      </c>
      <c r="H72" s="4" t="n">
        <v>0</v>
      </c>
      <c r="I72" s="4" t="s">
        <v>102</v>
      </c>
      <c r="J72" s="4" t="n">
        <v>27.3</v>
      </c>
      <c r="K72" s="0" t="n">
        <v>25.5</v>
      </c>
      <c r="L72" s="0" t="n">
        <v>23.7</v>
      </c>
      <c r="M72" s="0" t="n">
        <v>22.3</v>
      </c>
    </row>
    <row r="73" customFormat="false" ht="15" hidden="false" customHeight="true" outlineLevel="0" collapsed="false">
      <c r="A73" s="4" t="s">
        <v>17</v>
      </c>
      <c r="B73" s="4" t="s">
        <v>14</v>
      </c>
      <c r="C73" s="4" t="s">
        <v>101</v>
      </c>
      <c r="D73" s="4" t="n">
        <v>29.3</v>
      </c>
      <c r="E73" s="4" t="n">
        <v>27.2</v>
      </c>
      <c r="F73" s="4" t="n">
        <v>25.5</v>
      </c>
      <c r="G73" s="4" t="n">
        <v>23.5</v>
      </c>
      <c r="H73" s="4" t="n">
        <v>0</v>
      </c>
      <c r="I73" s="4" t="s">
        <v>103</v>
      </c>
      <c r="J73" s="0" t="n">
        <v>29.3</v>
      </c>
      <c r="K73" s="0" t="n">
        <v>27.2</v>
      </c>
      <c r="L73" s="0" t="n">
        <v>25.5</v>
      </c>
      <c r="M73" s="0" t="n">
        <v>23.5</v>
      </c>
    </row>
    <row r="74" customFormat="false" ht="15" hidden="false" customHeight="true" outlineLevel="0" collapsed="false">
      <c r="A74" s="4" t="s">
        <v>19</v>
      </c>
      <c r="B74" s="4" t="s">
        <v>14</v>
      </c>
      <c r="C74" s="4" t="s">
        <v>101</v>
      </c>
      <c r="D74" s="4" t="n">
        <v>32.2</v>
      </c>
      <c r="E74" s="4" t="n">
        <v>29.1</v>
      </c>
      <c r="F74" s="4" t="n">
        <v>27.2</v>
      </c>
      <c r="G74" s="4" t="n">
        <v>25.2</v>
      </c>
      <c r="H74" s="4" t="n">
        <v>0</v>
      </c>
      <c r="I74" s="4" t="s">
        <v>104</v>
      </c>
      <c r="J74" s="0" t="n">
        <v>32.2</v>
      </c>
      <c r="K74" s="0" t="n">
        <v>29.1</v>
      </c>
      <c r="L74" s="0" t="n">
        <v>27.2</v>
      </c>
      <c r="M74" s="0" t="n">
        <v>25.2</v>
      </c>
    </row>
    <row r="75" customFormat="false" ht="15" hidden="false" customHeight="true" outlineLevel="0" collapsed="false">
      <c r="A75" s="4" t="s">
        <v>21</v>
      </c>
      <c r="B75" s="4" t="s">
        <v>14</v>
      </c>
      <c r="C75" s="4" t="s">
        <v>101</v>
      </c>
      <c r="D75" s="4" t="n">
        <v>35.2</v>
      </c>
      <c r="E75" s="4" t="n">
        <v>31.4</v>
      </c>
      <c r="F75" s="4" t="n">
        <v>29.4</v>
      </c>
      <c r="G75" s="4" t="n">
        <v>27.3</v>
      </c>
      <c r="H75" s="4" t="n">
        <v>0</v>
      </c>
      <c r="I75" s="4" t="s">
        <v>105</v>
      </c>
      <c r="J75" s="0" t="n">
        <v>35.2</v>
      </c>
      <c r="K75" s="0" t="n">
        <v>31.4</v>
      </c>
      <c r="L75" s="0" t="n">
        <v>29.4</v>
      </c>
      <c r="M75" s="0" t="n">
        <v>27.3</v>
      </c>
    </row>
    <row r="76" customFormat="false" ht="15" hidden="false" customHeight="true" outlineLevel="0" collapsed="false">
      <c r="A76" s="4" t="s">
        <v>23</v>
      </c>
      <c r="B76" s="4" t="s">
        <v>14</v>
      </c>
      <c r="C76" s="4" t="s">
        <v>101</v>
      </c>
      <c r="D76" s="4" t="n">
        <v>38.1</v>
      </c>
      <c r="E76" s="4" t="n">
        <v>35.1</v>
      </c>
      <c r="F76" s="4" t="n">
        <v>32.8</v>
      </c>
      <c r="G76" s="4" t="n">
        <v>30.7</v>
      </c>
      <c r="H76" s="4" t="n">
        <v>0</v>
      </c>
      <c r="I76" s="4" t="s">
        <v>106</v>
      </c>
      <c r="J76" s="0" t="n">
        <v>38.1</v>
      </c>
      <c r="K76" s="0" t="n">
        <v>35.1</v>
      </c>
      <c r="L76" s="0" t="n">
        <v>32.8</v>
      </c>
      <c r="M76" s="0" t="n">
        <v>30.7</v>
      </c>
    </row>
    <row r="77" customFormat="false" ht="15" hidden="false" customHeight="true" outlineLevel="0" collapsed="false">
      <c r="A77" s="4" t="s">
        <v>25</v>
      </c>
      <c r="B77" s="4" t="s">
        <v>14</v>
      </c>
      <c r="C77" s="4" t="s">
        <v>101</v>
      </c>
      <c r="D77" s="4" t="n">
        <v>41.3</v>
      </c>
      <c r="E77" s="4" t="n">
        <v>37.5</v>
      </c>
      <c r="F77" s="4" t="n">
        <v>35.4</v>
      </c>
      <c r="G77" s="4" t="n">
        <v>33</v>
      </c>
      <c r="H77" s="4" t="n">
        <v>0</v>
      </c>
      <c r="I77" s="4" t="s">
        <v>107</v>
      </c>
      <c r="J77" s="0" t="n">
        <v>41.3</v>
      </c>
      <c r="K77" s="0" t="n">
        <v>37.5</v>
      </c>
      <c r="L77" s="0" t="n">
        <v>35.4</v>
      </c>
      <c r="M77" s="0" t="n">
        <v>33</v>
      </c>
    </row>
    <row r="78" customFormat="false" ht="15" hidden="false" customHeight="true" outlineLevel="0" collapsed="false">
      <c r="A78" s="4" t="s">
        <v>27</v>
      </c>
      <c r="B78" s="4" t="s">
        <v>14</v>
      </c>
      <c r="C78" s="4" t="s">
        <v>101</v>
      </c>
      <c r="D78" s="4" t="n">
        <v>43</v>
      </c>
      <c r="E78" s="4" t="n">
        <v>39.6</v>
      </c>
      <c r="F78" s="4" t="n">
        <v>37.9</v>
      </c>
      <c r="G78" s="4" t="n">
        <v>35.2</v>
      </c>
      <c r="H78" s="4" t="n">
        <v>0</v>
      </c>
      <c r="I78" s="4" t="s">
        <v>108</v>
      </c>
      <c r="J78" s="0" t="n">
        <v>43</v>
      </c>
      <c r="K78" s="0" t="n">
        <v>39.6</v>
      </c>
      <c r="L78" s="0" t="n">
        <v>37.9</v>
      </c>
      <c r="M78" s="0" t="n">
        <v>35.2</v>
      </c>
    </row>
    <row r="79" customFormat="false" ht="15" hidden="false" customHeight="true" outlineLevel="0" collapsed="false">
      <c r="A79" s="4" t="s">
        <v>29</v>
      </c>
      <c r="B79" s="4" t="s">
        <v>14</v>
      </c>
      <c r="C79" s="4" t="s">
        <v>101</v>
      </c>
      <c r="D79" s="4" t="n">
        <v>45.1</v>
      </c>
      <c r="E79" s="4" t="n">
        <v>42.1</v>
      </c>
      <c r="F79" s="4" t="n">
        <v>40.3</v>
      </c>
      <c r="G79" s="4" t="n">
        <v>36.4</v>
      </c>
      <c r="H79" s="4" t="n">
        <v>0</v>
      </c>
      <c r="I79" s="4" t="s">
        <v>109</v>
      </c>
      <c r="J79" s="0" t="n">
        <v>45.1</v>
      </c>
      <c r="K79" s="0" t="n">
        <v>42.1</v>
      </c>
      <c r="L79" s="0" t="n">
        <v>40.3</v>
      </c>
      <c r="M79" s="0" t="n">
        <v>36.4</v>
      </c>
    </row>
    <row r="80" customFormat="false" ht="15" hidden="false" customHeight="true" outlineLevel="0" collapsed="false">
      <c r="A80" s="4" t="s">
        <v>31</v>
      </c>
      <c r="B80" s="4" t="s">
        <v>14</v>
      </c>
      <c r="C80" s="4" t="s">
        <v>101</v>
      </c>
      <c r="D80" s="4" t="n">
        <v>46.6</v>
      </c>
      <c r="E80" s="4" t="n">
        <v>44.2</v>
      </c>
      <c r="F80" s="4" t="n">
        <v>41.9</v>
      </c>
      <c r="G80" s="4" t="n">
        <v>37.9</v>
      </c>
      <c r="H80" s="4" t="n">
        <v>0</v>
      </c>
      <c r="I80" s="4" t="s">
        <v>110</v>
      </c>
      <c r="J80" s="0" t="n">
        <v>46.6</v>
      </c>
      <c r="K80" s="0" t="n">
        <v>44.2</v>
      </c>
      <c r="L80" s="0" t="n">
        <v>41.9</v>
      </c>
      <c r="M80" s="0" t="n">
        <v>37.9</v>
      </c>
    </row>
    <row r="81" customFormat="false" ht="15" hidden="false" customHeight="true" outlineLevel="0" collapsed="false">
      <c r="A81" s="4" t="s">
        <v>33</v>
      </c>
      <c r="B81" s="4" t="s">
        <v>14</v>
      </c>
      <c r="C81" s="4" t="s">
        <v>101</v>
      </c>
      <c r="D81" s="4" t="n">
        <v>48.5</v>
      </c>
      <c r="E81" s="4" t="n">
        <v>46</v>
      </c>
      <c r="F81" s="4" t="n">
        <v>44.3</v>
      </c>
      <c r="G81" s="4" t="n">
        <v>39.3</v>
      </c>
      <c r="H81" s="4" t="n">
        <v>0</v>
      </c>
      <c r="I81" s="4" t="s">
        <v>111</v>
      </c>
      <c r="J81" s="0" t="n">
        <v>48.5</v>
      </c>
      <c r="K81" s="0" t="n">
        <v>46</v>
      </c>
      <c r="L81" s="0" t="n">
        <v>44.3</v>
      </c>
      <c r="M81" s="0" t="n">
        <v>39.3</v>
      </c>
    </row>
    <row r="82" customFormat="false" ht="15" hidden="false" customHeight="true" outlineLevel="0" collapsed="false">
      <c r="A82" s="4" t="s">
        <v>13</v>
      </c>
      <c r="B82" s="4" t="s">
        <v>14</v>
      </c>
      <c r="C82" s="4" t="s">
        <v>112</v>
      </c>
      <c r="D82" s="4" t="n">
        <v>4</v>
      </c>
      <c r="E82" s="4" t="n">
        <v>3.9</v>
      </c>
      <c r="F82" s="4" t="n">
        <v>3.8</v>
      </c>
      <c r="G82" s="4" t="n">
        <v>3.7</v>
      </c>
      <c r="H82" s="4" t="n">
        <v>0</v>
      </c>
      <c r="I82" s="4" t="s">
        <v>113</v>
      </c>
      <c r="J82" s="4" t="n">
        <v>4</v>
      </c>
      <c r="K82" s="0" t="n">
        <v>3.9</v>
      </c>
      <c r="L82" s="0" t="n">
        <v>3.8</v>
      </c>
      <c r="M82" s="0" t="n">
        <v>3.7</v>
      </c>
    </row>
    <row r="83" customFormat="false" ht="15" hidden="false" customHeight="true" outlineLevel="0" collapsed="false">
      <c r="A83" s="4" t="s">
        <v>17</v>
      </c>
      <c r="B83" s="4" t="s">
        <v>14</v>
      </c>
      <c r="C83" s="4" t="s">
        <v>112</v>
      </c>
      <c r="D83" s="4" t="n">
        <v>4.2</v>
      </c>
      <c r="E83" s="4" t="n">
        <v>4.1</v>
      </c>
      <c r="F83" s="4" t="n">
        <v>4</v>
      </c>
      <c r="G83" s="4" t="n">
        <v>3.9</v>
      </c>
      <c r="H83" s="4" t="n">
        <v>0</v>
      </c>
      <c r="I83" s="4" t="s">
        <v>114</v>
      </c>
      <c r="J83" s="0" t="n">
        <v>4.2</v>
      </c>
      <c r="K83" s="0" t="n">
        <v>4.1</v>
      </c>
      <c r="L83" s="0" t="n">
        <v>4</v>
      </c>
      <c r="M83" s="0" t="n">
        <v>3.9</v>
      </c>
    </row>
    <row r="84" customFormat="false" ht="15" hidden="false" customHeight="true" outlineLevel="0" collapsed="false">
      <c r="A84" s="4" t="s">
        <v>19</v>
      </c>
      <c r="B84" s="4" t="s">
        <v>14</v>
      </c>
      <c r="C84" s="4" t="s">
        <v>112</v>
      </c>
      <c r="D84" s="4" t="n">
        <v>4.4</v>
      </c>
      <c r="E84" s="4" t="n">
        <v>4.31</v>
      </c>
      <c r="F84" s="4" t="n">
        <v>4.2</v>
      </c>
      <c r="G84" s="4" t="n">
        <v>4</v>
      </c>
      <c r="H84" s="4" t="n">
        <v>0</v>
      </c>
      <c r="I84" s="4" t="s">
        <v>115</v>
      </c>
      <c r="J84" s="0" t="n">
        <v>4.4</v>
      </c>
      <c r="K84" s="0" t="n">
        <v>4.31</v>
      </c>
      <c r="L84" s="0" t="n">
        <v>4.2</v>
      </c>
      <c r="M84" s="0" t="n">
        <v>4</v>
      </c>
    </row>
    <row r="85" customFormat="false" ht="15" hidden="false" customHeight="true" outlineLevel="0" collapsed="false">
      <c r="A85" s="4" t="s">
        <v>21</v>
      </c>
      <c r="B85" s="4" t="s">
        <v>14</v>
      </c>
      <c r="C85" s="4" t="s">
        <v>112</v>
      </c>
      <c r="D85" s="4" t="n">
        <v>4.5</v>
      </c>
      <c r="E85" s="4" t="n">
        <v>4.4</v>
      </c>
      <c r="F85" s="4" t="n">
        <v>4.3</v>
      </c>
      <c r="G85" s="4" t="n">
        <v>4.16</v>
      </c>
      <c r="H85" s="4" t="n">
        <v>0</v>
      </c>
      <c r="I85" s="4" t="s">
        <v>116</v>
      </c>
      <c r="J85" s="0" t="n">
        <v>4.5</v>
      </c>
      <c r="K85" s="0" t="n">
        <v>4.4</v>
      </c>
      <c r="L85" s="0" t="n">
        <v>4.3</v>
      </c>
      <c r="M85" s="0" t="n">
        <v>4.16</v>
      </c>
    </row>
    <row r="86" customFormat="false" ht="15" hidden="false" customHeight="true" outlineLevel="0" collapsed="false">
      <c r="A86" s="4" t="s">
        <v>23</v>
      </c>
      <c r="B86" s="4" t="s">
        <v>14</v>
      </c>
      <c r="C86" s="4" t="s">
        <v>112</v>
      </c>
      <c r="D86" s="4" t="n">
        <v>4.6</v>
      </c>
      <c r="E86" s="4" t="n">
        <v>4.5</v>
      </c>
      <c r="F86" s="4" t="n">
        <v>4.4</v>
      </c>
      <c r="G86" s="4" t="n">
        <v>4.24</v>
      </c>
      <c r="H86" s="4" t="n">
        <v>0</v>
      </c>
      <c r="I86" s="4" t="s">
        <v>117</v>
      </c>
      <c r="J86" s="0" t="n">
        <v>4.6</v>
      </c>
      <c r="K86" s="0" t="n">
        <v>4.5</v>
      </c>
      <c r="L86" s="0" t="n">
        <v>4.4</v>
      </c>
      <c r="M86" s="0" t="n">
        <v>4.24</v>
      </c>
    </row>
    <row r="87" customFormat="false" ht="15" hidden="false" customHeight="true" outlineLevel="0" collapsed="false">
      <c r="A87" s="4" t="s">
        <v>25</v>
      </c>
      <c r="B87" s="4" t="s">
        <v>14</v>
      </c>
      <c r="C87" s="4" t="s">
        <v>112</v>
      </c>
      <c r="D87" s="4" t="n">
        <v>4.7</v>
      </c>
      <c r="E87" s="4" t="n">
        <v>4.6</v>
      </c>
      <c r="F87" s="4" t="n">
        <v>4.5</v>
      </c>
      <c r="G87" s="4" t="n">
        <v>4.35</v>
      </c>
      <c r="H87" s="4" t="n">
        <v>0</v>
      </c>
      <c r="I87" s="4" t="s">
        <v>118</v>
      </c>
      <c r="J87" s="0" t="n">
        <v>4.7</v>
      </c>
      <c r="K87" s="0" t="n">
        <v>4.6</v>
      </c>
      <c r="L87" s="0" t="n">
        <v>4.5</v>
      </c>
      <c r="M87" s="0" t="n">
        <v>4.35</v>
      </c>
    </row>
    <row r="88" customFormat="false" ht="15" hidden="false" customHeight="true" outlineLevel="0" collapsed="false">
      <c r="A88" s="4" t="s">
        <v>27</v>
      </c>
      <c r="B88" s="4" t="s">
        <v>14</v>
      </c>
      <c r="C88" s="4" t="s">
        <v>112</v>
      </c>
      <c r="D88" s="4" t="n">
        <v>4.8</v>
      </c>
      <c r="E88" s="4" t="n">
        <v>4.7</v>
      </c>
      <c r="F88" s="4" t="n">
        <v>4.6</v>
      </c>
      <c r="G88" s="4" t="n">
        <v>4.45</v>
      </c>
      <c r="H88" s="4" t="n">
        <v>0</v>
      </c>
      <c r="I88" s="4" t="s">
        <v>119</v>
      </c>
      <c r="J88" s="0" t="n">
        <v>4.8</v>
      </c>
      <c r="K88" s="0" t="n">
        <v>4.7</v>
      </c>
      <c r="L88" s="0" t="n">
        <v>4.6</v>
      </c>
      <c r="M88" s="0" t="n">
        <v>4.45</v>
      </c>
    </row>
    <row r="89" customFormat="false" ht="15" hidden="false" customHeight="true" outlineLevel="0" collapsed="false">
      <c r="A89" s="4" t="s">
        <v>29</v>
      </c>
      <c r="B89" s="4" t="s">
        <v>14</v>
      </c>
      <c r="C89" s="4" t="s">
        <v>112</v>
      </c>
      <c r="D89" s="4" t="n">
        <v>4.9</v>
      </c>
      <c r="E89" s="4" t="n">
        <v>4.79</v>
      </c>
      <c r="F89" s="4" t="n">
        <v>4.6</v>
      </c>
      <c r="G89" s="4" t="n">
        <v>4.45</v>
      </c>
      <c r="H89" s="4" t="n">
        <v>0</v>
      </c>
      <c r="I89" s="4" t="s">
        <v>120</v>
      </c>
      <c r="J89" s="0" t="n">
        <v>4.9</v>
      </c>
      <c r="K89" s="0" t="n">
        <v>4.79</v>
      </c>
      <c r="L89" s="0" t="n">
        <v>4.6</v>
      </c>
      <c r="M89" s="0" t="n">
        <v>4.45</v>
      </c>
    </row>
    <row r="90" customFormat="false" ht="15" hidden="false" customHeight="true" outlineLevel="0" collapsed="false">
      <c r="A90" s="4" t="s">
        <v>31</v>
      </c>
      <c r="B90" s="4" t="s">
        <v>14</v>
      </c>
      <c r="C90" s="4" t="s">
        <v>112</v>
      </c>
      <c r="D90" s="4" t="n">
        <v>5</v>
      </c>
      <c r="E90" s="4" t="n">
        <v>4.9</v>
      </c>
      <c r="F90" s="4" t="n">
        <v>4.7</v>
      </c>
      <c r="G90" s="4" t="n">
        <v>4.55</v>
      </c>
      <c r="H90" s="4" t="n">
        <v>0</v>
      </c>
      <c r="I90" s="4" t="s">
        <v>121</v>
      </c>
      <c r="J90" s="0" t="n">
        <v>5</v>
      </c>
      <c r="K90" s="0" t="n">
        <v>4.9</v>
      </c>
      <c r="L90" s="0" t="n">
        <v>4.7</v>
      </c>
      <c r="M90" s="0" t="n">
        <v>4.55</v>
      </c>
    </row>
    <row r="91" customFormat="false" ht="15" hidden="false" customHeight="true" outlineLevel="0" collapsed="false">
      <c r="A91" s="4" t="s">
        <v>33</v>
      </c>
      <c r="B91" s="4" t="s">
        <v>14</v>
      </c>
      <c r="C91" s="4" t="s">
        <v>112</v>
      </c>
      <c r="D91" s="4" t="n">
        <v>5.1</v>
      </c>
      <c r="E91" s="4" t="n">
        <v>4.9</v>
      </c>
      <c r="F91" s="4" t="n">
        <v>4.7</v>
      </c>
      <c r="G91" s="4" t="n">
        <v>4.55</v>
      </c>
      <c r="H91" s="4" t="n">
        <v>0</v>
      </c>
      <c r="I91" s="4" t="s">
        <v>122</v>
      </c>
      <c r="J91" s="0" t="n">
        <v>5.1</v>
      </c>
      <c r="K91" s="0" t="n">
        <v>4.9</v>
      </c>
      <c r="L91" s="0" t="n">
        <v>4.7</v>
      </c>
      <c r="M91" s="0" t="n">
        <v>4.55</v>
      </c>
    </row>
    <row r="92" customFormat="false" ht="15" hidden="false" customHeight="true" outlineLevel="0" collapsed="false">
      <c r="A92" s="4" t="s">
        <v>13</v>
      </c>
      <c r="B92" s="4" t="s">
        <v>14</v>
      </c>
      <c r="C92" s="4" t="s">
        <v>123</v>
      </c>
      <c r="D92" s="4" t="n">
        <v>26.3</v>
      </c>
      <c r="E92" s="4" t="n">
        <v>29.1</v>
      </c>
      <c r="F92" s="4" t="n">
        <v>99</v>
      </c>
      <c r="G92" s="4" t="n">
        <v>99</v>
      </c>
      <c r="H92" s="4" t="n">
        <v>99</v>
      </c>
      <c r="I92" s="4" t="s">
        <v>124</v>
      </c>
      <c r="J92" s="4" t="n">
        <v>26.3</v>
      </c>
      <c r="K92" s="0" t="n">
        <v>29.1</v>
      </c>
      <c r="L92" s="0" t="n">
        <v>99</v>
      </c>
      <c r="M92" s="0" t="n">
        <v>99</v>
      </c>
    </row>
    <row r="93" customFormat="false" ht="15" hidden="false" customHeight="true" outlineLevel="0" collapsed="false">
      <c r="A93" s="4" t="s">
        <v>17</v>
      </c>
      <c r="B93" s="4" t="s">
        <v>14</v>
      </c>
      <c r="C93" s="4" t="s">
        <v>123</v>
      </c>
      <c r="D93" s="4" t="n">
        <v>25</v>
      </c>
      <c r="E93" s="4" t="n">
        <v>27.8</v>
      </c>
      <c r="F93" s="4" t="n">
        <v>99</v>
      </c>
      <c r="G93" s="4" t="n">
        <v>99</v>
      </c>
      <c r="H93" s="4" t="n">
        <v>99</v>
      </c>
      <c r="I93" s="4" t="s">
        <v>125</v>
      </c>
      <c r="J93" s="0" t="n">
        <v>25</v>
      </c>
      <c r="K93" s="0" t="n">
        <v>27.8</v>
      </c>
      <c r="L93" s="0" t="n">
        <v>99</v>
      </c>
      <c r="M93" s="0" t="n">
        <v>99</v>
      </c>
    </row>
    <row r="94" customFormat="false" ht="15" hidden="false" customHeight="true" outlineLevel="0" collapsed="false">
      <c r="A94" s="4" t="s">
        <v>19</v>
      </c>
      <c r="B94" s="4" t="s">
        <v>14</v>
      </c>
      <c r="C94" s="4" t="s">
        <v>123</v>
      </c>
      <c r="D94" s="4" t="n">
        <v>24</v>
      </c>
      <c r="E94" s="4" t="n">
        <v>26.8</v>
      </c>
      <c r="F94" s="4" t="n">
        <v>99</v>
      </c>
      <c r="G94" s="4" t="n">
        <v>99</v>
      </c>
      <c r="H94" s="4" t="n">
        <v>99</v>
      </c>
      <c r="I94" s="4" t="s">
        <v>126</v>
      </c>
      <c r="J94" s="0" t="n">
        <v>24</v>
      </c>
      <c r="K94" s="0" t="n">
        <v>26.8</v>
      </c>
      <c r="L94" s="0" t="n">
        <v>99</v>
      </c>
      <c r="M94" s="0" t="n">
        <v>99</v>
      </c>
    </row>
    <row r="95" customFormat="false" ht="15" hidden="false" customHeight="true" outlineLevel="0" collapsed="false">
      <c r="A95" s="4" t="s">
        <v>21</v>
      </c>
      <c r="B95" s="4" t="s">
        <v>14</v>
      </c>
      <c r="C95" s="4" t="s">
        <v>123</v>
      </c>
      <c r="D95" s="4" t="n">
        <v>23.3</v>
      </c>
      <c r="E95" s="4" t="n">
        <v>26.1</v>
      </c>
      <c r="F95" s="4" t="n">
        <v>99</v>
      </c>
      <c r="G95" s="4" t="n">
        <v>99</v>
      </c>
      <c r="H95" s="4" t="n">
        <v>99</v>
      </c>
      <c r="I95" s="4" t="s">
        <v>127</v>
      </c>
      <c r="J95" s="0" t="n">
        <v>23.3</v>
      </c>
      <c r="K95" s="0" t="n">
        <v>26.1</v>
      </c>
      <c r="L95" s="0" t="n">
        <v>99</v>
      </c>
      <c r="M95" s="0" t="n">
        <v>99</v>
      </c>
    </row>
    <row r="96" customFormat="false" ht="15" hidden="false" customHeight="true" outlineLevel="0" collapsed="false">
      <c r="A96" s="4" t="s">
        <v>23</v>
      </c>
      <c r="B96" s="4" t="s">
        <v>14</v>
      </c>
      <c r="C96" s="4" t="s">
        <v>123</v>
      </c>
      <c r="D96" s="4" t="n">
        <v>22.5</v>
      </c>
      <c r="E96" s="4" t="n">
        <v>25.6</v>
      </c>
      <c r="F96" s="4" t="n">
        <v>99</v>
      </c>
      <c r="G96" s="4" t="n">
        <v>99</v>
      </c>
      <c r="H96" s="4" t="n">
        <v>99</v>
      </c>
      <c r="I96" s="4" t="s">
        <v>128</v>
      </c>
      <c r="J96" s="0" t="n">
        <v>22.5</v>
      </c>
      <c r="K96" s="0" t="n">
        <v>25.6</v>
      </c>
      <c r="L96" s="0" t="n">
        <v>99</v>
      </c>
      <c r="M96" s="0" t="n">
        <v>99</v>
      </c>
    </row>
    <row r="97" customFormat="false" ht="15" hidden="false" customHeight="true" outlineLevel="0" collapsed="false">
      <c r="A97" s="4" t="s">
        <v>25</v>
      </c>
      <c r="B97" s="4" t="s">
        <v>14</v>
      </c>
      <c r="C97" s="4" t="s">
        <v>123</v>
      </c>
      <c r="D97" s="4" t="n">
        <v>21.8</v>
      </c>
      <c r="E97" s="4" t="n">
        <v>25</v>
      </c>
      <c r="F97" s="4" t="n">
        <v>99</v>
      </c>
      <c r="G97" s="4" t="n">
        <v>99</v>
      </c>
      <c r="H97" s="4" t="n">
        <v>99</v>
      </c>
      <c r="I97" s="4" t="s">
        <v>129</v>
      </c>
      <c r="J97" s="0" t="n">
        <v>21.8</v>
      </c>
      <c r="K97" s="0" t="n">
        <v>25</v>
      </c>
      <c r="L97" s="0" t="n">
        <v>99</v>
      </c>
      <c r="M97" s="0" t="n">
        <v>99</v>
      </c>
    </row>
    <row r="98" customFormat="false" ht="15" hidden="false" customHeight="true" outlineLevel="0" collapsed="false">
      <c r="A98" s="4" t="s">
        <v>13</v>
      </c>
      <c r="B98" s="4" t="s">
        <v>14</v>
      </c>
      <c r="C98" s="4" t="s">
        <v>130</v>
      </c>
      <c r="D98" s="4" t="n">
        <v>38.7</v>
      </c>
      <c r="E98" s="4" t="n">
        <v>44.9</v>
      </c>
      <c r="F98" s="4" t="n">
        <v>99</v>
      </c>
      <c r="G98" s="4" t="n">
        <v>99</v>
      </c>
      <c r="H98" s="4" t="n">
        <v>99</v>
      </c>
      <c r="I98" s="4" t="s">
        <v>131</v>
      </c>
      <c r="J98" s="0" t="n">
        <v>38.7</v>
      </c>
      <c r="K98" s="0" t="n">
        <v>44.9</v>
      </c>
      <c r="L98" s="0" t="n">
        <v>99</v>
      </c>
      <c r="M98" s="0" t="n">
        <v>99</v>
      </c>
    </row>
    <row r="99" customFormat="false" ht="15" hidden="false" customHeight="true" outlineLevel="0" collapsed="false">
      <c r="A99" s="4" t="s">
        <v>17</v>
      </c>
      <c r="B99" s="4" t="s">
        <v>14</v>
      </c>
      <c r="C99" s="4" t="s">
        <v>130</v>
      </c>
      <c r="D99" s="4" t="n">
        <v>36</v>
      </c>
      <c r="E99" s="4" t="n">
        <v>41.4</v>
      </c>
      <c r="F99" s="4" t="n">
        <v>99</v>
      </c>
      <c r="G99" s="4" t="n">
        <v>99</v>
      </c>
      <c r="H99" s="4" t="n">
        <v>99</v>
      </c>
      <c r="I99" s="4" t="s">
        <v>132</v>
      </c>
      <c r="J99" s="0" t="n">
        <v>36</v>
      </c>
      <c r="K99" s="0" t="n">
        <v>41.4</v>
      </c>
      <c r="L99" s="0" t="n">
        <v>99</v>
      </c>
      <c r="M99" s="0" t="n">
        <v>99</v>
      </c>
    </row>
    <row r="100" customFormat="false" ht="15" hidden="false" customHeight="true" outlineLevel="0" collapsed="false">
      <c r="A100" s="4" t="s">
        <v>19</v>
      </c>
      <c r="B100" s="4" t="s">
        <v>14</v>
      </c>
      <c r="C100" s="4" t="s">
        <v>130</v>
      </c>
      <c r="D100" s="4" t="n">
        <v>35</v>
      </c>
      <c r="E100" s="4" t="n">
        <v>39.5</v>
      </c>
      <c r="F100" s="4" t="n">
        <v>99</v>
      </c>
      <c r="G100" s="4" t="n">
        <v>99</v>
      </c>
      <c r="H100" s="4" t="n">
        <v>99</v>
      </c>
      <c r="I100" s="4" t="s">
        <v>133</v>
      </c>
      <c r="J100" s="0" t="n">
        <v>35</v>
      </c>
      <c r="K100" s="0" t="n">
        <v>39.5</v>
      </c>
      <c r="L100" s="0" t="n">
        <v>99</v>
      </c>
      <c r="M100" s="0" t="n">
        <v>99</v>
      </c>
    </row>
    <row r="101" customFormat="false" ht="15" hidden="false" customHeight="true" outlineLevel="0" collapsed="false">
      <c r="A101" s="4" t="s">
        <v>21</v>
      </c>
      <c r="B101" s="4" t="s">
        <v>14</v>
      </c>
      <c r="C101" s="4" t="s">
        <v>130</v>
      </c>
      <c r="D101" s="4" t="n">
        <v>33</v>
      </c>
      <c r="E101" s="4" t="n">
        <v>38</v>
      </c>
      <c r="F101" s="4" t="n">
        <v>99</v>
      </c>
      <c r="G101" s="4" t="n">
        <v>99</v>
      </c>
      <c r="H101" s="4" t="n">
        <v>99</v>
      </c>
      <c r="I101" s="4" t="s">
        <v>134</v>
      </c>
      <c r="J101" s="0" t="n">
        <v>33</v>
      </c>
      <c r="K101" s="0" t="n">
        <v>38</v>
      </c>
      <c r="L101" s="0" t="n">
        <v>99</v>
      </c>
      <c r="M101" s="0" t="n">
        <v>99</v>
      </c>
    </row>
    <row r="102" customFormat="false" ht="15" hidden="false" customHeight="true" outlineLevel="0" collapsed="false">
      <c r="A102" s="4" t="s">
        <v>23</v>
      </c>
      <c r="B102" s="4" t="s">
        <v>14</v>
      </c>
      <c r="C102" s="4" t="s">
        <v>130</v>
      </c>
      <c r="D102" s="4" t="n">
        <v>31.1</v>
      </c>
      <c r="E102" s="4" t="n">
        <v>35</v>
      </c>
      <c r="F102" s="4" t="n">
        <v>99</v>
      </c>
      <c r="G102" s="4" t="n">
        <v>99</v>
      </c>
      <c r="H102" s="4" t="n">
        <v>99</v>
      </c>
      <c r="I102" s="4" t="s">
        <v>135</v>
      </c>
      <c r="J102" s="0" t="n">
        <v>31.1</v>
      </c>
      <c r="K102" s="0" t="n">
        <v>35</v>
      </c>
      <c r="L102" s="0" t="n">
        <v>99</v>
      </c>
      <c r="M102" s="0" t="n">
        <v>99</v>
      </c>
    </row>
    <row r="103" customFormat="false" ht="15" hidden="false" customHeight="true" outlineLevel="0" collapsed="false">
      <c r="A103" s="4" t="s">
        <v>25</v>
      </c>
      <c r="B103" s="4" t="s">
        <v>14</v>
      </c>
      <c r="C103" s="4" t="s">
        <v>130</v>
      </c>
      <c r="D103" s="4" t="n">
        <v>30</v>
      </c>
      <c r="E103" s="4" t="n">
        <v>34</v>
      </c>
      <c r="F103" s="4" t="n">
        <v>99</v>
      </c>
      <c r="G103" s="4" t="n">
        <v>99</v>
      </c>
      <c r="H103" s="4" t="n">
        <v>99</v>
      </c>
      <c r="I103" s="4" t="s">
        <v>136</v>
      </c>
      <c r="J103" s="0" t="n">
        <v>30</v>
      </c>
      <c r="K103" s="0" t="n">
        <v>34</v>
      </c>
      <c r="L103" s="0" t="n">
        <v>99</v>
      </c>
      <c r="M103" s="0" t="n">
        <v>99</v>
      </c>
    </row>
    <row r="104" customFormat="false" ht="15" hidden="false" customHeight="true" outlineLevel="0" collapsed="false">
      <c r="A104" s="4" t="s">
        <v>137</v>
      </c>
      <c r="B104" s="4" t="s">
        <v>138</v>
      </c>
      <c r="C104" s="4" t="s">
        <v>15</v>
      </c>
      <c r="D104" s="4" t="n">
        <v>1.1</v>
      </c>
      <c r="E104" s="4" t="n">
        <v>1.13</v>
      </c>
      <c r="F104" s="4" t="n">
        <v>1.16</v>
      </c>
      <c r="G104" s="4" t="n">
        <v>1.2</v>
      </c>
      <c r="H104" s="4" t="n">
        <v>99</v>
      </c>
      <c r="I104" s="4" t="s">
        <v>139</v>
      </c>
      <c r="J104" s="0" t="n">
        <v>1.1</v>
      </c>
      <c r="K104" s="0" t="n">
        <v>1.13</v>
      </c>
      <c r="L104" s="0" t="n">
        <v>1.16</v>
      </c>
      <c r="M104" s="0" t="n">
        <v>1.2</v>
      </c>
    </row>
    <row r="105" customFormat="false" ht="15" hidden="false" customHeight="true" outlineLevel="0" collapsed="false">
      <c r="A105" s="4" t="s">
        <v>140</v>
      </c>
      <c r="B105" s="4" t="s">
        <v>138</v>
      </c>
      <c r="C105" s="4" t="s">
        <v>15</v>
      </c>
      <c r="D105" s="4" t="n">
        <v>1.07</v>
      </c>
      <c r="E105" s="4" t="n">
        <v>1.1</v>
      </c>
      <c r="F105" s="4" t="n">
        <v>1.13</v>
      </c>
      <c r="G105" s="4" t="n">
        <v>1.18</v>
      </c>
      <c r="H105" s="4" t="n">
        <v>99</v>
      </c>
      <c r="I105" s="4" t="s">
        <v>141</v>
      </c>
      <c r="J105" s="0" t="n">
        <v>1.07</v>
      </c>
      <c r="K105" s="0" t="n">
        <v>1.1</v>
      </c>
      <c r="L105" s="0" t="n">
        <v>1.13</v>
      </c>
      <c r="M105" s="0" t="n">
        <v>1.18</v>
      </c>
    </row>
    <row r="106" customFormat="false" ht="15" hidden="false" customHeight="true" outlineLevel="0" collapsed="false">
      <c r="A106" s="4" t="s">
        <v>142</v>
      </c>
      <c r="B106" s="4" t="s">
        <v>138</v>
      </c>
      <c r="C106" s="4" t="s">
        <v>15</v>
      </c>
      <c r="D106" s="4" t="n">
        <v>1.05</v>
      </c>
      <c r="E106" s="4" t="n">
        <v>1.08</v>
      </c>
      <c r="F106" s="4" t="n">
        <v>1.1</v>
      </c>
      <c r="G106" s="4" t="n">
        <v>1.14</v>
      </c>
      <c r="H106" s="4" t="n">
        <v>99</v>
      </c>
      <c r="I106" s="4" t="s">
        <v>143</v>
      </c>
      <c r="J106" s="0" t="n">
        <v>1.05</v>
      </c>
      <c r="K106" s="0" t="n">
        <v>1.08</v>
      </c>
      <c r="L106" s="0" t="n">
        <v>1.1</v>
      </c>
      <c r="M106" s="0" t="n">
        <v>1.14</v>
      </c>
    </row>
    <row r="107" customFormat="false" ht="15" hidden="false" customHeight="true" outlineLevel="0" collapsed="false">
      <c r="A107" s="4" t="s">
        <v>144</v>
      </c>
      <c r="B107" s="4" t="s">
        <v>138</v>
      </c>
      <c r="C107" s="4" t="s">
        <v>15</v>
      </c>
      <c r="D107" s="4" t="n">
        <v>1.03</v>
      </c>
      <c r="E107" s="4" t="n">
        <v>1.06</v>
      </c>
      <c r="F107" s="4" t="n">
        <v>1.08</v>
      </c>
      <c r="G107" s="4" t="n">
        <v>1.12</v>
      </c>
      <c r="H107" s="4" t="n">
        <v>99</v>
      </c>
      <c r="I107" s="4" t="s">
        <v>145</v>
      </c>
      <c r="J107" s="0" t="n">
        <v>1.03</v>
      </c>
      <c r="K107" s="0" t="n">
        <v>1.06</v>
      </c>
      <c r="L107" s="0" t="n">
        <v>1.08</v>
      </c>
      <c r="M107" s="0" t="n">
        <v>1.12</v>
      </c>
    </row>
    <row r="108" customFormat="false" ht="15" hidden="false" customHeight="true" outlineLevel="0" collapsed="false">
      <c r="A108" s="4" t="s">
        <v>146</v>
      </c>
      <c r="B108" s="4" t="s">
        <v>138</v>
      </c>
      <c r="C108" s="4" t="s">
        <v>15</v>
      </c>
      <c r="D108" s="4" t="n">
        <v>1.02</v>
      </c>
      <c r="E108" s="4" t="n">
        <v>1.05</v>
      </c>
      <c r="F108" s="4" t="n">
        <v>1.07</v>
      </c>
      <c r="G108" s="4" t="n">
        <v>1.11</v>
      </c>
      <c r="H108" s="4" t="n">
        <v>99</v>
      </c>
      <c r="I108" s="4" t="s">
        <v>147</v>
      </c>
      <c r="J108" s="0" t="n">
        <v>1.02</v>
      </c>
      <c r="K108" s="0" t="n">
        <v>1.05</v>
      </c>
      <c r="L108" s="0" t="n">
        <v>1.07</v>
      </c>
      <c r="M108" s="0" t="n">
        <v>1.11</v>
      </c>
    </row>
    <row r="109" customFormat="false" ht="15" hidden="false" customHeight="true" outlineLevel="0" collapsed="false">
      <c r="A109" s="4" t="s">
        <v>148</v>
      </c>
      <c r="B109" s="4" t="s">
        <v>138</v>
      </c>
      <c r="C109" s="4" t="s">
        <v>15</v>
      </c>
      <c r="D109" s="4" t="n">
        <v>1</v>
      </c>
      <c r="E109" s="4" t="n">
        <v>1.03</v>
      </c>
      <c r="F109" s="4" t="n">
        <v>1.06</v>
      </c>
      <c r="G109" s="4" t="n">
        <v>1.1</v>
      </c>
      <c r="H109" s="4" t="n">
        <v>99</v>
      </c>
      <c r="I109" s="4" t="s">
        <v>149</v>
      </c>
      <c r="J109" s="0" t="n">
        <v>1</v>
      </c>
      <c r="K109" s="0" t="n">
        <v>1.03</v>
      </c>
      <c r="L109" s="0" t="n">
        <v>1.06</v>
      </c>
      <c r="M109" s="0" t="n">
        <v>1.1</v>
      </c>
    </row>
    <row r="110" customFormat="false" ht="15" hidden="false" customHeight="true" outlineLevel="0" collapsed="false">
      <c r="A110" s="4" t="s">
        <v>150</v>
      </c>
      <c r="B110" s="4" t="s">
        <v>138</v>
      </c>
      <c r="C110" s="4" t="s">
        <v>15</v>
      </c>
      <c r="D110" s="4" t="n">
        <v>0.99</v>
      </c>
      <c r="E110" s="4" t="n">
        <v>1.02</v>
      </c>
      <c r="F110" s="4" t="n">
        <v>1.05</v>
      </c>
      <c r="G110" s="4" t="n">
        <v>1.09</v>
      </c>
      <c r="H110" s="4" t="n">
        <v>99</v>
      </c>
      <c r="I110" s="4" t="s">
        <v>151</v>
      </c>
      <c r="J110" s="0" t="n">
        <v>0.99</v>
      </c>
      <c r="K110" s="0" t="n">
        <v>1.02</v>
      </c>
      <c r="L110" s="0" t="n">
        <v>1.05</v>
      </c>
      <c r="M110" s="0" t="n">
        <v>1.09</v>
      </c>
    </row>
    <row r="111" customFormat="false" ht="15" hidden="false" customHeight="true" outlineLevel="0" collapsed="false">
      <c r="A111" s="4" t="s">
        <v>152</v>
      </c>
      <c r="B111" s="4" t="s">
        <v>138</v>
      </c>
      <c r="C111" s="4" t="s">
        <v>15</v>
      </c>
      <c r="D111" s="4" t="n">
        <v>0.98</v>
      </c>
      <c r="E111" s="4" t="n">
        <v>1.01</v>
      </c>
      <c r="F111" s="4" t="n">
        <v>1.04</v>
      </c>
      <c r="G111" s="4" t="n">
        <v>1.08</v>
      </c>
      <c r="H111" s="4" t="n">
        <v>99</v>
      </c>
      <c r="I111" s="4" t="s">
        <v>153</v>
      </c>
      <c r="J111" s="0" t="n">
        <v>0.98</v>
      </c>
      <c r="K111" s="0" t="n">
        <v>1.01</v>
      </c>
      <c r="L111" s="0" t="n">
        <v>1.04</v>
      </c>
      <c r="M111" s="0" t="n">
        <v>1.08</v>
      </c>
    </row>
    <row r="112" customFormat="false" ht="15" hidden="false" customHeight="true" outlineLevel="0" collapsed="false">
      <c r="A112" s="4" t="s">
        <v>154</v>
      </c>
      <c r="B112" s="4" t="s">
        <v>138</v>
      </c>
      <c r="C112" s="4" t="s">
        <v>15</v>
      </c>
      <c r="D112" s="4" t="n">
        <v>0.97</v>
      </c>
      <c r="E112" s="4" t="n">
        <v>1</v>
      </c>
      <c r="F112" s="4" t="n">
        <v>1.03</v>
      </c>
      <c r="G112" s="4" t="n">
        <v>1.07</v>
      </c>
      <c r="H112" s="4" t="n">
        <v>99</v>
      </c>
      <c r="I112" s="4" t="s">
        <v>155</v>
      </c>
      <c r="J112" s="0" t="n">
        <v>0.97</v>
      </c>
      <c r="K112" s="0" t="n">
        <v>1</v>
      </c>
      <c r="L112" s="0" t="n">
        <v>1.03</v>
      </c>
      <c r="M112" s="0" t="n">
        <v>1.07</v>
      </c>
    </row>
    <row r="113" customFormat="false" ht="15" hidden="false" customHeight="true" outlineLevel="0" collapsed="false">
      <c r="A113" s="4" t="s">
        <v>156</v>
      </c>
      <c r="B113" s="4" t="s">
        <v>138</v>
      </c>
      <c r="C113" s="4" t="s">
        <v>15</v>
      </c>
      <c r="D113" s="4" t="n">
        <v>0.96</v>
      </c>
      <c r="E113" s="4" t="n">
        <v>0.99</v>
      </c>
      <c r="F113" s="4" t="n">
        <v>1.02</v>
      </c>
      <c r="G113" s="4" t="n">
        <v>1.06</v>
      </c>
      <c r="H113" s="4" t="n">
        <v>99</v>
      </c>
      <c r="I113" s="4" t="s">
        <v>157</v>
      </c>
      <c r="J113" s="0" t="n">
        <v>0.96</v>
      </c>
      <c r="K113" s="0" t="n">
        <v>0.99</v>
      </c>
      <c r="L113" s="0" t="n">
        <v>1.02</v>
      </c>
      <c r="M113" s="0" t="n">
        <v>1.06</v>
      </c>
    </row>
    <row r="114" customFormat="false" ht="15" hidden="false" customHeight="true" outlineLevel="0" collapsed="false">
      <c r="A114" s="4" t="s">
        <v>137</v>
      </c>
      <c r="B114" s="4" t="s">
        <v>138</v>
      </c>
      <c r="C114" s="4" t="s">
        <v>35</v>
      </c>
      <c r="D114" s="4" t="n">
        <v>1.96</v>
      </c>
      <c r="E114" s="4" t="n">
        <v>2.01</v>
      </c>
      <c r="F114" s="4" t="n">
        <v>2.06</v>
      </c>
      <c r="G114" s="4" t="n">
        <v>2.12</v>
      </c>
      <c r="H114" s="4" t="n">
        <v>99</v>
      </c>
      <c r="I114" s="4" t="s">
        <v>158</v>
      </c>
      <c r="J114" s="0" t="n">
        <v>1.96</v>
      </c>
      <c r="K114" s="0" t="n">
        <v>2.01</v>
      </c>
      <c r="L114" s="0" t="n">
        <v>2.06</v>
      </c>
      <c r="M114" s="0" t="n">
        <v>2.12</v>
      </c>
    </row>
    <row r="115" customFormat="false" ht="15" hidden="false" customHeight="true" outlineLevel="0" collapsed="false">
      <c r="A115" s="4" t="s">
        <v>140</v>
      </c>
      <c r="B115" s="4" t="s">
        <v>138</v>
      </c>
      <c r="C115" s="4" t="s">
        <v>35</v>
      </c>
      <c r="D115" s="4" t="n">
        <v>1.91</v>
      </c>
      <c r="E115" s="4" t="n">
        <v>1.96</v>
      </c>
      <c r="F115" s="4" t="n">
        <v>2.01</v>
      </c>
      <c r="G115" s="4" t="n">
        <v>2.08</v>
      </c>
      <c r="H115" s="4" t="n">
        <v>99</v>
      </c>
      <c r="I115" s="4" t="s">
        <v>159</v>
      </c>
      <c r="J115" s="0" t="n">
        <v>1.91</v>
      </c>
      <c r="K115" s="0" t="n">
        <v>1.96</v>
      </c>
      <c r="L115" s="0" t="n">
        <v>2.01</v>
      </c>
      <c r="M115" s="0" t="n">
        <v>2.08</v>
      </c>
    </row>
    <row r="116" customFormat="false" ht="15" hidden="false" customHeight="true" outlineLevel="0" collapsed="false">
      <c r="A116" s="4" t="s">
        <v>142</v>
      </c>
      <c r="B116" s="4" t="s">
        <v>138</v>
      </c>
      <c r="C116" s="4" t="s">
        <v>35</v>
      </c>
      <c r="D116" s="4" t="n">
        <v>1.85</v>
      </c>
      <c r="E116" s="4" t="n">
        <v>1.91</v>
      </c>
      <c r="F116" s="4" t="n">
        <v>1.95</v>
      </c>
      <c r="G116" s="4" t="n">
        <v>2.01</v>
      </c>
      <c r="H116" s="4" t="n">
        <v>99</v>
      </c>
      <c r="I116" s="4" t="s">
        <v>160</v>
      </c>
      <c r="J116" s="0" t="n">
        <v>1.85</v>
      </c>
      <c r="K116" s="0" t="n">
        <v>1.91</v>
      </c>
      <c r="L116" s="0" t="n">
        <v>1.95</v>
      </c>
      <c r="M116" s="0" t="n">
        <v>2.01</v>
      </c>
    </row>
    <row r="117" customFormat="false" ht="15" hidden="false" customHeight="true" outlineLevel="0" collapsed="false">
      <c r="A117" s="4" t="s">
        <v>144</v>
      </c>
      <c r="B117" s="4" t="s">
        <v>138</v>
      </c>
      <c r="C117" s="4" t="s">
        <v>35</v>
      </c>
      <c r="D117" s="4" t="n">
        <v>1.83</v>
      </c>
      <c r="E117" s="4" t="n">
        <v>1.87</v>
      </c>
      <c r="F117" s="4" t="n">
        <v>1.91</v>
      </c>
      <c r="G117" s="4" t="n">
        <v>1.96</v>
      </c>
      <c r="H117" s="4" t="n">
        <v>99</v>
      </c>
      <c r="I117" s="4" t="s">
        <v>161</v>
      </c>
      <c r="J117" s="0" t="n">
        <v>1.83</v>
      </c>
      <c r="K117" s="0" t="n">
        <v>1.87</v>
      </c>
      <c r="L117" s="0" t="n">
        <v>1.91</v>
      </c>
      <c r="M117" s="0" t="n">
        <v>1.96</v>
      </c>
    </row>
    <row r="118" customFormat="false" ht="15" hidden="false" customHeight="true" outlineLevel="0" collapsed="false">
      <c r="A118" s="4" t="s">
        <v>146</v>
      </c>
      <c r="B118" s="4" t="s">
        <v>138</v>
      </c>
      <c r="C118" s="4" t="s">
        <v>35</v>
      </c>
      <c r="D118" s="4" t="n">
        <v>1.81</v>
      </c>
      <c r="E118" s="4" t="n">
        <v>1.85</v>
      </c>
      <c r="F118" s="4" t="n">
        <v>1.89</v>
      </c>
      <c r="G118" s="4" t="n">
        <v>1.95</v>
      </c>
      <c r="H118" s="4" t="n">
        <v>99</v>
      </c>
      <c r="I118" s="4" t="s">
        <v>162</v>
      </c>
      <c r="J118" s="0" t="n">
        <v>1.81</v>
      </c>
      <c r="K118" s="0" t="n">
        <v>1.85</v>
      </c>
      <c r="L118" s="0" t="n">
        <v>1.89</v>
      </c>
      <c r="M118" s="0" t="n">
        <v>1.95</v>
      </c>
    </row>
    <row r="119" customFormat="false" ht="15" hidden="false" customHeight="true" outlineLevel="0" collapsed="false">
      <c r="A119" s="4" t="s">
        <v>148</v>
      </c>
      <c r="B119" s="4" t="s">
        <v>138</v>
      </c>
      <c r="C119" s="4" t="s">
        <v>35</v>
      </c>
      <c r="D119" s="4" t="n">
        <v>1.78</v>
      </c>
      <c r="E119" s="4" t="n">
        <v>1.83</v>
      </c>
      <c r="F119" s="4" t="n">
        <v>1.87</v>
      </c>
      <c r="G119" s="4" t="n">
        <v>1.93</v>
      </c>
      <c r="H119" s="4" t="n">
        <v>99</v>
      </c>
      <c r="I119" s="4" t="s">
        <v>163</v>
      </c>
      <c r="J119" s="0" t="n">
        <v>1.78</v>
      </c>
      <c r="K119" s="0" t="n">
        <v>1.83</v>
      </c>
      <c r="L119" s="0" t="n">
        <v>1.87</v>
      </c>
      <c r="M119" s="0" t="n">
        <v>1.93</v>
      </c>
    </row>
    <row r="120" customFormat="false" ht="15" hidden="false" customHeight="true" outlineLevel="0" collapsed="false">
      <c r="A120" s="4" t="s">
        <v>150</v>
      </c>
      <c r="B120" s="4" t="s">
        <v>138</v>
      </c>
      <c r="C120" s="4" t="s">
        <v>35</v>
      </c>
      <c r="D120" s="4" t="n">
        <v>1.75</v>
      </c>
      <c r="E120" s="4" t="n">
        <v>1.81</v>
      </c>
      <c r="F120" s="4" t="n">
        <v>1.85</v>
      </c>
      <c r="G120" s="4" t="n">
        <v>1.92</v>
      </c>
      <c r="H120" s="4" t="n">
        <v>99</v>
      </c>
      <c r="I120" s="4" t="s">
        <v>164</v>
      </c>
      <c r="J120" s="0" t="n">
        <v>1.75</v>
      </c>
      <c r="K120" s="0" t="n">
        <v>1.81</v>
      </c>
      <c r="L120" s="0" t="n">
        <v>1.85</v>
      </c>
      <c r="M120" s="0" t="n">
        <v>1.92</v>
      </c>
    </row>
    <row r="121" customFormat="false" ht="15" hidden="false" customHeight="true" outlineLevel="0" collapsed="false">
      <c r="A121" s="4" t="s">
        <v>152</v>
      </c>
      <c r="B121" s="4" t="s">
        <v>138</v>
      </c>
      <c r="C121" s="4" t="s">
        <v>35</v>
      </c>
      <c r="D121" s="4" t="n">
        <v>1.74</v>
      </c>
      <c r="E121" s="4" t="n">
        <v>1.78</v>
      </c>
      <c r="F121" s="4" t="n">
        <v>1.84</v>
      </c>
      <c r="G121" s="4" t="n">
        <v>1.9</v>
      </c>
      <c r="H121" s="4" t="n">
        <v>99</v>
      </c>
      <c r="I121" s="4" t="s">
        <v>165</v>
      </c>
      <c r="J121" s="0" t="n">
        <v>1.74</v>
      </c>
      <c r="K121" s="0" t="n">
        <v>1.78</v>
      </c>
      <c r="L121" s="0" t="n">
        <v>1.84</v>
      </c>
      <c r="M121" s="0" t="n">
        <v>1.9</v>
      </c>
    </row>
    <row r="122" customFormat="false" ht="15" hidden="false" customHeight="true" outlineLevel="0" collapsed="false">
      <c r="A122" s="4" t="s">
        <v>154</v>
      </c>
      <c r="B122" s="4" t="s">
        <v>138</v>
      </c>
      <c r="C122" s="4" t="s">
        <v>35</v>
      </c>
      <c r="D122" s="4" t="n">
        <v>1.72</v>
      </c>
      <c r="E122" s="4" t="n">
        <v>1.77</v>
      </c>
      <c r="F122" s="4" t="n">
        <v>1.83</v>
      </c>
      <c r="G122" s="4" t="n">
        <v>1.89</v>
      </c>
      <c r="H122" s="4" t="n">
        <v>99</v>
      </c>
      <c r="I122" s="4" t="s">
        <v>166</v>
      </c>
      <c r="J122" s="0" t="n">
        <v>1.72</v>
      </c>
      <c r="K122" s="0" t="n">
        <v>1.77</v>
      </c>
      <c r="L122" s="0" t="n">
        <v>1.83</v>
      </c>
      <c r="M122" s="0" t="n">
        <v>1.89</v>
      </c>
    </row>
    <row r="123" customFormat="false" ht="15" hidden="false" customHeight="true" outlineLevel="0" collapsed="false">
      <c r="A123" s="4" t="s">
        <v>156</v>
      </c>
      <c r="B123" s="4" t="s">
        <v>138</v>
      </c>
      <c r="C123" s="4" t="s">
        <v>35</v>
      </c>
      <c r="D123" s="4" t="n">
        <v>1.71</v>
      </c>
      <c r="E123" s="4" t="n">
        <v>1.76</v>
      </c>
      <c r="F123" s="4" t="n">
        <v>1.81</v>
      </c>
      <c r="G123" s="4" t="n">
        <v>1.88</v>
      </c>
      <c r="H123" s="4" t="n">
        <v>99</v>
      </c>
      <c r="I123" s="4" t="s">
        <v>167</v>
      </c>
      <c r="J123" s="0" t="n">
        <v>1.71</v>
      </c>
      <c r="K123" s="0" t="n">
        <v>1.76</v>
      </c>
      <c r="L123" s="0" t="n">
        <v>1.81</v>
      </c>
      <c r="M123" s="0" t="n">
        <v>1.88</v>
      </c>
    </row>
    <row r="124" customFormat="false" ht="15" hidden="false" customHeight="true" outlineLevel="0" collapsed="false">
      <c r="A124" s="4" t="s">
        <v>137</v>
      </c>
      <c r="B124" s="4" t="s">
        <v>138</v>
      </c>
      <c r="C124" s="4" t="s">
        <v>46</v>
      </c>
      <c r="D124" s="4" t="n">
        <v>3.5</v>
      </c>
      <c r="E124" s="4" t="n">
        <v>3.61</v>
      </c>
      <c r="F124" s="4" t="n">
        <v>3.71</v>
      </c>
      <c r="G124" s="4" t="n">
        <v>3.82</v>
      </c>
      <c r="H124" s="4" t="n">
        <v>99</v>
      </c>
      <c r="I124" s="4" t="s">
        <v>168</v>
      </c>
      <c r="J124" s="0" t="n">
        <v>3.5</v>
      </c>
      <c r="K124" s="0" t="n">
        <v>3.61</v>
      </c>
      <c r="L124" s="0" t="n">
        <v>3.71</v>
      </c>
      <c r="M124" s="0" t="n">
        <v>3.82</v>
      </c>
    </row>
    <row r="125" customFormat="false" ht="15" hidden="false" customHeight="true" outlineLevel="0" collapsed="false">
      <c r="A125" s="4" t="s">
        <v>140</v>
      </c>
      <c r="B125" s="4" t="s">
        <v>138</v>
      </c>
      <c r="C125" s="4" t="s">
        <v>46</v>
      </c>
      <c r="D125" s="4" t="n">
        <v>3.4</v>
      </c>
      <c r="E125" s="4" t="n">
        <v>3.5</v>
      </c>
      <c r="F125" s="4" t="n">
        <v>3.59</v>
      </c>
      <c r="G125" s="4" t="n">
        <v>3.74</v>
      </c>
      <c r="H125" s="4" t="n">
        <v>99</v>
      </c>
      <c r="I125" s="4" t="s">
        <v>169</v>
      </c>
      <c r="J125" s="0" t="n">
        <v>3.4</v>
      </c>
      <c r="K125" s="0" t="n">
        <v>3.5</v>
      </c>
      <c r="L125" s="0" t="n">
        <v>3.59</v>
      </c>
      <c r="M125" s="0" t="n">
        <v>3.74</v>
      </c>
    </row>
    <row r="126" customFormat="false" ht="15" hidden="false" customHeight="true" outlineLevel="0" collapsed="false">
      <c r="A126" s="4" t="s">
        <v>142</v>
      </c>
      <c r="B126" s="4" t="s">
        <v>138</v>
      </c>
      <c r="C126" s="4" t="s">
        <v>46</v>
      </c>
      <c r="D126" s="4" t="n">
        <v>3.31</v>
      </c>
      <c r="E126" s="4" t="n">
        <v>3.4</v>
      </c>
      <c r="F126" s="4" t="n">
        <v>3.48</v>
      </c>
      <c r="G126" s="4" t="n">
        <v>3.58</v>
      </c>
      <c r="H126" s="4" t="n">
        <v>99</v>
      </c>
      <c r="I126" s="4" t="s">
        <v>170</v>
      </c>
      <c r="J126" s="0" t="n">
        <v>3.31</v>
      </c>
      <c r="K126" s="0" t="n">
        <v>3.4</v>
      </c>
      <c r="L126" s="0" t="n">
        <v>3.48</v>
      </c>
      <c r="M126" s="0" t="n">
        <v>3.58</v>
      </c>
    </row>
    <row r="127" customFormat="false" ht="15" hidden="false" customHeight="true" outlineLevel="0" collapsed="false">
      <c r="A127" s="4" t="s">
        <v>144</v>
      </c>
      <c r="B127" s="4" t="s">
        <v>138</v>
      </c>
      <c r="C127" s="4" t="s">
        <v>46</v>
      </c>
      <c r="D127" s="4" t="n">
        <v>3.24</v>
      </c>
      <c r="E127" s="4" t="n">
        <v>3.32</v>
      </c>
      <c r="F127" s="4" t="n">
        <v>3.39</v>
      </c>
      <c r="G127" s="4" t="n">
        <v>3.49</v>
      </c>
      <c r="H127" s="4" t="n">
        <v>99</v>
      </c>
      <c r="I127" s="4" t="s">
        <v>171</v>
      </c>
      <c r="J127" s="0" t="n">
        <v>3.24</v>
      </c>
      <c r="K127" s="0" t="n">
        <v>3.32</v>
      </c>
      <c r="L127" s="0" t="n">
        <v>3.39</v>
      </c>
      <c r="M127" s="0" t="n">
        <v>3.49</v>
      </c>
    </row>
    <row r="128" customFormat="false" ht="15" hidden="false" customHeight="true" outlineLevel="0" collapsed="false">
      <c r="A128" s="4" t="s">
        <v>146</v>
      </c>
      <c r="B128" s="4" t="s">
        <v>138</v>
      </c>
      <c r="C128" s="4" t="s">
        <v>46</v>
      </c>
      <c r="D128" s="4" t="n">
        <v>3.2</v>
      </c>
      <c r="E128" s="4" t="n">
        <v>3.27</v>
      </c>
      <c r="F128" s="4" t="n">
        <v>3.34</v>
      </c>
      <c r="G128" s="4" t="n">
        <v>3.44</v>
      </c>
      <c r="H128" s="4" t="n">
        <v>99</v>
      </c>
      <c r="I128" s="4" t="s">
        <v>172</v>
      </c>
      <c r="J128" s="0" t="n">
        <v>3.2</v>
      </c>
      <c r="K128" s="0" t="n">
        <v>3.27</v>
      </c>
      <c r="L128" s="0" t="n">
        <v>3.34</v>
      </c>
      <c r="M128" s="0" t="n">
        <v>3.44</v>
      </c>
    </row>
    <row r="129" customFormat="false" ht="15" hidden="false" customHeight="true" outlineLevel="0" collapsed="false">
      <c r="A129" s="4" t="s">
        <v>148</v>
      </c>
      <c r="B129" s="4" t="s">
        <v>138</v>
      </c>
      <c r="C129" s="4" t="s">
        <v>46</v>
      </c>
      <c r="D129" s="4" t="n">
        <v>3.12</v>
      </c>
      <c r="E129" s="4" t="n">
        <v>3.21</v>
      </c>
      <c r="F129" s="4" t="n">
        <v>3.28</v>
      </c>
      <c r="G129" s="4" t="n">
        <v>3.4</v>
      </c>
      <c r="H129" s="4" t="n">
        <v>99</v>
      </c>
      <c r="I129" s="4" t="s">
        <v>173</v>
      </c>
      <c r="J129" s="0" t="n">
        <v>3.12</v>
      </c>
      <c r="K129" s="0" t="n">
        <v>3.21</v>
      </c>
      <c r="L129" s="0" t="n">
        <v>3.28</v>
      </c>
      <c r="M129" s="0" t="n">
        <v>3.4</v>
      </c>
    </row>
    <row r="130" customFormat="false" ht="15" hidden="false" customHeight="true" outlineLevel="0" collapsed="false">
      <c r="A130" s="4" t="s">
        <v>150</v>
      </c>
      <c r="B130" s="4" t="s">
        <v>138</v>
      </c>
      <c r="C130" s="4" t="s">
        <v>46</v>
      </c>
      <c r="D130" s="4" t="n">
        <v>3.08</v>
      </c>
      <c r="E130" s="4" t="n">
        <v>3.19</v>
      </c>
      <c r="F130" s="4" t="n">
        <v>3.27</v>
      </c>
      <c r="G130" s="4" t="n">
        <v>3.37</v>
      </c>
      <c r="H130" s="4" t="n">
        <v>99</v>
      </c>
      <c r="I130" s="4" t="s">
        <v>174</v>
      </c>
      <c r="J130" s="0" t="n">
        <v>3.08</v>
      </c>
      <c r="K130" s="0" t="n">
        <v>3.19</v>
      </c>
      <c r="L130" s="0" t="n">
        <v>3.27</v>
      </c>
      <c r="M130" s="0" t="n">
        <v>3.37</v>
      </c>
    </row>
    <row r="131" customFormat="false" ht="15" hidden="false" customHeight="true" outlineLevel="0" collapsed="false">
      <c r="A131" s="4" t="s">
        <v>152</v>
      </c>
      <c r="B131" s="4" t="s">
        <v>138</v>
      </c>
      <c r="C131" s="4" t="s">
        <v>46</v>
      </c>
      <c r="D131" s="4" t="n">
        <v>3.06</v>
      </c>
      <c r="E131" s="4" t="n">
        <v>3.15</v>
      </c>
      <c r="F131" s="4" t="n">
        <v>3.26</v>
      </c>
      <c r="G131" s="4" t="n">
        <v>3.36</v>
      </c>
      <c r="H131" s="4" t="n">
        <v>99</v>
      </c>
      <c r="I131" s="4" t="s">
        <v>175</v>
      </c>
      <c r="J131" s="0" t="n">
        <v>3.06</v>
      </c>
      <c r="K131" s="0" t="n">
        <v>3.15</v>
      </c>
      <c r="L131" s="0" t="n">
        <v>3.26</v>
      </c>
      <c r="M131" s="0" t="n">
        <v>3.36</v>
      </c>
    </row>
    <row r="132" customFormat="false" ht="15" hidden="false" customHeight="true" outlineLevel="0" collapsed="false">
      <c r="A132" s="4" t="s">
        <v>154</v>
      </c>
      <c r="B132" s="4" t="s">
        <v>138</v>
      </c>
      <c r="C132" s="4" t="s">
        <v>46</v>
      </c>
      <c r="D132" s="4" t="n">
        <v>3.04</v>
      </c>
      <c r="E132" s="4" t="n">
        <v>3.13</v>
      </c>
      <c r="F132" s="4" t="n">
        <v>3.23</v>
      </c>
      <c r="G132" s="4" t="n">
        <v>3.34</v>
      </c>
      <c r="H132" s="4" t="n">
        <v>99</v>
      </c>
      <c r="I132" s="4" t="s">
        <v>176</v>
      </c>
      <c r="J132" s="0" t="n">
        <v>3.04</v>
      </c>
      <c r="K132" s="0" t="n">
        <v>3.13</v>
      </c>
      <c r="L132" s="0" t="n">
        <v>3.23</v>
      </c>
      <c r="M132" s="0" t="n">
        <v>3.34</v>
      </c>
    </row>
    <row r="133" customFormat="false" ht="15" hidden="false" customHeight="true" outlineLevel="0" collapsed="false">
      <c r="A133" s="4" t="s">
        <v>156</v>
      </c>
      <c r="B133" s="4" t="s">
        <v>138</v>
      </c>
      <c r="C133" s="4" t="s">
        <v>46</v>
      </c>
      <c r="D133" s="4" t="n">
        <v>3</v>
      </c>
      <c r="E133" s="4" t="n">
        <v>3.12</v>
      </c>
      <c r="F133" s="4" t="n">
        <v>3.2</v>
      </c>
      <c r="G133" s="4" t="n">
        <v>3.32</v>
      </c>
      <c r="H133" s="4" t="n">
        <v>99</v>
      </c>
      <c r="I133" s="4" t="s">
        <v>177</v>
      </c>
      <c r="J133" s="0" t="n">
        <v>3</v>
      </c>
      <c r="K133" s="0" t="n">
        <v>3.12</v>
      </c>
      <c r="L133" s="0" t="n">
        <v>3.2</v>
      </c>
      <c r="M133" s="0" t="n">
        <v>3.32</v>
      </c>
    </row>
    <row r="134" customFormat="false" ht="15" hidden="false" customHeight="true" outlineLevel="0" collapsed="false">
      <c r="A134" s="4" t="s">
        <v>137</v>
      </c>
      <c r="B134" s="4" t="s">
        <v>138</v>
      </c>
      <c r="C134" s="4" t="s">
        <v>57</v>
      </c>
      <c r="D134" s="4" t="n">
        <v>5</v>
      </c>
      <c r="E134" s="4" t="n">
        <v>5.16</v>
      </c>
      <c r="F134" s="4" t="n">
        <v>5.31</v>
      </c>
      <c r="G134" s="4" t="n">
        <v>5.48</v>
      </c>
      <c r="H134" s="4" t="n">
        <v>99</v>
      </c>
      <c r="I134" s="4" t="s">
        <v>178</v>
      </c>
      <c r="J134" s="0" t="n">
        <v>5</v>
      </c>
      <c r="K134" s="0" t="n">
        <v>5.16</v>
      </c>
      <c r="L134" s="0" t="n">
        <v>5.31</v>
      </c>
      <c r="M134" s="0" t="n">
        <v>5.48</v>
      </c>
    </row>
    <row r="135" customFormat="false" ht="15" hidden="false" customHeight="true" outlineLevel="0" collapsed="false">
      <c r="A135" s="4" t="s">
        <v>140</v>
      </c>
      <c r="B135" s="4" t="s">
        <v>138</v>
      </c>
      <c r="C135" s="4" t="s">
        <v>57</v>
      </c>
      <c r="D135" s="4" t="n">
        <v>4.84</v>
      </c>
      <c r="E135" s="4" t="n">
        <v>5</v>
      </c>
      <c r="F135" s="4" t="n">
        <v>5.14</v>
      </c>
      <c r="G135" s="4" t="n">
        <v>5.36</v>
      </c>
      <c r="H135" s="4" t="n">
        <v>99</v>
      </c>
      <c r="I135" s="4" t="s">
        <v>179</v>
      </c>
      <c r="J135" s="0" t="n">
        <v>4.84</v>
      </c>
      <c r="K135" s="0" t="n">
        <v>5</v>
      </c>
      <c r="L135" s="0" t="n">
        <v>5.14</v>
      </c>
      <c r="M135" s="0" t="n">
        <v>5.36</v>
      </c>
    </row>
    <row r="136" customFormat="false" ht="15" hidden="false" customHeight="true" outlineLevel="0" collapsed="false">
      <c r="A136" s="4" t="s">
        <v>142</v>
      </c>
      <c r="B136" s="4" t="s">
        <v>138</v>
      </c>
      <c r="C136" s="4" t="s">
        <v>57</v>
      </c>
      <c r="D136" s="4" t="n">
        <v>4.69</v>
      </c>
      <c r="E136" s="4" t="n">
        <v>4.83</v>
      </c>
      <c r="F136" s="4" t="n">
        <v>4.96</v>
      </c>
      <c r="G136" s="4" t="n">
        <v>5.12</v>
      </c>
      <c r="H136" s="4" t="n">
        <v>99</v>
      </c>
      <c r="I136" s="4" t="s">
        <v>180</v>
      </c>
      <c r="J136" s="0" t="n">
        <v>4.69</v>
      </c>
      <c r="K136" s="0" t="n">
        <v>4.83</v>
      </c>
      <c r="L136" s="0" t="n">
        <v>4.96</v>
      </c>
      <c r="M136" s="0" t="n">
        <v>5.12</v>
      </c>
    </row>
    <row r="137" customFormat="false" ht="15" hidden="false" customHeight="true" outlineLevel="0" collapsed="false">
      <c r="A137" s="4" t="s">
        <v>144</v>
      </c>
      <c r="B137" s="4" t="s">
        <v>138</v>
      </c>
      <c r="C137" s="4" t="s">
        <v>57</v>
      </c>
      <c r="D137" s="4" t="n">
        <v>4.59</v>
      </c>
      <c r="E137" s="4" t="n">
        <v>4.71</v>
      </c>
      <c r="F137" s="4" t="n">
        <v>4.83</v>
      </c>
      <c r="G137" s="4" t="n">
        <v>4.96</v>
      </c>
      <c r="H137" s="4" t="n">
        <v>99</v>
      </c>
      <c r="I137" s="4" t="s">
        <v>181</v>
      </c>
      <c r="J137" s="0" t="n">
        <v>4.59</v>
      </c>
      <c r="K137" s="0" t="n">
        <v>4.71</v>
      </c>
      <c r="L137" s="0" t="n">
        <v>4.83</v>
      </c>
      <c r="M137" s="0" t="n">
        <v>4.96</v>
      </c>
    </row>
    <row r="138" customFormat="false" ht="15" hidden="false" customHeight="true" outlineLevel="0" collapsed="false">
      <c r="A138" s="4" t="s">
        <v>146</v>
      </c>
      <c r="B138" s="4" t="s">
        <v>138</v>
      </c>
      <c r="C138" s="4" t="s">
        <v>57</v>
      </c>
      <c r="D138" s="4" t="n">
        <v>4.52</v>
      </c>
      <c r="E138" s="4" t="n">
        <v>4.63</v>
      </c>
      <c r="F138" s="4" t="n">
        <v>4.75</v>
      </c>
      <c r="G138" s="4" t="n">
        <v>4.88</v>
      </c>
      <c r="H138" s="4" t="n">
        <v>99</v>
      </c>
      <c r="I138" s="4" t="s">
        <v>182</v>
      </c>
      <c r="J138" s="0" t="n">
        <v>4.52</v>
      </c>
      <c r="K138" s="0" t="n">
        <v>4.63</v>
      </c>
      <c r="L138" s="0" t="n">
        <v>4.75</v>
      </c>
      <c r="M138" s="0" t="n">
        <v>4.88</v>
      </c>
    </row>
    <row r="139" customFormat="false" ht="15" hidden="false" customHeight="true" outlineLevel="0" collapsed="false">
      <c r="A139" s="4" t="s">
        <v>148</v>
      </c>
      <c r="B139" s="4" t="s">
        <v>138</v>
      </c>
      <c r="C139" s="4" t="s">
        <v>57</v>
      </c>
      <c r="D139" s="4" t="n">
        <v>4.43</v>
      </c>
      <c r="E139" s="4" t="n">
        <v>4.55</v>
      </c>
      <c r="F139" s="4" t="n">
        <v>4.68</v>
      </c>
      <c r="G139" s="4" t="n">
        <v>4.83</v>
      </c>
      <c r="H139" s="4" t="n">
        <v>99</v>
      </c>
      <c r="I139" s="4" t="s">
        <v>183</v>
      </c>
      <c r="J139" s="0" t="n">
        <v>4.43</v>
      </c>
      <c r="K139" s="0" t="n">
        <v>4.55</v>
      </c>
      <c r="L139" s="0" t="n">
        <v>4.68</v>
      </c>
      <c r="M139" s="0" t="n">
        <v>4.83</v>
      </c>
    </row>
    <row r="140" customFormat="false" ht="15" hidden="false" customHeight="true" outlineLevel="0" collapsed="false">
      <c r="A140" s="4" t="s">
        <v>150</v>
      </c>
      <c r="B140" s="4" t="s">
        <v>138</v>
      </c>
      <c r="C140" s="4" t="s">
        <v>57</v>
      </c>
      <c r="D140" s="4" t="n">
        <v>4.33</v>
      </c>
      <c r="E140" s="4" t="n">
        <v>4.51</v>
      </c>
      <c r="F140" s="4" t="n">
        <v>4.63</v>
      </c>
      <c r="G140" s="4" t="n">
        <v>4.8</v>
      </c>
      <c r="H140" s="4" t="n">
        <v>99</v>
      </c>
      <c r="I140" s="4" t="s">
        <v>184</v>
      </c>
      <c r="J140" s="0" t="n">
        <v>4.33</v>
      </c>
      <c r="K140" s="0" t="n">
        <v>4.51</v>
      </c>
      <c r="L140" s="0" t="n">
        <v>4.63</v>
      </c>
      <c r="M140" s="0" t="n">
        <v>4.8</v>
      </c>
    </row>
    <row r="141" customFormat="false" ht="15" hidden="false" customHeight="true" outlineLevel="0" collapsed="false">
      <c r="A141" s="4" t="s">
        <v>152</v>
      </c>
      <c r="B141" s="4" t="s">
        <v>138</v>
      </c>
      <c r="C141" s="4" t="s">
        <v>57</v>
      </c>
      <c r="D141" s="4" t="n">
        <v>4.31</v>
      </c>
      <c r="E141" s="4" t="n">
        <v>4.44</v>
      </c>
      <c r="F141" s="4" t="n">
        <v>4.61</v>
      </c>
      <c r="G141" s="4" t="n">
        <v>4.75</v>
      </c>
      <c r="H141" s="4" t="n">
        <v>99</v>
      </c>
      <c r="I141" s="4" t="s">
        <v>185</v>
      </c>
      <c r="J141" s="0" t="n">
        <v>4.31</v>
      </c>
      <c r="K141" s="0" t="n">
        <v>4.44</v>
      </c>
      <c r="L141" s="0" t="n">
        <v>4.61</v>
      </c>
      <c r="M141" s="0" t="n">
        <v>4.75</v>
      </c>
    </row>
    <row r="142" customFormat="false" ht="15" hidden="false" customHeight="true" outlineLevel="0" collapsed="false">
      <c r="A142" s="4" t="s">
        <v>154</v>
      </c>
      <c r="B142" s="4" t="s">
        <v>138</v>
      </c>
      <c r="C142" s="4" t="s">
        <v>57</v>
      </c>
      <c r="D142" s="4" t="n">
        <v>4.26</v>
      </c>
      <c r="E142" s="4" t="n">
        <v>4.41</v>
      </c>
      <c r="F142" s="4" t="n">
        <v>4.56</v>
      </c>
      <c r="G142" s="4" t="n">
        <v>4.73</v>
      </c>
      <c r="H142" s="4" t="n">
        <v>99</v>
      </c>
      <c r="I142" s="4" t="s">
        <v>186</v>
      </c>
      <c r="J142" s="0" t="n">
        <v>4.26</v>
      </c>
      <c r="K142" s="0" t="n">
        <v>4.41</v>
      </c>
      <c r="L142" s="0" t="n">
        <v>4.56</v>
      </c>
      <c r="M142" s="0" t="n">
        <v>4.73</v>
      </c>
    </row>
    <row r="143" customFormat="false" ht="15" hidden="false" customHeight="true" outlineLevel="0" collapsed="false">
      <c r="A143" s="4" t="s">
        <v>156</v>
      </c>
      <c r="B143" s="4" t="s">
        <v>138</v>
      </c>
      <c r="C143" s="4" t="s">
        <v>57</v>
      </c>
      <c r="D143" s="4" t="n">
        <v>4.22</v>
      </c>
      <c r="E143" s="4" t="n">
        <v>4.39</v>
      </c>
      <c r="F143" s="4" t="n">
        <v>4.53</v>
      </c>
      <c r="G143" s="4" t="n">
        <v>4.7</v>
      </c>
      <c r="H143" s="4" t="n">
        <v>99</v>
      </c>
      <c r="I143" s="4" t="s">
        <v>187</v>
      </c>
      <c r="J143" s="0" t="n">
        <v>4.22</v>
      </c>
      <c r="K143" s="0" t="n">
        <v>4.39</v>
      </c>
      <c r="L143" s="0" t="n">
        <v>4.53</v>
      </c>
      <c r="M143" s="0" t="n">
        <v>4.7</v>
      </c>
    </row>
    <row r="144" customFormat="false" ht="15" hidden="false" customHeight="true" outlineLevel="0" collapsed="false">
      <c r="A144" s="4" t="s">
        <v>137</v>
      </c>
      <c r="B144" s="4" t="s">
        <v>138</v>
      </c>
      <c r="C144" s="4" t="s">
        <v>68</v>
      </c>
      <c r="D144" s="4" t="n">
        <v>7.23</v>
      </c>
      <c r="E144" s="4" t="n">
        <v>7.45</v>
      </c>
      <c r="F144" s="4" t="n">
        <v>7.63</v>
      </c>
      <c r="G144" s="4" t="n">
        <v>7.7</v>
      </c>
      <c r="H144" s="4" t="n">
        <v>99</v>
      </c>
      <c r="I144" s="4" t="s">
        <v>188</v>
      </c>
      <c r="J144" s="0" t="n">
        <v>7.23</v>
      </c>
      <c r="K144" s="0" t="n">
        <v>7.45</v>
      </c>
      <c r="L144" s="0" t="n">
        <v>7.63</v>
      </c>
      <c r="M144" s="0" t="n">
        <v>7.7</v>
      </c>
    </row>
    <row r="145" customFormat="false" ht="15" hidden="false" customHeight="true" outlineLevel="0" collapsed="false">
      <c r="A145" s="4" t="s">
        <v>140</v>
      </c>
      <c r="B145" s="4" t="s">
        <v>138</v>
      </c>
      <c r="C145" s="4" t="s">
        <v>68</v>
      </c>
      <c r="D145" s="4" t="n">
        <v>7.15</v>
      </c>
      <c r="E145" s="4" t="n">
        <v>7.26</v>
      </c>
      <c r="F145" s="4" t="n">
        <v>7.38</v>
      </c>
      <c r="G145" s="4" t="n">
        <v>7.51</v>
      </c>
      <c r="H145" s="4" t="n">
        <v>99</v>
      </c>
      <c r="I145" s="4" t="s">
        <v>189</v>
      </c>
      <c r="J145" s="0" t="n">
        <v>7.15</v>
      </c>
      <c r="K145" s="0" t="n">
        <v>7.26</v>
      </c>
      <c r="L145" s="0" t="n">
        <v>7.38</v>
      </c>
      <c r="M145" s="0" t="n">
        <v>7.51</v>
      </c>
    </row>
    <row r="146" customFormat="false" ht="15" hidden="false" customHeight="true" outlineLevel="0" collapsed="false">
      <c r="A146" s="4" t="s">
        <v>142</v>
      </c>
      <c r="B146" s="4" t="s">
        <v>138</v>
      </c>
      <c r="C146" s="4" t="s">
        <v>68</v>
      </c>
      <c r="D146" s="4" t="n">
        <v>6.94</v>
      </c>
      <c r="E146" s="4" t="n">
        <v>7.1</v>
      </c>
      <c r="F146" s="4" t="n">
        <v>7.22</v>
      </c>
      <c r="G146" s="4" t="n">
        <v>7.35</v>
      </c>
      <c r="H146" s="4" t="n">
        <v>99</v>
      </c>
      <c r="I146" s="4" t="s">
        <v>190</v>
      </c>
      <c r="J146" s="0" t="n">
        <v>6.94</v>
      </c>
      <c r="K146" s="0" t="n">
        <v>7.1</v>
      </c>
      <c r="L146" s="0" t="n">
        <v>7.22</v>
      </c>
      <c r="M146" s="0" t="n">
        <v>7.35</v>
      </c>
    </row>
    <row r="147" customFormat="false" ht="15" hidden="false" customHeight="true" outlineLevel="0" collapsed="false">
      <c r="A147" s="4" t="s">
        <v>144</v>
      </c>
      <c r="B147" s="4" t="s">
        <v>138</v>
      </c>
      <c r="C147" s="4" t="s">
        <v>68</v>
      </c>
      <c r="D147" s="4" t="n">
        <v>6.74</v>
      </c>
      <c r="E147" s="4" t="n">
        <v>6.86</v>
      </c>
      <c r="F147" s="4" t="n">
        <v>7</v>
      </c>
      <c r="G147" s="4" t="n">
        <v>7.16</v>
      </c>
      <c r="H147" s="4" t="n">
        <v>99</v>
      </c>
      <c r="I147" s="4" t="s">
        <v>191</v>
      </c>
      <c r="J147" s="0" t="n">
        <v>6.74</v>
      </c>
      <c r="K147" s="0" t="n">
        <v>6.86</v>
      </c>
      <c r="L147" s="0" t="n">
        <v>7</v>
      </c>
      <c r="M147" s="0" t="n">
        <v>7.16</v>
      </c>
    </row>
    <row r="148" customFormat="false" ht="15" hidden="false" customHeight="true" outlineLevel="0" collapsed="false">
      <c r="A148" s="4" t="s">
        <v>146</v>
      </c>
      <c r="B148" s="4" t="s">
        <v>138</v>
      </c>
      <c r="C148" s="4" t="s">
        <v>68</v>
      </c>
      <c r="D148" s="4" t="n">
        <v>6.7</v>
      </c>
      <c r="E148" s="4" t="n">
        <v>6.8</v>
      </c>
      <c r="F148" s="4" t="n">
        <v>6.94</v>
      </c>
      <c r="G148" s="4" t="n">
        <v>7.08</v>
      </c>
      <c r="H148" s="4" t="n">
        <v>99</v>
      </c>
      <c r="I148" s="4" t="s">
        <v>192</v>
      </c>
      <c r="J148" s="0" t="n">
        <v>6.7</v>
      </c>
      <c r="K148" s="0" t="n">
        <v>6.8</v>
      </c>
      <c r="L148" s="0" t="n">
        <v>6.94</v>
      </c>
      <c r="M148" s="0" t="n">
        <v>7.08</v>
      </c>
    </row>
    <row r="149" customFormat="false" ht="15" hidden="false" customHeight="true" outlineLevel="0" collapsed="false">
      <c r="A149" s="4" t="s">
        <v>148</v>
      </c>
      <c r="B149" s="4" t="s">
        <v>138</v>
      </c>
      <c r="C149" s="4" t="s">
        <v>68</v>
      </c>
      <c r="D149" s="4" t="n">
        <v>6.65</v>
      </c>
      <c r="E149" s="4" t="n">
        <v>6.75</v>
      </c>
      <c r="F149" s="4" t="n">
        <v>6.9</v>
      </c>
      <c r="G149" s="4" t="n">
        <v>7.04</v>
      </c>
      <c r="H149" s="4" t="n">
        <v>99</v>
      </c>
      <c r="I149" s="4" t="s">
        <v>193</v>
      </c>
      <c r="J149" s="0" t="n">
        <v>6.65</v>
      </c>
      <c r="K149" s="0" t="n">
        <v>6.75</v>
      </c>
      <c r="L149" s="0" t="n">
        <v>6.9</v>
      </c>
      <c r="M149" s="0" t="n">
        <v>7.04</v>
      </c>
    </row>
    <row r="150" customFormat="false" ht="15" hidden="false" customHeight="true" outlineLevel="0" collapsed="false">
      <c r="A150" s="4" t="s">
        <v>150</v>
      </c>
      <c r="B150" s="4" t="s">
        <v>138</v>
      </c>
      <c r="C150" s="4" t="s">
        <v>68</v>
      </c>
      <c r="D150" s="4" t="n">
        <v>6.59</v>
      </c>
      <c r="E150" s="4" t="n">
        <v>6.7</v>
      </c>
      <c r="F150" s="4" t="n">
        <v>6.85</v>
      </c>
      <c r="G150" s="4" t="n">
        <v>7</v>
      </c>
      <c r="H150" s="4" t="n">
        <v>99</v>
      </c>
      <c r="I150" s="4" t="s">
        <v>194</v>
      </c>
      <c r="J150" s="0" t="n">
        <v>6.59</v>
      </c>
      <c r="K150" s="0" t="n">
        <v>6.7</v>
      </c>
      <c r="L150" s="0" t="n">
        <v>6.85</v>
      </c>
      <c r="M150" s="0" t="n">
        <v>7</v>
      </c>
    </row>
    <row r="151" customFormat="false" ht="15" hidden="false" customHeight="true" outlineLevel="0" collapsed="false">
      <c r="A151" s="4" t="s">
        <v>152</v>
      </c>
      <c r="B151" s="4" t="s">
        <v>138</v>
      </c>
      <c r="C151" s="4" t="s">
        <v>68</v>
      </c>
      <c r="D151" s="4" t="n">
        <v>6.55</v>
      </c>
      <c r="E151" s="4" t="n">
        <v>6.65</v>
      </c>
      <c r="F151" s="4" t="n">
        <v>6.8</v>
      </c>
      <c r="G151" s="4" t="n">
        <v>6.96</v>
      </c>
      <c r="H151" s="4" t="n">
        <v>99</v>
      </c>
      <c r="I151" s="4" t="s">
        <v>195</v>
      </c>
      <c r="J151" s="0" t="n">
        <v>6.55</v>
      </c>
      <c r="K151" s="0" t="n">
        <v>6.65</v>
      </c>
      <c r="L151" s="0" t="n">
        <v>6.8</v>
      </c>
      <c r="M151" s="0" t="n">
        <v>6.96</v>
      </c>
    </row>
    <row r="152" customFormat="false" ht="15" hidden="false" customHeight="true" outlineLevel="0" collapsed="false">
      <c r="A152" s="4" t="s">
        <v>154</v>
      </c>
      <c r="B152" s="4" t="s">
        <v>138</v>
      </c>
      <c r="C152" s="4" t="s">
        <v>68</v>
      </c>
      <c r="D152" s="4" t="n">
        <v>6.51</v>
      </c>
      <c r="E152" s="4" t="n">
        <v>6.59</v>
      </c>
      <c r="F152" s="4" t="n">
        <v>6.76</v>
      </c>
      <c r="G152" s="4" t="n">
        <v>6.9</v>
      </c>
      <c r="H152" s="4" t="n">
        <v>99</v>
      </c>
      <c r="I152" s="4" t="s">
        <v>196</v>
      </c>
      <c r="J152" s="0" t="n">
        <v>6.51</v>
      </c>
      <c r="K152" s="0" t="n">
        <v>6.59</v>
      </c>
      <c r="L152" s="0" t="n">
        <v>6.76</v>
      </c>
      <c r="M152" s="0" t="n">
        <v>6.9</v>
      </c>
    </row>
    <row r="153" customFormat="false" ht="15" hidden="false" customHeight="true" outlineLevel="0" collapsed="false">
      <c r="A153" s="4" t="s">
        <v>156</v>
      </c>
      <c r="B153" s="4" t="s">
        <v>138</v>
      </c>
      <c r="C153" s="4" t="s">
        <v>68</v>
      </c>
      <c r="D153" s="4" t="n">
        <v>6.45</v>
      </c>
      <c r="E153" s="4" t="n">
        <v>6.51</v>
      </c>
      <c r="F153" s="4" t="n">
        <v>6.65</v>
      </c>
      <c r="G153" s="4" t="n">
        <v>6.82</v>
      </c>
      <c r="H153" s="4" t="n">
        <v>99</v>
      </c>
      <c r="I153" s="4" t="s">
        <v>197</v>
      </c>
      <c r="J153" s="0" t="n">
        <v>6.45</v>
      </c>
      <c r="K153" s="0" t="n">
        <v>6.51</v>
      </c>
      <c r="L153" s="0" t="n">
        <v>6.65</v>
      </c>
      <c r="M153" s="0" t="n">
        <v>6.82</v>
      </c>
    </row>
    <row r="154" customFormat="false" ht="15" hidden="false" customHeight="true" outlineLevel="0" collapsed="false">
      <c r="A154" s="4" t="s">
        <v>137</v>
      </c>
      <c r="B154" s="4" t="s">
        <v>138</v>
      </c>
      <c r="C154" s="4" t="s">
        <v>79</v>
      </c>
      <c r="D154" s="4" t="n">
        <v>8.77</v>
      </c>
      <c r="E154" s="4" t="n">
        <v>9.05</v>
      </c>
      <c r="F154" s="4" t="n">
        <v>9.3</v>
      </c>
      <c r="G154" s="4" t="n">
        <v>9.6</v>
      </c>
      <c r="H154" s="4" t="n">
        <v>99</v>
      </c>
      <c r="I154" s="4" t="s">
        <v>198</v>
      </c>
      <c r="J154" s="0" t="n">
        <v>8.77</v>
      </c>
      <c r="K154" s="0" t="n">
        <v>9.05</v>
      </c>
      <c r="L154" s="0" t="n">
        <v>9.3</v>
      </c>
      <c r="M154" s="0" t="n">
        <v>9.6</v>
      </c>
    </row>
    <row r="155" customFormat="false" ht="15" hidden="false" customHeight="true" outlineLevel="0" collapsed="false">
      <c r="A155" s="4" t="s">
        <v>140</v>
      </c>
      <c r="B155" s="4" t="s">
        <v>138</v>
      </c>
      <c r="C155" s="4" t="s">
        <v>79</v>
      </c>
      <c r="D155" s="4" t="n">
        <v>8.5</v>
      </c>
      <c r="E155" s="4" t="n">
        <v>8.76</v>
      </c>
      <c r="F155" s="4" t="n">
        <v>8.99</v>
      </c>
      <c r="G155" s="4" t="n">
        <v>9.26</v>
      </c>
      <c r="H155" s="4" t="n">
        <v>99</v>
      </c>
      <c r="I155" s="4" t="s">
        <v>199</v>
      </c>
      <c r="J155" s="0" t="n">
        <v>8.5</v>
      </c>
      <c r="K155" s="0" t="n">
        <v>8.76</v>
      </c>
      <c r="L155" s="0" t="n">
        <v>8.99</v>
      </c>
      <c r="M155" s="0" t="n">
        <v>9.26</v>
      </c>
    </row>
    <row r="156" customFormat="false" ht="15" hidden="false" customHeight="true" outlineLevel="0" collapsed="false">
      <c r="A156" s="4" t="s">
        <v>142</v>
      </c>
      <c r="B156" s="4" t="s">
        <v>138</v>
      </c>
      <c r="C156" s="4" t="s">
        <v>79</v>
      </c>
      <c r="D156" s="4" t="n">
        <v>8.29</v>
      </c>
      <c r="E156" s="4" t="n">
        <v>8.5</v>
      </c>
      <c r="F156" s="4" t="n">
        <v>8.7</v>
      </c>
      <c r="G156" s="4" t="n">
        <v>8.92</v>
      </c>
      <c r="H156" s="4" t="n">
        <v>99</v>
      </c>
      <c r="I156" s="4" t="s">
        <v>200</v>
      </c>
      <c r="J156" s="0" t="n">
        <v>8.29</v>
      </c>
      <c r="K156" s="0" t="n">
        <v>8.5</v>
      </c>
      <c r="L156" s="0" t="n">
        <v>8.7</v>
      </c>
      <c r="M156" s="0" t="n">
        <v>8.92</v>
      </c>
    </row>
    <row r="157" customFormat="false" ht="15" hidden="false" customHeight="true" outlineLevel="0" collapsed="false">
      <c r="A157" s="4" t="s">
        <v>144</v>
      </c>
      <c r="B157" s="4" t="s">
        <v>138</v>
      </c>
      <c r="C157" s="4" t="s">
        <v>79</v>
      </c>
      <c r="D157" s="4" t="n">
        <v>8.11</v>
      </c>
      <c r="E157" s="4" t="n">
        <v>8.32</v>
      </c>
      <c r="F157" s="4" t="n">
        <v>8.51</v>
      </c>
      <c r="G157" s="4" t="n">
        <v>8.73</v>
      </c>
      <c r="H157" s="4" t="n">
        <v>99</v>
      </c>
      <c r="I157" s="4" t="s">
        <v>201</v>
      </c>
      <c r="J157" s="0" t="n">
        <v>8.11</v>
      </c>
      <c r="K157" s="0" t="n">
        <v>8.32</v>
      </c>
      <c r="L157" s="0" t="n">
        <v>8.51</v>
      </c>
      <c r="M157" s="0" t="n">
        <v>8.73</v>
      </c>
    </row>
    <row r="158" customFormat="false" ht="15" hidden="false" customHeight="true" outlineLevel="0" collapsed="false">
      <c r="A158" s="4" t="s">
        <v>146</v>
      </c>
      <c r="B158" s="4" t="s">
        <v>138</v>
      </c>
      <c r="C158" s="4" t="s">
        <v>79</v>
      </c>
      <c r="D158" s="4" t="n">
        <v>7.97</v>
      </c>
      <c r="E158" s="4" t="n">
        <v>8.21</v>
      </c>
      <c r="F158" s="4" t="n">
        <v>8.42</v>
      </c>
      <c r="G158" s="4" t="n">
        <v>8.67</v>
      </c>
      <c r="H158" s="4" t="n">
        <v>99</v>
      </c>
      <c r="I158" s="4" t="s">
        <v>202</v>
      </c>
      <c r="J158" s="0" t="n">
        <v>7.97</v>
      </c>
      <c r="K158" s="0" t="n">
        <v>8.21</v>
      </c>
      <c r="L158" s="0" t="n">
        <v>8.42</v>
      </c>
      <c r="M158" s="0" t="n">
        <v>8.67</v>
      </c>
    </row>
    <row r="159" customFormat="false" ht="15" hidden="false" customHeight="true" outlineLevel="0" collapsed="false">
      <c r="A159" s="4" t="s">
        <v>148</v>
      </c>
      <c r="B159" s="4" t="s">
        <v>138</v>
      </c>
      <c r="C159" s="4" t="s">
        <v>79</v>
      </c>
      <c r="D159" s="4" t="n">
        <v>7.95</v>
      </c>
      <c r="E159" s="4" t="n">
        <v>8.1</v>
      </c>
      <c r="F159" s="4" t="n">
        <v>8.39</v>
      </c>
      <c r="G159" s="4" t="n">
        <v>8.61</v>
      </c>
      <c r="H159" s="4" t="n">
        <v>99</v>
      </c>
      <c r="I159" s="4" t="s">
        <v>203</v>
      </c>
      <c r="J159" s="0" t="n">
        <v>7.95</v>
      </c>
      <c r="K159" s="0" t="n">
        <v>8.1</v>
      </c>
      <c r="L159" s="0" t="n">
        <v>8.39</v>
      </c>
      <c r="M159" s="0" t="n">
        <v>8.61</v>
      </c>
    </row>
    <row r="160" customFormat="false" ht="15" hidden="false" customHeight="true" outlineLevel="0" collapsed="false">
      <c r="A160" s="4" t="s">
        <v>150</v>
      </c>
      <c r="B160" s="4" t="s">
        <v>138</v>
      </c>
      <c r="C160" s="4" t="s">
        <v>79</v>
      </c>
      <c r="D160" s="4" t="n">
        <v>7.9</v>
      </c>
      <c r="E160" s="4" t="n">
        <v>8.05</v>
      </c>
      <c r="F160" s="4" t="n">
        <v>8.28</v>
      </c>
      <c r="G160" s="4" t="n">
        <v>8.45</v>
      </c>
      <c r="H160" s="4" t="n">
        <v>99</v>
      </c>
      <c r="I160" s="4" t="s">
        <v>204</v>
      </c>
      <c r="J160" s="0" t="n">
        <v>7.9</v>
      </c>
      <c r="K160" s="0" t="n">
        <v>8.05</v>
      </c>
      <c r="L160" s="0" t="n">
        <v>8.28</v>
      </c>
      <c r="M160" s="0" t="n">
        <v>8.45</v>
      </c>
    </row>
    <row r="161" customFormat="false" ht="15" hidden="false" customHeight="true" outlineLevel="0" collapsed="false">
      <c r="A161" s="4" t="s">
        <v>152</v>
      </c>
      <c r="B161" s="4" t="s">
        <v>138</v>
      </c>
      <c r="C161" s="4" t="s">
        <v>79</v>
      </c>
      <c r="D161" s="4" t="n">
        <v>7.85</v>
      </c>
      <c r="E161" s="4" t="n">
        <v>7.98</v>
      </c>
      <c r="F161" s="4" t="n">
        <v>8.25</v>
      </c>
      <c r="G161" s="4" t="n">
        <v>8.38</v>
      </c>
      <c r="H161" s="4" t="n">
        <v>99</v>
      </c>
      <c r="I161" s="4" t="s">
        <v>205</v>
      </c>
      <c r="J161" s="0" t="n">
        <v>7.85</v>
      </c>
      <c r="K161" s="0" t="n">
        <v>7.98</v>
      </c>
      <c r="L161" s="0" t="n">
        <v>8.25</v>
      </c>
      <c r="M161" s="0" t="n">
        <v>8.38</v>
      </c>
    </row>
    <row r="162" customFormat="false" ht="15" hidden="false" customHeight="true" outlineLevel="0" collapsed="false">
      <c r="A162" s="4" t="s">
        <v>154</v>
      </c>
      <c r="B162" s="4" t="s">
        <v>138</v>
      </c>
      <c r="C162" s="4" t="s">
        <v>79</v>
      </c>
      <c r="D162" s="4" t="n">
        <v>7.8</v>
      </c>
      <c r="E162" s="4" t="n">
        <v>7.91</v>
      </c>
      <c r="F162" s="4" t="n">
        <v>8.2</v>
      </c>
      <c r="G162" s="4" t="n">
        <v>8.3</v>
      </c>
      <c r="H162" s="4" t="n">
        <v>99</v>
      </c>
      <c r="I162" s="4" t="s">
        <v>206</v>
      </c>
      <c r="J162" s="0" t="n">
        <v>7.8</v>
      </c>
      <c r="K162" s="0" t="n">
        <v>7.91</v>
      </c>
      <c r="L162" s="0" t="n">
        <v>8.2</v>
      </c>
      <c r="M162" s="0" t="n">
        <v>8.3</v>
      </c>
    </row>
    <row r="163" customFormat="false" ht="15" hidden="false" customHeight="true" outlineLevel="0" collapsed="false">
      <c r="A163" s="4" t="s">
        <v>156</v>
      </c>
      <c r="B163" s="4" t="s">
        <v>138</v>
      </c>
      <c r="C163" s="4" t="s">
        <v>79</v>
      </c>
      <c r="D163" s="4" t="n">
        <v>7.75</v>
      </c>
      <c r="E163" s="4" t="n">
        <v>7.86</v>
      </c>
      <c r="F163" s="4" t="n">
        <v>8.15</v>
      </c>
      <c r="G163" s="4" t="n">
        <v>8.25</v>
      </c>
      <c r="H163" s="4" t="n">
        <v>99</v>
      </c>
      <c r="I163" s="4" t="s">
        <v>207</v>
      </c>
      <c r="J163" s="0" t="n">
        <v>7.75</v>
      </c>
      <c r="K163" s="0" t="n">
        <v>7.86</v>
      </c>
      <c r="L163" s="0" t="n">
        <v>8.15</v>
      </c>
      <c r="M163" s="0" t="n">
        <v>8.25</v>
      </c>
    </row>
    <row r="164" customFormat="false" ht="15" hidden="false" customHeight="true" outlineLevel="0" collapsed="false">
      <c r="A164" s="4" t="s">
        <v>137</v>
      </c>
      <c r="B164" s="4" t="s">
        <v>138</v>
      </c>
      <c r="C164" s="4" t="s">
        <v>90</v>
      </c>
      <c r="D164" s="4" t="n">
        <v>10.49</v>
      </c>
      <c r="E164" s="4" t="n">
        <v>10.9</v>
      </c>
      <c r="F164" s="4" t="n">
        <v>11.39</v>
      </c>
      <c r="G164" s="4" t="n">
        <v>11.96</v>
      </c>
      <c r="H164" s="4" t="n">
        <v>99</v>
      </c>
      <c r="I164" s="4" t="s">
        <v>208</v>
      </c>
      <c r="J164" s="0" t="n">
        <v>10.49</v>
      </c>
      <c r="K164" s="0" t="n">
        <v>10.9</v>
      </c>
      <c r="L164" s="0" t="n">
        <v>11.39</v>
      </c>
      <c r="M164" s="0" t="n">
        <v>11.96</v>
      </c>
    </row>
    <row r="165" customFormat="false" ht="15" hidden="false" customHeight="true" outlineLevel="0" collapsed="false">
      <c r="A165" s="4" t="s">
        <v>140</v>
      </c>
      <c r="B165" s="4" t="s">
        <v>138</v>
      </c>
      <c r="C165" s="4" t="s">
        <v>90</v>
      </c>
      <c r="D165" s="4" t="n">
        <v>9.95</v>
      </c>
      <c r="E165" s="4" t="n">
        <v>10.43</v>
      </c>
      <c r="F165" s="4" t="n">
        <v>10.83</v>
      </c>
      <c r="G165" s="4" t="n">
        <v>11.32</v>
      </c>
      <c r="H165" s="4" t="n">
        <v>99</v>
      </c>
      <c r="I165" s="4" t="s">
        <v>209</v>
      </c>
      <c r="J165" s="0" t="n">
        <v>9.95</v>
      </c>
      <c r="K165" s="0" t="n">
        <v>10.43</v>
      </c>
      <c r="L165" s="0" t="n">
        <v>10.83</v>
      </c>
      <c r="M165" s="0" t="n">
        <v>11.32</v>
      </c>
    </row>
    <row r="166" customFormat="false" ht="15" hidden="false" customHeight="true" outlineLevel="0" collapsed="false">
      <c r="A166" s="4" t="s">
        <v>142</v>
      </c>
      <c r="B166" s="4" t="s">
        <v>138</v>
      </c>
      <c r="C166" s="4" t="s">
        <v>90</v>
      </c>
      <c r="D166" s="4" t="n">
        <v>9.64</v>
      </c>
      <c r="E166" s="4" t="n">
        <v>10.11</v>
      </c>
      <c r="F166" s="4" t="n">
        <v>10.4</v>
      </c>
      <c r="G166" s="4" t="n">
        <v>10.87</v>
      </c>
      <c r="H166" s="4" t="n">
        <v>99</v>
      </c>
      <c r="I166" s="4" t="s">
        <v>210</v>
      </c>
      <c r="J166" s="0" t="n">
        <v>9.64</v>
      </c>
      <c r="K166" s="0" t="n">
        <v>10.11</v>
      </c>
      <c r="L166" s="0" t="n">
        <v>10.4</v>
      </c>
      <c r="M166" s="0" t="n">
        <v>10.87</v>
      </c>
    </row>
    <row r="167" customFormat="false" ht="15" hidden="false" customHeight="true" outlineLevel="0" collapsed="false">
      <c r="A167" s="4" t="s">
        <v>144</v>
      </c>
      <c r="B167" s="4" t="s">
        <v>138</v>
      </c>
      <c r="C167" s="4" t="s">
        <v>90</v>
      </c>
      <c r="D167" s="4" t="n">
        <v>9.41</v>
      </c>
      <c r="E167" s="4" t="n">
        <v>9.86</v>
      </c>
      <c r="F167" s="4" t="n">
        <v>10.12</v>
      </c>
      <c r="G167" s="4" t="n">
        <v>10.46</v>
      </c>
      <c r="H167" s="4" t="n">
        <v>99</v>
      </c>
      <c r="I167" s="4" t="s">
        <v>211</v>
      </c>
      <c r="J167" s="0" t="n">
        <v>9.41</v>
      </c>
      <c r="K167" s="0" t="n">
        <v>9.86</v>
      </c>
      <c r="L167" s="0" t="n">
        <v>10.12</v>
      </c>
      <c r="M167" s="0" t="n">
        <v>10.46</v>
      </c>
    </row>
    <row r="168" customFormat="false" ht="15" hidden="false" customHeight="true" outlineLevel="0" collapsed="false">
      <c r="A168" s="4" t="s">
        <v>146</v>
      </c>
      <c r="B168" s="4" t="s">
        <v>138</v>
      </c>
      <c r="C168" s="4" t="s">
        <v>90</v>
      </c>
      <c r="D168" s="4" t="n">
        <v>9.23</v>
      </c>
      <c r="E168" s="4" t="n">
        <v>9.53</v>
      </c>
      <c r="F168" s="4" t="n">
        <v>9.74</v>
      </c>
      <c r="G168" s="4" t="n">
        <v>10.19</v>
      </c>
      <c r="H168" s="4" t="n">
        <v>99</v>
      </c>
      <c r="I168" s="4" t="s">
        <v>212</v>
      </c>
      <c r="J168" s="0" t="n">
        <v>9.23</v>
      </c>
      <c r="K168" s="0" t="n">
        <v>9.53</v>
      </c>
      <c r="L168" s="0" t="n">
        <v>9.74</v>
      </c>
      <c r="M168" s="0" t="n">
        <v>10.19</v>
      </c>
    </row>
    <row r="169" customFormat="false" ht="15" hidden="false" customHeight="true" outlineLevel="0" collapsed="false">
      <c r="A169" s="4" t="s">
        <v>148</v>
      </c>
      <c r="B169" s="4" t="s">
        <v>138</v>
      </c>
      <c r="C169" s="4" t="s">
        <v>90</v>
      </c>
      <c r="D169" s="4" t="n">
        <v>9.07</v>
      </c>
      <c r="E169" s="4" t="n">
        <v>9.22</v>
      </c>
      <c r="F169" s="4" t="n">
        <v>9.51</v>
      </c>
      <c r="G169" s="4" t="n">
        <v>9.74</v>
      </c>
      <c r="H169" s="4" t="n">
        <v>99</v>
      </c>
      <c r="I169" s="4" t="s">
        <v>213</v>
      </c>
      <c r="J169" s="0" t="n">
        <v>9.07</v>
      </c>
      <c r="K169" s="0" t="n">
        <v>9.22</v>
      </c>
      <c r="L169" s="0" t="n">
        <v>9.51</v>
      </c>
      <c r="M169" s="0" t="n">
        <v>9.74</v>
      </c>
    </row>
    <row r="170" customFormat="false" ht="15" hidden="false" customHeight="true" outlineLevel="0" collapsed="false">
      <c r="A170" s="4" t="s">
        <v>150</v>
      </c>
      <c r="B170" s="4" t="s">
        <v>138</v>
      </c>
      <c r="C170" s="4" t="s">
        <v>90</v>
      </c>
      <c r="D170" s="4" t="n">
        <v>8.95</v>
      </c>
      <c r="E170" s="4" t="n">
        <v>9.1</v>
      </c>
      <c r="F170" s="4" t="n">
        <v>9.35</v>
      </c>
      <c r="G170" s="4" t="n">
        <v>9.56</v>
      </c>
      <c r="H170" s="4" t="n">
        <v>99</v>
      </c>
      <c r="I170" s="4" t="s">
        <v>214</v>
      </c>
      <c r="J170" s="0" t="n">
        <v>8.95</v>
      </c>
      <c r="K170" s="0" t="n">
        <v>9.1</v>
      </c>
      <c r="L170" s="0" t="n">
        <v>9.35</v>
      </c>
      <c r="M170" s="0" t="n">
        <v>9.56</v>
      </c>
    </row>
    <row r="171" customFormat="false" ht="15" hidden="false" customHeight="true" outlineLevel="0" collapsed="false">
      <c r="A171" s="4" t="s">
        <v>152</v>
      </c>
      <c r="B171" s="4" t="s">
        <v>138</v>
      </c>
      <c r="C171" s="4" t="s">
        <v>90</v>
      </c>
      <c r="D171" s="4" t="n">
        <v>8.9</v>
      </c>
      <c r="E171" s="4" t="n">
        <v>9.04</v>
      </c>
      <c r="F171" s="4" t="n">
        <v>9.32</v>
      </c>
      <c r="G171" s="4" t="n">
        <v>9.48</v>
      </c>
      <c r="H171" s="4" t="n">
        <v>99</v>
      </c>
      <c r="I171" s="4" t="s">
        <v>215</v>
      </c>
      <c r="J171" s="0" t="n">
        <v>8.9</v>
      </c>
      <c r="K171" s="0" t="n">
        <v>9.04</v>
      </c>
      <c r="L171" s="0" t="n">
        <v>9.32</v>
      </c>
      <c r="M171" s="0" t="n">
        <v>9.48</v>
      </c>
    </row>
    <row r="172" customFormat="false" ht="15" hidden="false" customHeight="true" outlineLevel="0" collapsed="false">
      <c r="A172" s="4" t="s">
        <v>154</v>
      </c>
      <c r="B172" s="4" t="s">
        <v>138</v>
      </c>
      <c r="C172" s="4" t="s">
        <v>90</v>
      </c>
      <c r="D172" s="4" t="n">
        <v>8.85</v>
      </c>
      <c r="E172" s="4" t="n">
        <v>8.97</v>
      </c>
      <c r="F172" s="4" t="n">
        <v>9.27</v>
      </c>
      <c r="G172" s="4" t="n">
        <v>9.4</v>
      </c>
      <c r="H172" s="4" t="n">
        <v>99</v>
      </c>
      <c r="I172" s="4" t="s">
        <v>216</v>
      </c>
      <c r="J172" s="0" t="n">
        <v>8.85</v>
      </c>
      <c r="K172" s="0" t="n">
        <v>8.97</v>
      </c>
      <c r="L172" s="0" t="n">
        <v>9.27</v>
      </c>
      <c r="M172" s="0" t="n">
        <v>9.4</v>
      </c>
    </row>
    <row r="173" customFormat="false" ht="15" hidden="false" customHeight="true" outlineLevel="0" collapsed="false">
      <c r="A173" s="4" t="s">
        <v>156</v>
      </c>
      <c r="B173" s="4" t="s">
        <v>138</v>
      </c>
      <c r="C173" s="4" t="s">
        <v>90</v>
      </c>
      <c r="D173" s="4" t="n">
        <v>8.8</v>
      </c>
      <c r="E173" s="4" t="n">
        <v>8.92</v>
      </c>
      <c r="F173" s="4" t="n">
        <v>9.22</v>
      </c>
      <c r="G173" s="4" t="n">
        <v>9.35</v>
      </c>
      <c r="H173" s="4" t="n">
        <v>99</v>
      </c>
      <c r="I173" s="4" t="s">
        <v>217</v>
      </c>
      <c r="J173" s="0" t="n">
        <v>8.8</v>
      </c>
      <c r="K173" s="0" t="n">
        <v>8.92</v>
      </c>
      <c r="L173" s="0" t="n">
        <v>9.22</v>
      </c>
      <c r="M173" s="0" t="n">
        <v>9.35</v>
      </c>
    </row>
    <row r="174" customFormat="false" ht="15" hidden="false" customHeight="true" outlineLevel="0" collapsed="false">
      <c r="A174" s="4" t="s">
        <v>137</v>
      </c>
      <c r="B174" s="4" t="s">
        <v>138</v>
      </c>
      <c r="C174" s="4" t="s">
        <v>101</v>
      </c>
      <c r="D174" s="4" t="n">
        <v>26.2</v>
      </c>
      <c r="E174" s="4" t="n">
        <v>24</v>
      </c>
      <c r="F174" s="4" t="n">
        <v>22.5</v>
      </c>
      <c r="G174" s="4" t="n">
        <v>19.8</v>
      </c>
      <c r="H174" s="4" t="n">
        <v>0</v>
      </c>
      <c r="I174" s="4" t="s">
        <v>218</v>
      </c>
      <c r="J174" s="4" t="n">
        <v>26.2</v>
      </c>
      <c r="K174" s="0" t="n">
        <v>24</v>
      </c>
      <c r="L174" s="0" t="n">
        <v>22.5</v>
      </c>
      <c r="M174" s="0" t="n">
        <v>19.8</v>
      </c>
    </row>
    <row r="175" customFormat="false" ht="15" hidden="false" customHeight="true" outlineLevel="0" collapsed="false">
      <c r="A175" s="4" t="s">
        <v>140</v>
      </c>
      <c r="B175" s="4" t="s">
        <v>138</v>
      </c>
      <c r="C175" s="4" t="s">
        <v>101</v>
      </c>
      <c r="D175" s="4" t="n">
        <v>27.9</v>
      </c>
      <c r="E175" s="4" t="n">
        <v>25.2</v>
      </c>
      <c r="F175" s="4" t="n">
        <v>23.7</v>
      </c>
      <c r="G175" s="4" t="n">
        <v>21</v>
      </c>
      <c r="H175" s="4" t="n">
        <v>0</v>
      </c>
      <c r="I175" s="4" t="s">
        <v>219</v>
      </c>
      <c r="J175" s="0" t="n">
        <v>27.9</v>
      </c>
      <c r="K175" s="0" t="n">
        <v>25.2</v>
      </c>
      <c r="L175" s="0" t="n">
        <v>23.7</v>
      </c>
      <c r="M175" s="0" t="n">
        <v>21</v>
      </c>
    </row>
    <row r="176" customFormat="false" ht="15" hidden="false" customHeight="true" outlineLevel="0" collapsed="false">
      <c r="A176" s="4" t="s">
        <v>142</v>
      </c>
      <c r="B176" s="4" t="s">
        <v>138</v>
      </c>
      <c r="C176" s="4" t="s">
        <v>101</v>
      </c>
      <c r="D176" s="4" t="n">
        <v>29.3</v>
      </c>
      <c r="E176" s="4" t="n">
        <v>26.5</v>
      </c>
      <c r="F176" s="4" t="n">
        <v>25.3</v>
      </c>
      <c r="G176" s="4" t="n">
        <v>22.2</v>
      </c>
      <c r="H176" s="4" t="n">
        <v>0</v>
      </c>
      <c r="I176" s="4" t="s">
        <v>220</v>
      </c>
      <c r="J176" s="0" t="n">
        <v>29.3</v>
      </c>
      <c r="K176" s="0" t="n">
        <v>26.5</v>
      </c>
      <c r="L176" s="0" t="n">
        <v>25.3</v>
      </c>
      <c r="M176" s="0" t="n">
        <v>22.2</v>
      </c>
    </row>
    <row r="177" customFormat="false" ht="15" hidden="false" customHeight="true" outlineLevel="0" collapsed="false">
      <c r="A177" s="4" t="s">
        <v>144</v>
      </c>
      <c r="B177" s="4" t="s">
        <v>138</v>
      </c>
      <c r="C177" s="4" t="s">
        <v>101</v>
      </c>
      <c r="D177" s="4" t="n">
        <v>30.5</v>
      </c>
      <c r="E177" s="4" t="n">
        <v>27.7</v>
      </c>
      <c r="F177" s="4" t="n">
        <v>26.3</v>
      </c>
      <c r="G177" s="4" t="n">
        <v>23.2</v>
      </c>
      <c r="H177" s="4" t="n">
        <v>0</v>
      </c>
      <c r="I177" s="4" t="s">
        <v>221</v>
      </c>
      <c r="J177" s="0" t="n">
        <v>30.5</v>
      </c>
      <c r="K177" s="0" t="n">
        <v>27.7</v>
      </c>
      <c r="L177" s="0" t="n">
        <v>26.3</v>
      </c>
      <c r="M177" s="0" t="n">
        <v>23.2</v>
      </c>
    </row>
    <row r="178" customFormat="false" ht="15" hidden="false" customHeight="true" outlineLevel="0" collapsed="false">
      <c r="A178" s="4" t="s">
        <v>146</v>
      </c>
      <c r="B178" s="4" t="s">
        <v>138</v>
      </c>
      <c r="C178" s="4" t="s">
        <v>101</v>
      </c>
      <c r="D178" s="4" t="n">
        <v>32.2</v>
      </c>
      <c r="E178" s="4" t="n">
        <v>29.4</v>
      </c>
      <c r="F178" s="4" t="n">
        <v>28.4</v>
      </c>
      <c r="G178" s="4" t="n">
        <v>25</v>
      </c>
      <c r="H178" s="4" t="n">
        <v>0</v>
      </c>
      <c r="I178" s="4" t="s">
        <v>222</v>
      </c>
      <c r="J178" s="0" t="n">
        <v>32.2</v>
      </c>
      <c r="K178" s="0" t="n">
        <v>29.4</v>
      </c>
      <c r="L178" s="0" t="n">
        <v>28.4</v>
      </c>
      <c r="M178" s="0" t="n">
        <v>25</v>
      </c>
    </row>
    <row r="179" customFormat="false" ht="15" hidden="false" customHeight="true" outlineLevel="0" collapsed="false">
      <c r="A179" s="4" t="s">
        <v>148</v>
      </c>
      <c r="B179" s="4" t="s">
        <v>138</v>
      </c>
      <c r="C179" s="4" t="s">
        <v>101</v>
      </c>
      <c r="D179" s="4" t="n">
        <v>34.5</v>
      </c>
      <c r="E179" s="4" t="n">
        <v>32.2</v>
      </c>
      <c r="F179" s="4" t="n">
        <v>29.5</v>
      </c>
      <c r="G179" s="4" t="n">
        <v>26.7</v>
      </c>
      <c r="H179" s="4" t="n">
        <v>0</v>
      </c>
      <c r="I179" s="4" t="s">
        <v>223</v>
      </c>
      <c r="J179" s="0" t="n">
        <v>34.5</v>
      </c>
      <c r="K179" s="0" t="n">
        <v>32.2</v>
      </c>
      <c r="L179" s="0" t="n">
        <v>29.5</v>
      </c>
      <c r="M179" s="0" t="n">
        <v>26.7</v>
      </c>
    </row>
    <row r="180" customFormat="false" ht="15" hidden="false" customHeight="true" outlineLevel="0" collapsed="false">
      <c r="A180" s="4" t="s">
        <v>150</v>
      </c>
      <c r="B180" s="4" t="s">
        <v>138</v>
      </c>
      <c r="C180" s="4" t="s">
        <v>101</v>
      </c>
      <c r="D180" s="4" t="n">
        <v>35.4</v>
      </c>
      <c r="E180" s="4" t="n">
        <v>33.2</v>
      </c>
      <c r="F180" s="4" t="n">
        <v>30</v>
      </c>
      <c r="G180" s="4" t="n">
        <v>27.4</v>
      </c>
      <c r="H180" s="4" t="n">
        <v>0</v>
      </c>
      <c r="I180" s="4" t="s">
        <v>224</v>
      </c>
      <c r="J180" s="0" t="n">
        <v>35.4</v>
      </c>
      <c r="K180" s="0" t="n">
        <v>33.2</v>
      </c>
      <c r="L180" s="0" t="n">
        <v>30</v>
      </c>
      <c r="M180" s="0" t="n">
        <v>27.4</v>
      </c>
    </row>
    <row r="181" customFormat="false" ht="15" hidden="false" customHeight="true" outlineLevel="0" collapsed="false">
      <c r="A181" s="4" t="s">
        <v>152</v>
      </c>
      <c r="B181" s="4" t="s">
        <v>138</v>
      </c>
      <c r="C181" s="4" t="s">
        <v>101</v>
      </c>
      <c r="D181" s="4" t="n">
        <v>36</v>
      </c>
      <c r="E181" s="4" t="n">
        <v>34.4</v>
      </c>
      <c r="F181" s="4" t="n">
        <v>30.5</v>
      </c>
      <c r="G181" s="4" t="n">
        <v>27.8</v>
      </c>
      <c r="H181" s="4" t="n">
        <v>0</v>
      </c>
      <c r="I181" s="4" t="s">
        <v>225</v>
      </c>
      <c r="J181" s="0" t="n">
        <v>36</v>
      </c>
      <c r="K181" s="0" t="n">
        <v>34.4</v>
      </c>
      <c r="L181" s="0" t="n">
        <v>30.5</v>
      </c>
      <c r="M181" s="0" t="n">
        <v>27.8</v>
      </c>
    </row>
    <row r="182" customFormat="false" ht="15" hidden="false" customHeight="true" outlineLevel="0" collapsed="false">
      <c r="A182" s="4" t="s">
        <v>154</v>
      </c>
      <c r="B182" s="4" t="s">
        <v>138</v>
      </c>
      <c r="C182" s="4" t="s">
        <v>101</v>
      </c>
      <c r="D182" s="4" t="n">
        <v>37</v>
      </c>
      <c r="E182" s="4" t="n">
        <v>34.4</v>
      </c>
      <c r="F182" s="4" t="n">
        <v>30.5</v>
      </c>
      <c r="G182" s="4" t="n">
        <v>28.7</v>
      </c>
      <c r="H182" s="4" t="n">
        <v>0</v>
      </c>
      <c r="I182" s="4" t="s">
        <v>226</v>
      </c>
      <c r="J182" s="0" t="n">
        <v>37</v>
      </c>
      <c r="K182" s="0" t="n">
        <v>34.4</v>
      </c>
      <c r="L182" s="0" t="n">
        <v>30.5</v>
      </c>
      <c r="M182" s="0" t="n">
        <v>28.7</v>
      </c>
    </row>
    <row r="183" customFormat="false" ht="15" hidden="false" customHeight="true" outlineLevel="0" collapsed="false">
      <c r="A183" s="4" t="s">
        <v>156</v>
      </c>
      <c r="B183" s="4" t="s">
        <v>138</v>
      </c>
      <c r="C183" s="4" t="s">
        <v>101</v>
      </c>
      <c r="D183" s="4" t="n">
        <v>37.8</v>
      </c>
      <c r="E183" s="4" t="n">
        <v>34.8</v>
      </c>
      <c r="F183" s="4" t="n">
        <v>31.5</v>
      </c>
      <c r="G183" s="4" t="n">
        <v>29.2</v>
      </c>
      <c r="H183" s="4" t="n">
        <v>0</v>
      </c>
      <c r="I183" s="4" t="s">
        <v>227</v>
      </c>
      <c r="J183" s="0" t="n">
        <v>37.8</v>
      </c>
      <c r="K183" s="0" t="n">
        <v>34.8</v>
      </c>
      <c r="L183" s="0" t="n">
        <v>31.5</v>
      </c>
      <c r="M183" s="0" t="n">
        <v>29.2</v>
      </c>
    </row>
    <row r="184" customFormat="false" ht="15" hidden="false" customHeight="true" outlineLevel="0" collapsed="false">
      <c r="A184" s="4" t="s">
        <v>137</v>
      </c>
      <c r="B184" s="4" t="s">
        <v>138</v>
      </c>
      <c r="C184" s="4" t="s">
        <v>112</v>
      </c>
      <c r="D184" s="4" t="n">
        <v>3.8</v>
      </c>
      <c r="E184" s="4" t="n">
        <v>3.69</v>
      </c>
      <c r="F184" s="4" t="n">
        <v>3.54</v>
      </c>
      <c r="G184" s="4" t="n">
        <v>3.4</v>
      </c>
      <c r="H184" s="4" t="n">
        <v>0</v>
      </c>
      <c r="I184" s="4" t="s">
        <v>228</v>
      </c>
      <c r="J184" s="4" t="n">
        <v>3.8</v>
      </c>
      <c r="K184" s="0" t="n">
        <v>3.69</v>
      </c>
      <c r="L184" s="0" t="n">
        <v>3.54</v>
      </c>
      <c r="M184" s="0" t="n">
        <v>3.4</v>
      </c>
    </row>
    <row r="185" customFormat="false" ht="15" hidden="false" customHeight="true" outlineLevel="0" collapsed="false">
      <c r="A185" s="4" t="s">
        <v>140</v>
      </c>
      <c r="B185" s="4" t="s">
        <v>138</v>
      </c>
      <c r="C185" s="4" t="s">
        <v>112</v>
      </c>
      <c r="D185" s="4" t="n">
        <v>3.9</v>
      </c>
      <c r="E185" s="4" t="n">
        <v>3.77</v>
      </c>
      <c r="F185" s="4" t="n">
        <v>3.64</v>
      </c>
      <c r="G185" s="4" t="n">
        <v>3.5</v>
      </c>
      <c r="H185" s="4" t="n">
        <v>0</v>
      </c>
      <c r="I185" s="4" t="s">
        <v>229</v>
      </c>
      <c r="J185" s="0" t="n">
        <v>3.9</v>
      </c>
      <c r="K185" s="0" t="n">
        <v>3.77</v>
      </c>
      <c r="L185" s="0" t="n">
        <v>3.64</v>
      </c>
      <c r="M185" s="0" t="n">
        <v>3.5</v>
      </c>
    </row>
    <row r="186" customFormat="false" ht="15" hidden="false" customHeight="true" outlineLevel="0" collapsed="false">
      <c r="A186" s="4" t="s">
        <v>142</v>
      </c>
      <c r="B186" s="4" t="s">
        <v>138</v>
      </c>
      <c r="C186" s="4" t="s">
        <v>112</v>
      </c>
      <c r="D186" s="4" t="n">
        <v>4</v>
      </c>
      <c r="E186" s="4" t="n">
        <v>3.87</v>
      </c>
      <c r="F186" s="4" t="n">
        <v>3.72</v>
      </c>
      <c r="G186" s="4" t="n">
        <v>3.6</v>
      </c>
      <c r="H186" s="4" t="n">
        <v>0</v>
      </c>
      <c r="I186" s="4" t="s">
        <v>230</v>
      </c>
      <c r="J186" s="0" t="n">
        <v>4</v>
      </c>
      <c r="K186" s="0" t="n">
        <v>3.87</v>
      </c>
      <c r="L186" s="0" t="n">
        <v>3.72</v>
      </c>
      <c r="M186" s="0" t="n">
        <v>3.6</v>
      </c>
    </row>
    <row r="187" customFormat="false" ht="15" hidden="false" customHeight="true" outlineLevel="0" collapsed="false">
      <c r="A187" s="4" t="s">
        <v>144</v>
      </c>
      <c r="B187" s="4" t="s">
        <v>138</v>
      </c>
      <c r="C187" s="4" t="s">
        <v>112</v>
      </c>
      <c r="D187" s="4" t="n">
        <v>4.1</v>
      </c>
      <c r="E187" s="4" t="n">
        <v>3.97</v>
      </c>
      <c r="F187" s="4" t="n">
        <v>3.8</v>
      </c>
      <c r="G187" s="4" t="n">
        <v>3.7</v>
      </c>
      <c r="H187" s="4" t="n">
        <v>0</v>
      </c>
      <c r="I187" s="4" t="s">
        <v>231</v>
      </c>
      <c r="J187" s="0" t="n">
        <v>4.1</v>
      </c>
      <c r="K187" s="0" t="n">
        <v>3.97</v>
      </c>
      <c r="L187" s="0" t="n">
        <v>3.8</v>
      </c>
      <c r="M187" s="0" t="n">
        <v>3.7</v>
      </c>
    </row>
    <row r="188" customFormat="false" ht="15" hidden="false" customHeight="true" outlineLevel="0" collapsed="false">
      <c r="A188" s="4" t="s">
        <v>146</v>
      </c>
      <c r="B188" s="4" t="s">
        <v>138</v>
      </c>
      <c r="C188" s="4" t="s">
        <v>112</v>
      </c>
      <c r="D188" s="4" t="n">
        <v>4.2</v>
      </c>
      <c r="E188" s="4" t="n">
        <v>4.06</v>
      </c>
      <c r="F188" s="4" t="n">
        <v>3.9</v>
      </c>
      <c r="G188" s="4" t="n">
        <v>3.8</v>
      </c>
      <c r="H188" s="4" t="n">
        <v>0</v>
      </c>
      <c r="I188" s="4" t="s">
        <v>232</v>
      </c>
      <c r="J188" s="0" t="n">
        <v>4.2</v>
      </c>
      <c r="K188" s="0" t="n">
        <v>4.06</v>
      </c>
      <c r="L188" s="0" t="n">
        <v>3.9</v>
      </c>
      <c r="M188" s="0" t="n">
        <v>3.8</v>
      </c>
    </row>
    <row r="189" customFormat="false" ht="15" hidden="false" customHeight="true" outlineLevel="0" collapsed="false">
      <c r="A189" s="4" t="s">
        <v>148</v>
      </c>
      <c r="B189" s="4" t="s">
        <v>138</v>
      </c>
      <c r="C189" s="4" t="s">
        <v>112</v>
      </c>
      <c r="D189" s="4" t="n">
        <v>4.25</v>
      </c>
      <c r="E189" s="4" t="n">
        <v>4.11</v>
      </c>
      <c r="F189" s="4" t="n">
        <v>3.95</v>
      </c>
      <c r="G189" s="4" t="n">
        <v>3.85</v>
      </c>
      <c r="H189" s="4" t="n">
        <v>0</v>
      </c>
      <c r="I189" s="4" t="s">
        <v>233</v>
      </c>
      <c r="J189" s="0" t="n">
        <v>4.25</v>
      </c>
      <c r="K189" s="0" t="n">
        <v>4.11</v>
      </c>
      <c r="L189" s="0" t="n">
        <v>3.95</v>
      </c>
      <c r="M189" s="0" t="n">
        <v>3.85</v>
      </c>
    </row>
    <row r="190" customFormat="false" ht="15" hidden="false" customHeight="true" outlineLevel="0" collapsed="false">
      <c r="A190" s="4" t="s">
        <v>150</v>
      </c>
      <c r="B190" s="4" t="s">
        <v>138</v>
      </c>
      <c r="C190" s="4" t="s">
        <v>112</v>
      </c>
      <c r="D190" s="4" t="n">
        <v>4.3</v>
      </c>
      <c r="E190" s="4" t="n">
        <v>4.16</v>
      </c>
      <c r="F190" s="4" t="n">
        <v>4.05</v>
      </c>
      <c r="G190" s="4" t="n">
        <v>3.9</v>
      </c>
      <c r="H190" s="4" t="n">
        <v>0</v>
      </c>
      <c r="I190" s="4" t="s">
        <v>234</v>
      </c>
      <c r="J190" s="0" t="n">
        <v>4.3</v>
      </c>
      <c r="K190" s="0" t="n">
        <v>4.16</v>
      </c>
      <c r="L190" s="0" t="n">
        <v>4.05</v>
      </c>
      <c r="M190" s="0" t="n">
        <v>3.9</v>
      </c>
    </row>
    <row r="191" customFormat="false" ht="15" hidden="false" customHeight="true" outlineLevel="0" collapsed="false">
      <c r="A191" s="4" t="s">
        <v>152</v>
      </c>
      <c r="B191" s="4" t="s">
        <v>138</v>
      </c>
      <c r="C191" s="4" t="s">
        <v>112</v>
      </c>
      <c r="D191" s="4" t="n">
        <v>4.35</v>
      </c>
      <c r="E191" s="4" t="n">
        <v>4.21</v>
      </c>
      <c r="F191" s="4" t="n">
        <v>4.1</v>
      </c>
      <c r="G191" s="4" t="n">
        <v>3.95</v>
      </c>
      <c r="H191" s="4" t="n">
        <v>0</v>
      </c>
      <c r="I191" s="4" t="s">
        <v>235</v>
      </c>
      <c r="J191" s="0" t="n">
        <v>4.35</v>
      </c>
      <c r="K191" s="0" t="n">
        <v>4.21</v>
      </c>
      <c r="L191" s="0" t="n">
        <v>4.1</v>
      </c>
      <c r="M191" s="0" t="n">
        <v>3.95</v>
      </c>
    </row>
    <row r="192" customFormat="false" ht="15" hidden="false" customHeight="true" outlineLevel="0" collapsed="false">
      <c r="A192" s="4" t="s">
        <v>154</v>
      </c>
      <c r="B192" s="4" t="s">
        <v>138</v>
      </c>
      <c r="C192" s="4" t="s">
        <v>112</v>
      </c>
      <c r="D192" s="4" t="n">
        <v>4.4</v>
      </c>
      <c r="E192" s="4" t="n">
        <v>4.26</v>
      </c>
      <c r="F192" s="4" t="n">
        <v>4.15</v>
      </c>
      <c r="G192" s="4" t="n">
        <v>4</v>
      </c>
      <c r="H192" s="4" t="n">
        <v>0</v>
      </c>
      <c r="I192" s="4" t="s">
        <v>236</v>
      </c>
      <c r="J192" s="0" t="n">
        <v>4.4</v>
      </c>
      <c r="K192" s="0" t="n">
        <v>4.26</v>
      </c>
      <c r="L192" s="0" t="n">
        <v>4.15</v>
      </c>
      <c r="M192" s="0" t="n">
        <v>4</v>
      </c>
    </row>
    <row r="193" customFormat="false" ht="15" hidden="false" customHeight="true" outlineLevel="0" collapsed="false">
      <c r="A193" s="4" t="s">
        <v>156</v>
      </c>
      <c r="B193" s="4" t="s">
        <v>138</v>
      </c>
      <c r="C193" s="4" t="s">
        <v>112</v>
      </c>
      <c r="D193" s="4" t="n">
        <v>4.45</v>
      </c>
      <c r="E193" s="4" t="n">
        <v>4.31</v>
      </c>
      <c r="F193" s="4" t="n">
        <v>4.2</v>
      </c>
      <c r="G193" s="4" t="n">
        <v>4.05</v>
      </c>
      <c r="H193" s="4" t="n">
        <v>0</v>
      </c>
      <c r="I193" s="4" t="s">
        <v>237</v>
      </c>
      <c r="J193" s="0" t="n">
        <v>4.45</v>
      </c>
      <c r="K193" s="0" t="n">
        <v>4.31</v>
      </c>
      <c r="L193" s="0" t="n">
        <v>4.2</v>
      </c>
      <c r="M193" s="0" t="n">
        <v>4.05</v>
      </c>
    </row>
    <row r="194" customFormat="false" ht="15" hidden="false" customHeight="true" outlineLevel="0" collapsed="false">
      <c r="A194" s="4" t="s">
        <v>137</v>
      </c>
      <c r="B194" s="4" t="s">
        <v>138</v>
      </c>
      <c r="C194" s="4" t="s">
        <v>123</v>
      </c>
      <c r="D194" s="4" t="n">
        <v>28</v>
      </c>
      <c r="E194" s="4" t="n">
        <v>32</v>
      </c>
      <c r="F194" s="4" t="n">
        <v>99</v>
      </c>
      <c r="G194" s="4" t="n">
        <v>99</v>
      </c>
      <c r="H194" s="4" t="n">
        <v>99</v>
      </c>
      <c r="I194" s="4" t="s">
        <v>238</v>
      </c>
      <c r="J194" s="0" t="n">
        <v>28</v>
      </c>
      <c r="K194" s="0" t="n">
        <v>32</v>
      </c>
      <c r="L194" s="0" t="n">
        <v>99</v>
      </c>
      <c r="M194" s="0" t="n">
        <v>99</v>
      </c>
    </row>
    <row r="195" customFormat="false" ht="15" hidden="false" customHeight="true" outlineLevel="0" collapsed="false">
      <c r="A195" s="4" t="s">
        <v>140</v>
      </c>
      <c r="B195" s="4" t="s">
        <v>138</v>
      </c>
      <c r="C195" s="4" t="s">
        <v>123</v>
      </c>
      <c r="D195" s="4" t="n">
        <v>26.3</v>
      </c>
      <c r="E195" s="4" t="n">
        <v>29.8</v>
      </c>
      <c r="F195" s="4" t="n">
        <v>99</v>
      </c>
      <c r="G195" s="4" t="n">
        <v>99</v>
      </c>
      <c r="H195" s="4" t="n">
        <v>99</v>
      </c>
      <c r="I195" s="4" t="s">
        <v>239</v>
      </c>
      <c r="J195" s="0" t="n">
        <v>26.3</v>
      </c>
      <c r="K195" s="0" t="n">
        <v>29.8</v>
      </c>
      <c r="L195" s="0" t="n">
        <v>99</v>
      </c>
      <c r="M195" s="0" t="n">
        <v>99</v>
      </c>
    </row>
    <row r="196" customFormat="false" ht="15" hidden="false" customHeight="true" outlineLevel="0" collapsed="false">
      <c r="A196" s="4" t="s">
        <v>142</v>
      </c>
      <c r="B196" s="4" t="s">
        <v>138</v>
      </c>
      <c r="C196" s="4" t="s">
        <v>123</v>
      </c>
      <c r="D196" s="4" t="n">
        <v>25.1</v>
      </c>
      <c r="E196" s="4" t="n">
        <v>28.2</v>
      </c>
      <c r="F196" s="4" t="n">
        <v>99</v>
      </c>
      <c r="G196" s="4" t="n">
        <v>99</v>
      </c>
      <c r="H196" s="4" t="n">
        <v>99</v>
      </c>
      <c r="I196" s="4" t="s">
        <v>240</v>
      </c>
      <c r="J196" s="0" t="n">
        <v>25.1</v>
      </c>
      <c r="K196" s="0" t="n">
        <v>28.2</v>
      </c>
      <c r="L196" s="0" t="n">
        <v>99</v>
      </c>
      <c r="M196" s="0" t="n">
        <v>99</v>
      </c>
    </row>
    <row r="197" customFormat="false" ht="15" hidden="false" customHeight="true" outlineLevel="0" collapsed="false">
      <c r="A197" s="4" t="s">
        <v>144</v>
      </c>
      <c r="B197" s="4" t="s">
        <v>138</v>
      </c>
      <c r="C197" s="4" t="s">
        <v>123</v>
      </c>
      <c r="D197" s="4" t="n">
        <v>24.9</v>
      </c>
      <c r="E197" s="4" t="n">
        <v>27.5</v>
      </c>
      <c r="F197" s="4" t="n">
        <v>99</v>
      </c>
      <c r="G197" s="4" t="n">
        <v>99</v>
      </c>
      <c r="H197" s="4" t="n">
        <v>99</v>
      </c>
      <c r="I197" s="4" t="s">
        <v>241</v>
      </c>
      <c r="J197" s="0" t="n">
        <v>24.9</v>
      </c>
      <c r="K197" s="0" t="n">
        <v>27.5</v>
      </c>
      <c r="L197" s="0" t="n">
        <v>99</v>
      </c>
      <c r="M197" s="0" t="n">
        <v>99</v>
      </c>
    </row>
    <row r="198" customFormat="false" ht="15" hidden="false" customHeight="true" outlineLevel="0" collapsed="false">
      <c r="A198" s="4" t="s">
        <v>146</v>
      </c>
      <c r="B198" s="4" t="s">
        <v>138</v>
      </c>
      <c r="C198" s="4" t="s">
        <v>123</v>
      </c>
      <c r="D198" s="4" t="n">
        <v>24.2</v>
      </c>
      <c r="E198" s="4" t="n">
        <v>27</v>
      </c>
      <c r="F198" s="4" t="n">
        <v>99</v>
      </c>
      <c r="G198" s="4" t="n">
        <v>99</v>
      </c>
      <c r="H198" s="4" t="n">
        <v>99</v>
      </c>
      <c r="I198" s="4" t="s">
        <v>242</v>
      </c>
      <c r="J198" s="0" t="n">
        <v>24.2</v>
      </c>
      <c r="K198" s="0" t="n">
        <v>27</v>
      </c>
      <c r="L198" s="0" t="n">
        <v>99</v>
      </c>
      <c r="M198" s="0" t="n">
        <v>99</v>
      </c>
    </row>
    <row r="199" customFormat="false" ht="15" hidden="false" customHeight="true" outlineLevel="0" collapsed="false">
      <c r="A199" s="4" t="s">
        <v>148</v>
      </c>
      <c r="B199" s="4" t="s">
        <v>138</v>
      </c>
      <c r="C199" s="4" t="s">
        <v>123</v>
      </c>
      <c r="D199" s="4" t="n">
        <v>23.5</v>
      </c>
      <c r="E199" s="4" t="n">
        <v>26.3</v>
      </c>
      <c r="F199" s="4" t="n">
        <v>99</v>
      </c>
      <c r="G199" s="4" t="n">
        <v>99</v>
      </c>
      <c r="H199" s="4" t="n">
        <v>99</v>
      </c>
      <c r="I199" s="4" t="s">
        <v>243</v>
      </c>
      <c r="J199" s="0" t="n">
        <v>23.5</v>
      </c>
      <c r="K199" s="0" t="n">
        <v>26.3</v>
      </c>
      <c r="L199" s="0" t="n">
        <v>99</v>
      </c>
      <c r="M199" s="0" t="n">
        <v>99</v>
      </c>
    </row>
    <row r="200" customFormat="false" ht="15" hidden="false" customHeight="true" outlineLevel="0" collapsed="false">
      <c r="A200" s="4" t="s">
        <v>137</v>
      </c>
      <c r="B200" s="4" t="s">
        <v>138</v>
      </c>
      <c r="C200" s="4" t="s">
        <v>130</v>
      </c>
      <c r="D200" s="4" t="n">
        <v>43.8</v>
      </c>
      <c r="E200" s="4" t="n">
        <v>51.2</v>
      </c>
      <c r="F200" s="4" t="n">
        <v>99</v>
      </c>
      <c r="G200" s="4" t="n">
        <v>99</v>
      </c>
      <c r="H200" s="4" t="n">
        <v>99</v>
      </c>
      <c r="I200" s="4" t="s">
        <v>244</v>
      </c>
      <c r="J200" s="0" t="n">
        <v>43.8</v>
      </c>
      <c r="K200" s="0" t="n">
        <v>51.2</v>
      </c>
      <c r="L200" s="0" t="n">
        <v>99</v>
      </c>
      <c r="M200" s="0" t="n">
        <v>99</v>
      </c>
    </row>
    <row r="201" customFormat="false" ht="15" hidden="false" customHeight="true" outlineLevel="0" collapsed="false">
      <c r="A201" s="4" t="s">
        <v>140</v>
      </c>
      <c r="B201" s="4" t="s">
        <v>138</v>
      </c>
      <c r="C201" s="4" t="s">
        <v>130</v>
      </c>
      <c r="D201" s="4" t="n">
        <v>40.2</v>
      </c>
      <c r="E201" s="4" t="n">
        <v>46.9</v>
      </c>
      <c r="F201" s="4" t="n">
        <v>99</v>
      </c>
      <c r="G201" s="4" t="n">
        <v>99</v>
      </c>
      <c r="H201" s="4" t="n">
        <v>99</v>
      </c>
      <c r="I201" s="4" t="s">
        <v>245</v>
      </c>
      <c r="J201" s="0" t="n">
        <v>40.2</v>
      </c>
      <c r="K201" s="0" t="n">
        <v>46.9</v>
      </c>
      <c r="L201" s="0" t="n">
        <v>99</v>
      </c>
      <c r="M201" s="0" t="n">
        <v>99</v>
      </c>
    </row>
    <row r="202" customFormat="false" ht="15" hidden="false" customHeight="true" outlineLevel="0" collapsed="false">
      <c r="A202" s="4" t="s">
        <v>142</v>
      </c>
      <c r="B202" s="4" t="s">
        <v>138</v>
      </c>
      <c r="C202" s="4" t="s">
        <v>130</v>
      </c>
      <c r="D202" s="4" t="n">
        <v>37</v>
      </c>
      <c r="E202" s="4" t="n">
        <v>42.7</v>
      </c>
      <c r="F202" s="4" t="n">
        <v>99</v>
      </c>
      <c r="G202" s="4" t="n">
        <v>99</v>
      </c>
      <c r="H202" s="4" t="n">
        <v>99</v>
      </c>
      <c r="I202" s="4" t="s">
        <v>246</v>
      </c>
      <c r="J202" s="0" t="n">
        <v>37</v>
      </c>
      <c r="K202" s="0" t="n">
        <v>42.7</v>
      </c>
      <c r="L202" s="0" t="n">
        <v>99</v>
      </c>
      <c r="M202" s="0" t="n">
        <v>99</v>
      </c>
    </row>
    <row r="203" customFormat="false" ht="15" hidden="false" customHeight="true" outlineLevel="0" collapsed="false">
      <c r="A203" s="4" t="s">
        <v>144</v>
      </c>
      <c r="B203" s="4" t="s">
        <v>138</v>
      </c>
      <c r="C203" s="4" t="s">
        <v>130</v>
      </c>
      <c r="D203" s="4" t="n">
        <v>35.8</v>
      </c>
      <c r="E203" s="4" t="n">
        <v>40.9</v>
      </c>
      <c r="F203" s="4" t="n">
        <v>99</v>
      </c>
      <c r="G203" s="4" t="n">
        <v>99</v>
      </c>
      <c r="H203" s="4" t="n">
        <v>99</v>
      </c>
      <c r="I203" s="4" t="s">
        <v>247</v>
      </c>
      <c r="J203" s="0" t="n">
        <v>35.8</v>
      </c>
      <c r="K203" s="0" t="n">
        <v>40.9</v>
      </c>
      <c r="L203" s="0" t="n">
        <v>99</v>
      </c>
      <c r="M203" s="0" t="n">
        <v>99</v>
      </c>
    </row>
    <row r="204" customFormat="false" ht="15" hidden="false" customHeight="true" outlineLevel="0" collapsed="false">
      <c r="A204" s="4" t="s">
        <v>146</v>
      </c>
      <c r="B204" s="4" t="s">
        <v>138</v>
      </c>
      <c r="C204" s="4" t="s">
        <v>130</v>
      </c>
      <c r="D204" s="4" t="n">
        <v>34</v>
      </c>
      <c r="E204" s="4" t="n">
        <v>39.3</v>
      </c>
      <c r="F204" s="4" t="n">
        <v>99</v>
      </c>
      <c r="G204" s="4" t="n">
        <v>99</v>
      </c>
      <c r="H204" s="4" t="n">
        <v>99</v>
      </c>
      <c r="I204" s="4" t="s">
        <v>248</v>
      </c>
      <c r="J204" s="0" t="n">
        <v>34</v>
      </c>
      <c r="K204" s="0" t="n">
        <v>39.3</v>
      </c>
      <c r="L204" s="0" t="n">
        <v>99</v>
      </c>
      <c r="M204" s="0" t="n">
        <v>99</v>
      </c>
    </row>
    <row r="205" customFormat="false" ht="15" hidden="false" customHeight="true" outlineLevel="0" collapsed="false">
      <c r="A205" s="4" t="s">
        <v>148</v>
      </c>
      <c r="B205" s="4" t="s">
        <v>138</v>
      </c>
      <c r="C205" s="4" t="s">
        <v>130</v>
      </c>
      <c r="D205" s="4" t="n">
        <v>32.8</v>
      </c>
      <c r="E205" s="4" t="n">
        <v>38.5</v>
      </c>
      <c r="F205" s="4" t="n">
        <v>99</v>
      </c>
      <c r="G205" s="4" t="n">
        <v>99</v>
      </c>
      <c r="H205" s="4" t="n">
        <v>99</v>
      </c>
      <c r="I205" s="4" t="s">
        <v>249</v>
      </c>
      <c r="J205" s="0" t="n">
        <v>32.8</v>
      </c>
      <c r="K205" s="0" t="n">
        <v>38.5</v>
      </c>
      <c r="L205" s="0" t="n">
        <v>99</v>
      </c>
      <c r="M205" s="0" t="n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12"/>
    <col collapsed="false" customWidth="true" hidden="false" outlineLevel="0" max="2" min="2" style="4" width="18"/>
    <col collapsed="false" customWidth="true" hidden="false" outlineLevel="0" max="3" min="3" style="4" width="13"/>
    <col collapsed="false" customWidth="true" hidden="false" outlineLevel="0" max="4" min="4" style="4" width="10"/>
    <col collapsed="false" customWidth="true" hidden="false" outlineLevel="0" max="5" min="5" style="4" width="14"/>
    <col collapsed="false" customWidth="true" hidden="false" outlineLevel="0" max="6" min="6" style="4" width="13"/>
    <col collapsed="false" customWidth="true" hidden="false" outlineLevel="0" max="7" min="7" style="4" width="14"/>
    <col collapsed="false" customWidth="true" hidden="false" outlineLevel="0" max="11" min="8" style="4" width="9"/>
    <col collapsed="false" customWidth="true" hidden="false" outlineLevel="0" max="12" min="12" style="4" width="10"/>
    <col collapsed="false" customWidth="true" hidden="false" outlineLevel="0" max="14" min="13" style="4" width="11"/>
    <col collapsed="false" customWidth="true" hidden="false" outlineLevel="0" max="15" min="15" style="4" width="9"/>
    <col collapsed="false" customWidth="true" hidden="false" outlineLevel="0" max="17" min="16" style="4" width="11"/>
    <col collapsed="false" customWidth="true" hidden="false" outlineLevel="0" max="18" min="18" style="4" width="10"/>
    <col collapsed="false" customWidth="true" hidden="false" outlineLevel="0" max="27" min="19" style="4" width="8"/>
    <col collapsed="false" customWidth="true" hidden="false" outlineLevel="0" max="28" min="28" style="4" width="22"/>
    <col collapsed="false" customWidth="true" hidden="false" outlineLevel="0" max="29" min="29" style="4" width="12"/>
    <col collapsed="false" customWidth="true" hidden="false" outlineLevel="0" max="30" min="30" style="4" width="11"/>
  </cols>
  <sheetData>
    <row r="1" customFormat="false" ht="25.5" hidden="false" customHeight="true" outlineLevel="0" collapsed="false">
      <c r="A1" s="5" t="s">
        <v>250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customFormat="false" ht="15.75" hidden="false" customHeight="true" outlineLevel="0" collapsed="false">
      <c r="A2" s="6" t="s">
        <v>251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customFormat="false" ht="15.75" hidden="false" customHeight="true" outlineLevel="0" collapsed="false">
      <c r="A3" s="6" t="s">
        <v>252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customFormat="false" ht="37.5" hidden="false" customHeight="true" outlineLevel="0" collapsed="false">
      <c r="A4" s="7" t="s">
        <v>253</v>
      </c>
      <c r="B4" s="7" t="s">
        <v>254</v>
      </c>
      <c r="C4" s="7" t="s">
        <v>255</v>
      </c>
      <c r="D4" s="7" t="s">
        <v>256</v>
      </c>
      <c r="E4" s="7" t="s">
        <v>257</v>
      </c>
      <c r="F4" s="7" t="s">
        <v>258</v>
      </c>
      <c r="G4" s="7" t="s">
        <v>259</v>
      </c>
      <c r="H4" s="7" t="s">
        <v>260</v>
      </c>
      <c r="I4" s="7" t="s">
        <v>261</v>
      </c>
      <c r="J4" s="7" t="s">
        <v>262</v>
      </c>
      <c r="K4" s="7" t="s">
        <v>263</v>
      </c>
      <c r="L4" s="7" t="s">
        <v>264</v>
      </c>
      <c r="M4" s="7" t="s">
        <v>265</v>
      </c>
      <c r="N4" s="7" t="s">
        <v>266</v>
      </c>
      <c r="O4" s="7" t="s">
        <v>267</v>
      </c>
      <c r="P4" s="7" t="s">
        <v>268</v>
      </c>
      <c r="Q4" s="7" t="s">
        <v>269</v>
      </c>
      <c r="R4" s="7" t="s">
        <v>270</v>
      </c>
      <c r="S4" s="7" t="s">
        <v>271</v>
      </c>
      <c r="T4" s="7" t="s">
        <v>272</v>
      </c>
      <c r="U4" s="7" t="s">
        <v>273</v>
      </c>
      <c r="V4" s="7" t="s">
        <v>274</v>
      </c>
      <c r="W4" s="7" t="s">
        <v>275</v>
      </c>
      <c r="X4" s="7" t="s">
        <v>276</v>
      </c>
      <c r="Y4" s="7" t="s">
        <v>277</v>
      </c>
      <c r="Z4" s="7" t="s">
        <v>278</v>
      </c>
      <c r="AA4" s="7" t="s">
        <v>279</v>
      </c>
      <c r="AB4" s="7" t="s">
        <v>280</v>
      </c>
      <c r="AC4" s="8" t="s">
        <v>281</v>
      </c>
      <c r="AD4" s="9" t="s">
        <v>282</v>
      </c>
    </row>
    <row r="5" customFormat="false" ht="15" hidden="false" customHeight="true" outlineLevel="0" collapsed="false">
      <c r="A5" s="10"/>
      <c r="B5" s="10"/>
      <c r="C5" s="10"/>
      <c r="D5" s="10"/>
      <c r="E5" s="10"/>
      <c r="F5" s="10"/>
      <c r="G5" s="11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 t="str">
        <f aca="true">IF(OR(H5="",D5=""),"",IF(H5&lt;=IFERROR(VLOOKUP(CONCATENATE(D5,YEAR(TODAY())-YEAR(C5),"lin5m"),_viitearvot!$I$2:$M$205,2,FALSE()),99),5,IF(H5&lt;=IFERROR(VLOOKUP(CONCATENATE(D5,YEAR(TODAY())-YEAR(C5),"lin5m"),_viitearvot!$I$2:$M$205,3,FALSE()),99),4,IF(H5&lt;=IFERROR(VLOOKUP(CONCATENATE(D5,YEAR(TODAY())-YEAR(C5),"lin5m"),_viitearvot!$I$2:$M$205,4,FALSE()),99),3,IF(H5&lt;=IFERROR(VLOOKUP(CONCATENATE(D5,YEAR(TODAY())-YEAR(C5),"lin5m"),_viitearvot!$I$2:$M$205,5,FALSE()),99),2,1)))))</f>
        <v/>
      </c>
      <c r="T5" s="13" t="str">
        <f aca="true">IF(OR(I5="",D5=""),"",IF(I5&lt;=IFERROR(VLOOKUP(CONCATENATE(D5,YEAR(TODAY())-YEAR(C5),"lin10m"),_viitearvot!$I$2:$M$205,2,FALSE()),99),5,IF(I5&lt;=IFERROR(VLOOKUP(CONCATENATE(D5,YEAR(TODAY())-YEAR(C5),"lin10m"),_viitearvot!$I$2:$M$205,3,FALSE()),99),4,IF(I5&lt;=IFERROR(VLOOKUP(CONCATENATE(D5,YEAR(TODAY())-YEAR(C5),"lin10m"),_viitearvot!$I$2:$M$205,4,FALSE()),99),3,IF(I5&lt;=IFERROR(VLOOKUP(CONCATENATE(D5,YEAR(TODAY())-YEAR(C5),"lin10m"),_viitearvot!$I$2:$M$205,5,FALSE()),99),2,1)))))</f>
        <v/>
      </c>
      <c r="U5" s="13" t="str">
        <f aca="true">IF(OR(J5="",D5=""),"",IF(J5&lt;=IFERROR(VLOOKUP(CONCATENATE(D5,YEAR(TODAY())-YEAR(C5),"lin20m"),_viitearvot!$I$2:$M$205,2,FALSE()),99),5,IF(J5&lt;=IFERROR(VLOOKUP(CONCATENATE(D5,YEAR(TODAY())-YEAR(C5),"lin20m"),_viitearvot!$I$2:$M$205,3,FALSE()),99),4,IF(J5&lt;=IFERROR(VLOOKUP(CONCATENATE(D5,YEAR(TODAY())-YEAR(C5),"lin20m"),_viitearvot!$I$2:$M$205,4,FALSE()),99),3,IF(J5&lt;=IFERROR(VLOOKUP(CONCATENATE(D5,YEAR(TODAY())-YEAR(C5),"lin20m"),_viitearvot!$I$2:$M$205,5,FALSE()),99),2,1)))))</f>
        <v/>
      </c>
      <c r="V5" s="13" t="str">
        <f aca="true">IF(OR(K5="",D5=""),"",IF(K5&lt;=IFERROR(VLOOKUP(CONCATENATE(D5,YEAR(TODAY())-YEAR(C5),"lin30m"),_viitearvot!$I$2:$M$205,2,FALSE()),99),5,IF(K5&lt;=IFERROR(VLOOKUP(CONCATENATE(D5,YEAR(TODAY())-YEAR(C5),"lin30m"),_viitearvot!$I$2:$M$205,3,FALSE()),99),4,IF(K5&lt;=IFERROR(VLOOKUP(CONCATENATE(D5,YEAR(TODAY())-YEAR(C5),"lin30m"),_viitearvot!$I$2:$M$205,4,FALSE()),99),3,IF(K5&lt;=IFERROR(VLOOKUP(CONCATENATE(D5,YEAR(TODAY())-YEAR(C5),"lin30m"),_viitearvot!$I$2:$M$205,5,FALSE()),99),2,1)))))</f>
        <v/>
      </c>
      <c r="W5" s="13" t="str">
        <f aca="true">IF(OR(L5="",D5=""),"",IF(L5&lt;=IFERROR(VLOOKUP(CONCATENATE(D5,YEAR(TODAY())-YEAR(C5),"kasirata"),_viitearvot!$I$2:$M$205,2,FALSE()),99),5,IF(L5&lt;=IFERROR(VLOOKUP(CONCATENATE(D5,YEAR(TODAY())-YEAR(C5),"kasirata"),_viitearvot!$I$2:$M$205,3,FALSE()),99),4,IF(L5&lt;=IFERROR(VLOOKUP(CONCATENATE(D5,YEAR(TODAY())-YEAR(C5),"kasirata"),_viitearvot!$I$2:$M$205,4,FALSE()),99),3,IF(L5&lt;=IFERROR(VLOOKUP(CONCATENATE(D5,YEAR(TODAY())-YEAR(C5),"kasirata"),_viitearvot!$I$2:$M$205,5,FALSE()),99),2,1)))))</f>
        <v/>
      </c>
      <c r="X5" s="13" t="str">
        <f aca="true">IF(OR(M5="",D5=""),"",IF(M5&lt;=IFERROR(VLOOKUP(CONCATENATE(D5,YEAR(TODAY())-YEAR(C5),"smjuoksu"),_viitearvot!$I$2:$M$205,2,FALSE()),99),5,IF(M5&lt;=IFERROR(VLOOKUP(CONCATENATE(D5,YEAR(TODAY())-YEAR(C5),"smjuoksu"),_viitearvot!$I$2:$M$205,3,FALSE()),99),4,IF(M5&lt;=IFERROR(VLOOKUP(CONCATENATE(D5,YEAR(TODAY())-YEAR(C5),"smjuoksu"),_viitearvot!$I$2:$M$205,4,FALSE()),99),3,IF(M5&lt;=IFERROR(VLOOKUP(CONCATENATE(D5,YEAR(TODAY())-YEAR(C5),"smjuoksu"),_viitearvot!$I$2:$M$205,5,FALSE()),99),2,1)))))</f>
        <v/>
      </c>
      <c r="Y5" s="13" t="str">
        <f aca="true">IF(OR(N5="",D5=""),"",IF(N5&lt;=IFERROR(VLOOKUP(CONCATENATE(D5,YEAR(TODAY())-YEAR(C5),"smpallo"),_viitearvot!$I$2:$M$205,2,FALSE()),99),5,IF(N5&lt;=IFERROR(VLOOKUP(CONCATENATE(D5,YEAR(TODAY())-YEAR(C5),"smpallo"),_viitearvot!$I$2:$M$205,3,FALSE()),99),4,IF(N5&lt;=IFERROR(VLOOKUP(CONCATENATE(D5,YEAR(TODAY())-YEAR(C5),"smpallo"),_viitearvot!$I$2:$M$205,4,FALSE()),99),3,IF(N5&lt;=IFERROR(VLOOKUP(CONCATENATE(D5,YEAR(TODAY())-YEAR(C5),"smpallo"),_viitearvot!$I$2:$M$205,5,FALSE()),99),2,1)))))</f>
        <v/>
      </c>
      <c r="Z5" s="13" t="str">
        <f aca="true">IF(OR(O5="",D5=""),"",IF(O5&gt;=IFERROR(VLOOKUP(CONCATENATE(D5,YEAR(TODAY())-YEAR(C5),"cmj"),_viitearvot!$I$2:$M$205,2,FALSE()),0),5,IF(O5&gt;=IFERROR(VLOOKUP(CONCATENATE(D5,YEAR(TODAY())-YEAR(C5),"cmj"),_viitearvot!$I$2:$M$205,3,FALSE()),0),4,IF(O5&gt;=IFERROR(VLOOKUP(CONCATENATE(D5,YEAR(TODAY())-YEAR(C5),"cmj"),_viitearvot!$I$2:$M$205,4,FALSE()),0),3,IF(O5&gt;=IFERROR(VLOOKUP(CONCATENATE(D5,YEAR(TODAY())-YEAR(C5),"cmj"),_viitearvot!$I$2:$M$205,5,FALSE()),0),2,1)))))</f>
        <v/>
      </c>
      <c r="AA5" s="13" t="str">
        <f aca="true">IF(OR(P5="",D5=""),"",IF(P5&gt;=IFERROR(VLOOKUP(CONCATENATE(D5,YEAR(TODAY())-YEAR(C5),"bronco"),_viitearvot!$I$2:$M$205,2,FALSE()),0),5,IF(P5&gt;=IFERROR(VLOOKUP(CONCATENATE(D5,YEAR(TODAY())-YEAR(C5),"bronco"),_viitearvot!$I$2:$M$205,3,FALSE()),0),4,IF(P5&gt;=IFERROR(VLOOKUP(CONCATENATE(D5,YEAR(TODAY())-YEAR(C5),"bronco"),_viitearvot!$I$2:$M$205,4,FALSE()),0),3,IF(P5&gt;=IFERROR(VLOOKUP(CONCATENATE(D5,YEAR(TODAY())-YEAR(C5),"bronco"),_viitearvot!$I$2:$M$205,5,FALSE()),0),2,1)))))</f>
        <v/>
      </c>
      <c r="AB5" s="11"/>
      <c r="AC5" s="14"/>
      <c r="AD5" s="15" t="str">
        <f aca="false">IF(OR(AC5="",H5=""),"",(IF(D5="P",IF(H5&lt;=IFERROR(VLOOKUP(CONCATENATE("P",ROUND(AC5,0),"lin5m"),_viitearvot!$A:$H,4,FALSE()),99),5,IF(H5&lt;=IFERROR(VLOOKUP(CONCATENATE("P",ROUND(AC5,0),"lin5m"),_viitearvot!$A:$H,5,FALSE()),99),4,IF(H5&lt;=IFERROR(VLOOKUP(CONCATENATE("P",ROUND(AC5,0),"lin5m"),_viitearvot!$A:$H,6,FALSE()),99),3,IF(H5&lt;=IFERROR(VLOOKUP(CONCATENATE("P",ROUND(AC5,0),"lin5m"),_viitearvot!$A:$H,7,FALSE()),99),2,1)))),IF(H5&lt;=IFERROR(VLOOKUP(CONCATENATE("T",ROUND(AC5,0),"lin5m"),_viitearvot!$A:$H,4,FALSE()),99),5,IF(H5&lt;=IFERROR(VLOOKUP(CONCATENATE("T",ROUND(AC5,0),"lin5m"),_viitearvot!$A:$H,5,FALSE()),99),4,IF(H5&lt;=IFERROR(VLOOKUP(CONCATENATE("T",ROUND(AC5,0),"lin5m"),_viitearvot!$A:$H,6,FALSE()),99),3,IF(H5&lt;=IFERROR(VLOOKUP(CONCATENATE("T",ROUND(AC5,0),"lin5m"),_viitearvot!$A:$H,7,FALSE()),99),2,1)))))-S5))</f>
        <v/>
      </c>
    </row>
    <row r="6" customFormat="false" ht="15" hidden="false" customHeight="true" outlineLevel="0" collapsed="false">
      <c r="A6" s="10"/>
      <c r="B6" s="10"/>
      <c r="C6" s="10"/>
      <c r="D6" s="10"/>
      <c r="E6" s="10"/>
      <c r="F6" s="10"/>
      <c r="G6" s="11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6" t="str">
        <f aca="true">IF(OR(H6="",D6=""),"",IF(H6&lt;=IFERROR(VLOOKUP(CONCATENATE(D6,YEAR(TODAY())-YEAR(C6),"lin5m"),_viitearvot!$I$2:$M$205,2,FALSE()),99),5,IF(H6&lt;=IFERROR(VLOOKUP(CONCATENATE(D6,YEAR(TODAY())-YEAR(C6),"lin5m"),_viitearvot!$I$2:$M$205,3,FALSE()),99),4,IF(H6&lt;=IFERROR(VLOOKUP(CONCATENATE(D6,YEAR(TODAY())-YEAR(C6),"lin5m"),_viitearvot!$I$2:$M$205,4,FALSE()),99),3,IF(H6&lt;=IFERROR(VLOOKUP(CONCATENATE(D6,YEAR(TODAY())-YEAR(C6),"lin5m"),_viitearvot!$I$2:$M$205,5,FALSE()),99),2,1)))))</f>
        <v/>
      </c>
      <c r="T6" s="16" t="str">
        <f aca="true">IF(OR(I6="",D6=""),"",IF(I6&lt;=IFERROR(VLOOKUP(CONCATENATE(D6,YEAR(TODAY())-YEAR(C6),"lin10m"),_viitearvot!$I$2:$M$205,2,FALSE()),99),5,IF(I6&lt;=IFERROR(VLOOKUP(CONCATENATE(D6,YEAR(TODAY())-YEAR(C6),"lin10m"),_viitearvot!$I$2:$M$205,3,FALSE()),99),4,IF(I6&lt;=IFERROR(VLOOKUP(CONCATENATE(D6,YEAR(TODAY())-YEAR(C6),"lin10m"),_viitearvot!$I$2:$M$205,4,FALSE()),99),3,IF(I6&lt;=IFERROR(VLOOKUP(CONCATENATE(D6,YEAR(TODAY())-YEAR(C6),"lin10m"),_viitearvot!$I$2:$M$205,5,FALSE()),99),2,1)))))</f>
        <v/>
      </c>
      <c r="U6" s="16" t="str">
        <f aca="true">IF(OR(J6="",D6=""),"",IF(J6&lt;=IFERROR(VLOOKUP(CONCATENATE(D6,YEAR(TODAY())-YEAR(C6),"lin20m"),_viitearvot!$I$2:$M$205,2,FALSE()),99),5,IF(J6&lt;=IFERROR(VLOOKUP(CONCATENATE(D6,YEAR(TODAY())-YEAR(C6),"lin20m"),_viitearvot!$I$2:$M$205,3,FALSE()),99),4,IF(J6&lt;=IFERROR(VLOOKUP(CONCATENATE(D6,YEAR(TODAY())-YEAR(C6),"lin20m"),_viitearvot!$I$2:$M$205,4,FALSE()),99),3,IF(J6&lt;=IFERROR(VLOOKUP(CONCATENATE(D6,YEAR(TODAY())-YEAR(C6),"lin20m"),_viitearvot!$I$2:$M$205,5,FALSE()),99),2,1)))))</f>
        <v/>
      </c>
      <c r="V6" s="16" t="str">
        <f aca="true">IF(OR(K6="",D6=""),"",IF(K6&lt;=IFERROR(VLOOKUP(CONCATENATE(D6,YEAR(TODAY())-YEAR(C6),"lin30m"),_viitearvot!$I$2:$M$205,2,FALSE()),99),5,IF(K6&lt;=IFERROR(VLOOKUP(CONCATENATE(D6,YEAR(TODAY())-YEAR(C6),"lin30m"),_viitearvot!$I$2:$M$205,3,FALSE()),99),4,IF(K6&lt;=IFERROR(VLOOKUP(CONCATENATE(D6,YEAR(TODAY())-YEAR(C6),"lin30m"),_viitearvot!$I$2:$M$205,4,FALSE()),99),3,IF(K6&lt;=IFERROR(VLOOKUP(CONCATENATE(D6,YEAR(TODAY())-YEAR(C6),"lin30m"),_viitearvot!$I$2:$M$205,5,FALSE()),99),2,1)))))</f>
        <v/>
      </c>
      <c r="W6" s="16" t="str">
        <f aca="true">IF(OR(L6="",D6=""),"",IF(L6&lt;=IFERROR(VLOOKUP(CONCATENATE(D6,YEAR(TODAY())-YEAR(C6),"kasirata"),_viitearvot!$I$2:$M$205,2,FALSE()),99),5,IF(L6&lt;=IFERROR(VLOOKUP(CONCATENATE(D6,YEAR(TODAY())-YEAR(C6),"kasirata"),_viitearvot!$I$2:$M$205,3,FALSE()),99),4,IF(L6&lt;=IFERROR(VLOOKUP(CONCATENATE(D6,YEAR(TODAY())-YEAR(C6),"kasirata"),_viitearvot!$I$2:$M$205,4,FALSE()),99),3,IF(L6&lt;=IFERROR(VLOOKUP(CONCATENATE(D6,YEAR(TODAY())-YEAR(C6),"kasirata"),_viitearvot!$I$2:$M$205,5,FALSE()),99),2,1)))))</f>
        <v/>
      </c>
      <c r="X6" s="16" t="str">
        <f aca="true">IF(OR(M6="",D6=""),"",IF(M6&lt;=IFERROR(VLOOKUP(CONCATENATE(D6,YEAR(TODAY())-YEAR(C6),"smjuoksu"),_viitearvot!$I$2:$M$205,2,FALSE()),99),5,IF(M6&lt;=IFERROR(VLOOKUP(CONCATENATE(D6,YEAR(TODAY())-YEAR(C6),"smjuoksu"),_viitearvot!$I$2:$M$205,3,FALSE()),99),4,IF(M6&lt;=IFERROR(VLOOKUP(CONCATENATE(D6,YEAR(TODAY())-YEAR(C6),"smjuoksu"),_viitearvot!$I$2:$M$205,4,FALSE()),99),3,IF(M6&lt;=IFERROR(VLOOKUP(CONCATENATE(D6,YEAR(TODAY())-YEAR(C6),"smjuoksu"),_viitearvot!$I$2:$M$205,5,FALSE()),99),2,1)))))</f>
        <v/>
      </c>
      <c r="Y6" s="16" t="str">
        <f aca="true">IF(OR(N6="",D6=""),"",IF(N6&lt;=IFERROR(VLOOKUP(CONCATENATE(D6,YEAR(TODAY())-YEAR(C6),"smpallo"),_viitearvot!$I$2:$M$205,2,FALSE()),99),5,IF(N6&lt;=IFERROR(VLOOKUP(CONCATENATE(D6,YEAR(TODAY())-YEAR(C6),"smpallo"),_viitearvot!$I$2:$M$205,3,FALSE()),99),4,IF(N6&lt;=IFERROR(VLOOKUP(CONCATENATE(D6,YEAR(TODAY())-YEAR(C6),"smpallo"),_viitearvot!$I$2:$M$205,4,FALSE()),99),3,IF(N6&lt;=IFERROR(VLOOKUP(CONCATENATE(D6,YEAR(TODAY())-YEAR(C6),"smpallo"),_viitearvot!$I$2:$M$205,5,FALSE()),99),2,1)))))</f>
        <v/>
      </c>
      <c r="Z6" s="16" t="str">
        <f aca="true">IF(OR(O6="",D6=""),"",IF(O6&gt;=IFERROR(VLOOKUP(CONCATENATE(D6,YEAR(TODAY())-YEAR(C6),"cmj"),_viitearvot!$I$2:$M$205,2,FALSE()),0),5,IF(O6&gt;=IFERROR(VLOOKUP(CONCATENATE(D6,YEAR(TODAY())-YEAR(C6),"cmj"),_viitearvot!$I$2:$M$205,3,FALSE()),0),4,IF(O6&gt;=IFERROR(VLOOKUP(CONCATENATE(D6,YEAR(TODAY())-YEAR(C6),"cmj"),_viitearvot!$I$2:$M$205,4,FALSE()),0),3,IF(O6&gt;=IFERROR(VLOOKUP(CONCATENATE(D6,YEAR(TODAY())-YEAR(C6),"cmj"),_viitearvot!$I$2:$M$205,5,FALSE()),0),2,1)))))</f>
        <v/>
      </c>
      <c r="AA6" s="16" t="str">
        <f aca="true">IF(OR(P6="",D6=""),"",IF(P6&gt;=IFERROR(VLOOKUP(CONCATENATE(D6,YEAR(TODAY())-YEAR(C6),"bronco"),_viitearvot!$I$2:$M$205,2,FALSE()),0),5,IF(P6&gt;=IFERROR(VLOOKUP(CONCATENATE(D6,YEAR(TODAY())-YEAR(C6),"bronco"),_viitearvot!$I$2:$M$205,3,FALSE()),0),4,IF(P6&gt;=IFERROR(VLOOKUP(CONCATENATE(D6,YEAR(TODAY())-YEAR(C6),"bronco"),_viitearvot!$I$2:$M$205,4,FALSE()),0),3,IF(P6&gt;=IFERROR(VLOOKUP(CONCATENATE(D6,YEAR(TODAY())-YEAR(C6),"bronco"),_viitearvot!$I$2:$M$205,5,FALSE()),0),2,1)))))</f>
        <v/>
      </c>
      <c r="AB6" s="11"/>
      <c r="AC6" s="17"/>
      <c r="AD6" s="18" t="str">
        <f aca="false">IF(OR(AC6="",H6=""),"",(IF(D6="P",IF(H6&lt;=IFERROR(VLOOKUP(CONCATENATE("P",ROUND(AC6,0),"lin5m"),_viitearvot!$A:$H,4,FALSE()),99),5,IF(H6&lt;=IFERROR(VLOOKUP(CONCATENATE("P",ROUND(AC6,0),"lin5m"),_viitearvot!$A:$H,5,FALSE()),99),4,IF(H6&lt;=IFERROR(VLOOKUP(CONCATENATE("P",ROUND(AC6,0),"lin5m"),_viitearvot!$A:$H,6,FALSE()),99),3,IF(H6&lt;=IFERROR(VLOOKUP(CONCATENATE("P",ROUND(AC6,0),"lin5m"),_viitearvot!$A:$H,7,FALSE()),99),2,1)))),IF(H6&lt;=IFERROR(VLOOKUP(CONCATENATE("T",ROUND(AC6,0),"lin5m"),_viitearvot!$A:$H,4,FALSE()),99),5,IF(H6&lt;=IFERROR(VLOOKUP(CONCATENATE("T",ROUND(AC6,0),"lin5m"),_viitearvot!$A:$H,5,FALSE()),99),4,IF(H6&lt;=IFERROR(VLOOKUP(CONCATENATE("T",ROUND(AC6,0),"lin5m"),_viitearvot!$A:$H,6,FALSE()),99),3,IF(H6&lt;=IFERROR(VLOOKUP(CONCATENATE("T",ROUND(AC6,0),"lin5m"),_viitearvot!$A:$H,7,FALSE()),99),2,1)))))-S6))</f>
        <v/>
      </c>
    </row>
    <row r="7" customFormat="false" ht="15" hidden="false" customHeight="true" outlineLevel="0" collapsed="false">
      <c r="A7" s="10"/>
      <c r="B7" s="10"/>
      <c r="C7" s="10"/>
      <c r="D7" s="10"/>
      <c r="E7" s="10"/>
      <c r="F7" s="10"/>
      <c r="G7" s="11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 t="str">
        <f aca="true">IF(OR(H7="",D7=""),"",IF(H7&lt;=IFERROR(VLOOKUP(CONCATENATE(D7,YEAR(TODAY())-YEAR(C7),"lin5m"),_viitearvot!$I$2:$M$205,2,FALSE()),99),5,IF(H7&lt;=IFERROR(VLOOKUP(CONCATENATE(D7,YEAR(TODAY())-YEAR(C7),"lin5m"),_viitearvot!$I$2:$M$205,3,FALSE()),99),4,IF(H7&lt;=IFERROR(VLOOKUP(CONCATENATE(D7,YEAR(TODAY())-YEAR(C7),"lin5m"),_viitearvot!$I$2:$M$205,4,FALSE()),99),3,IF(H7&lt;=IFERROR(VLOOKUP(CONCATENATE(D7,YEAR(TODAY())-YEAR(C7),"lin5m"),_viitearvot!$I$2:$M$205,5,FALSE()),99),2,1)))))</f>
        <v/>
      </c>
      <c r="T7" s="13" t="str">
        <f aca="true">IF(OR(I7="",D7=""),"",IF(I7&lt;=IFERROR(VLOOKUP(CONCATENATE(D7,YEAR(TODAY())-YEAR(C7),"lin10m"),_viitearvot!$I$2:$M$205,2,FALSE()),99),5,IF(I7&lt;=IFERROR(VLOOKUP(CONCATENATE(D7,YEAR(TODAY())-YEAR(C7),"lin10m"),_viitearvot!$I$2:$M$205,3,FALSE()),99),4,IF(I7&lt;=IFERROR(VLOOKUP(CONCATENATE(D7,YEAR(TODAY())-YEAR(C7),"lin10m"),_viitearvot!$I$2:$M$205,4,FALSE()),99),3,IF(I7&lt;=IFERROR(VLOOKUP(CONCATENATE(D7,YEAR(TODAY())-YEAR(C7),"lin10m"),_viitearvot!$I$2:$M$205,5,FALSE()),99),2,1)))))</f>
        <v/>
      </c>
      <c r="U7" s="13" t="str">
        <f aca="true">IF(OR(J7="",D7=""),"",IF(J7&lt;=IFERROR(VLOOKUP(CONCATENATE(D7,YEAR(TODAY())-YEAR(C7),"lin20m"),_viitearvot!$I$2:$M$205,2,FALSE()),99),5,IF(J7&lt;=IFERROR(VLOOKUP(CONCATENATE(D7,YEAR(TODAY())-YEAR(C7),"lin20m"),_viitearvot!$I$2:$M$205,3,FALSE()),99),4,IF(J7&lt;=IFERROR(VLOOKUP(CONCATENATE(D7,YEAR(TODAY())-YEAR(C7),"lin20m"),_viitearvot!$I$2:$M$205,4,FALSE()),99),3,IF(J7&lt;=IFERROR(VLOOKUP(CONCATENATE(D7,YEAR(TODAY())-YEAR(C7),"lin20m"),_viitearvot!$I$2:$M$205,5,FALSE()),99),2,1)))))</f>
        <v/>
      </c>
      <c r="V7" s="13" t="str">
        <f aca="true">IF(OR(K7="",D7=""),"",IF(K7&lt;=IFERROR(VLOOKUP(CONCATENATE(D7,YEAR(TODAY())-YEAR(C7),"lin30m"),_viitearvot!$I$2:$M$205,2,FALSE()),99),5,IF(K7&lt;=IFERROR(VLOOKUP(CONCATENATE(D7,YEAR(TODAY())-YEAR(C7),"lin30m"),_viitearvot!$I$2:$M$205,3,FALSE()),99),4,IF(K7&lt;=IFERROR(VLOOKUP(CONCATENATE(D7,YEAR(TODAY())-YEAR(C7),"lin30m"),_viitearvot!$I$2:$M$205,4,FALSE()),99),3,IF(K7&lt;=IFERROR(VLOOKUP(CONCATENATE(D7,YEAR(TODAY())-YEAR(C7),"lin30m"),_viitearvot!$I$2:$M$205,5,FALSE()),99),2,1)))))</f>
        <v/>
      </c>
      <c r="W7" s="13" t="str">
        <f aca="true">IF(OR(L7="",D7=""),"",IF(L7&lt;=IFERROR(VLOOKUP(CONCATENATE(D7,YEAR(TODAY())-YEAR(C7),"kasirata"),_viitearvot!$I$2:$M$205,2,FALSE()),99),5,IF(L7&lt;=IFERROR(VLOOKUP(CONCATENATE(D7,YEAR(TODAY())-YEAR(C7),"kasirata"),_viitearvot!$I$2:$M$205,3,FALSE()),99),4,IF(L7&lt;=IFERROR(VLOOKUP(CONCATENATE(D7,YEAR(TODAY())-YEAR(C7),"kasirata"),_viitearvot!$I$2:$M$205,4,FALSE()),99),3,IF(L7&lt;=IFERROR(VLOOKUP(CONCATENATE(D7,YEAR(TODAY())-YEAR(C7),"kasirata"),_viitearvot!$I$2:$M$205,5,FALSE()),99),2,1)))))</f>
        <v/>
      </c>
      <c r="X7" s="13" t="str">
        <f aca="true">IF(OR(M7="",D7=""),"",IF(M7&lt;=IFERROR(VLOOKUP(CONCATENATE(D7,YEAR(TODAY())-YEAR(C7),"smjuoksu"),_viitearvot!$I$2:$M$205,2,FALSE()),99),5,IF(M7&lt;=IFERROR(VLOOKUP(CONCATENATE(D7,YEAR(TODAY())-YEAR(C7),"smjuoksu"),_viitearvot!$I$2:$M$205,3,FALSE()),99),4,IF(M7&lt;=IFERROR(VLOOKUP(CONCATENATE(D7,YEAR(TODAY())-YEAR(C7),"smjuoksu"),_viitearvot!$I$2:$M$205,4,FALSE()),99),3,IF(M7&lt;=IFERROR(VLOOKUP(CONCATENATE(D7,YEAR(TODAY())-YEAR(C7),"smjuoksu"),_viitearvot!$I$2:$M$205,5,FALSE()),99),2,1)))))</f>
        <v/>
      </c>
      <c r="Y7" s="13" t="str">
        <f aca="true">IF(OR(N7="",D7=""),"",IF(N7&lt;=IFERROR(VLOOKUP(CONCATENATE(D7,YEAR(TODAY())-YEAR(C7),"smpallo"),_viitearvot!$I$2:$M$205,2,FALSE()),99),5,IF(N7&lt;=IFERROR(VLOOKUP(CONCATENATE(D7,YEAR(TODAY())-YEAR(C7),"smpallo"),_viitearvot!$I$2:$M$205,3,FALSE()),99),4,IF(N7&lt;=IFERROR(VLOOKUP(CONCATENATE(D7,YEAR(TODAY())-YEAR(C7),"smpallo"),_viitearvot!$I$2:$M$205,4,FALSE()),99),3,IF(N7&lt;=IFERROR(VLOOKUP(CONCATENATE(D7,YEAR(TODAY())-YEAR(C7),"smpallo"),_viitearvot!$I$2:$M$205,5,FALSE()),99),2,1)))))</f>
        <v/>
      </c>
      <c r="Z7" s="13" t="str">
        <f aca="true">IF(OR(O7="",D7=""),"",IF(O7&gt;=IFERROR(VLOOKUP(CONCATENATE(D7,YEAR(TODAY())-YEAR(C7),"cmj"),_viitearvot!$I$2:$M$205,2,FALSE()),0),5,IF(O7&gt;=IFERROR(VLOOKUP(CONCATENATE(D7,YEAR(TODAY())-YEAR(C7),"cmj"),_viitearvot!$I$2:$M$205,3,FALSE()),0),4,IF(O7&gt;=IFERROR(VLOOKUP(CONCATENATE(D7,YEAR(TODAY())-YEAR(C7),"cmj"),_viitearvot!$I$2:$M$205,4,FALSE()),0),3,IF(O7&gt;=IFERROR(VLOOKUP(CONCATENATE(D7,YEAR(TODAY())-YEAR(C7),"cmj"),_viitearvot!$I$2:$M$205,5,FALSE()),0),2,1)))))</f>
        <v/>
      </c>
      <c r="AA7" s="13" t="str">
        <f aca="true">IF(OR(P7="",D7=""),"",IF(P7&gt;=IFERROR(VLOOKUP(CONCATENATE(D7,YEAR(TODAY())-YEAR(C7),"bronco"),_viitearvot!$I$2:$M$205,2,FALSE()),0),5,IF(P7&gt;=IFERROR(VLOOKUP(CONCATENATE(D7,YEAR(TODAY())-YEAR(C7),"bronco"),_viitearvot!$I$2:$M$205,3,FALSE()),0),4,IF(P7&gt;=IFERROR(VLOOKUP(CONCATENATE(D7,YEAR(TODAY())-YEAR(C7),"bronco"),_viitearvot!$I$2:$M$205,4,FALSE()),0),3,IF(P7&gt;=IFERROR(VLOOKUP(CONCATENATE(D7,YEAR(TODAY())-YEAR(C7),"bronco"),_viitearvot!$I$2:$M$205,5,FALSE()),0),2,1)))))</f>
        <v/>
      </c>
      <c r="AB7" s="11"/>
      <c r="AC7" s="14"/>
      <c r="AD7" s="15" t="str">
        <f aca="false">IF(OR(AC7="",H7=""),"",(IF(D7="P",IF(H7&lt;=IFERROR(VLOOKUP(CONCATENATE("P",ROUND(AC7,0),"lin5m"),_viitearvot!$A:$H,4,FALSE()),99),5,IF(H7&lt;=IFERROR(VLOOKUP(CONCATENATE("P",ROUND(AC7,0),"lin5m"),_viitearvot!$A:$H,5,FALSE()),99),4,IF(H7&lt;=IFERROR(VLOOKUP(CONCATENATE("P",ROUND(AC7,0),"lin5m"),_viitearvot!$A:$H,6,FALSE()),99),3,IF(H7&lt;=IFERROR(VLOOKUP(CONCATENATE("P",ROUND(AC7,0),"lin5m"),_viitearvot!$A:$H,7,FALSE()),99),2,1)))),IF(H7&lt;=IFERROR(VLOOKUP(CONCATENATE("T",ROUND(AC7,0),"lin5m"),_viitearvot!$A:$H,4,FALSE()),99),5,IF(H7&lt;=IFERROR(VLOOKUP(CONCATENATE("T",ROUND(AC7,0),"lin5m"),_viitearvot!$A:$H,5,FALSE()),99),4,IF(H7&lt;=IFERROR(VLOOKUP(CONCATENATE("T",ROUND(AC7,0),"lin5m"),_viitearvot!$A:$H,6,FALSE()),99),3,IF(H7&lt;=IFERROR(VLOOKUP(CONCATENATE("T",ROUND(AC7,0),"lin5m"),_viitearvot!$A:$H,7,FALSE()),99),2,1)))))-S7))</f>
        <v/>
      </c>
    </row>
    <row r="8" customFormat="false" ht="15" hidden="false" customHeight="true" outlineLevel="0" collapsed="false">
      <c r="A8" s="10"/>
      <c r="B8" s="10"/>
      <c r="C8" s="10"/>
      <c r="D8" s="10"/>
      <c r="E8" s="10"/>
      <c r="F8" s="10"/>
      <c r="G8" s="1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6" t="str">
        <f aca="true">IF(OR(H8="",D8=""),"",IF(H8&lt;=IFERROR(VLOOKUP(CONCATENATE(D8,YEAR(TODAY())-YEAR(C8),"lin5m"),_viitearvot!$I$2:$M$205,2,FALSE()),99),5,IF(H8&lt;=IFERROR(VLOOKUP(CONCATENATE(D8,YEAR(TODAY())-YEAR(C8),"lin5m"),_viitearvot!$I$2:$M$205,3,FALSE()),99),4,IF(H8&lt;=IFERROR(VLOOKUP(CONCATENATE(D8,YEAR(TODAY())-YEAR(C8),"lin5m"),_viitearvot!$I$2:$M$205,4,FALSE()),99),3,IF(H8&lt;=IFERROR(VLOOKUP(CONCATENATE(D8,YEAR(TODAY())-YEAR(C8),"lin5m"),_viitearvot!$I$2:$M$205,5,FALSE()),99),2,1)))))</f>
        <v/>
      </c>
      <c r="T8" s="16" t="str">
        <f aca="true">IF(OR(I8="",D8=""),"",IF(I8&lt;=IFERROR(VLOOKUP(CONCATENATE(D8,YEAR(TODAY())-YEAR(C8),"lin10m"),_viitearvot!$I$2:$M$205,2,FALSE()),99),5,IF(I8&lt;=IFERROR(VLOOKUP(CONCATENATE(D8,YEAR(TODAY())-YEAR(C8),"lin10m"),_viitearvot!$I$2:$M$205,3,FALSE()),99),4,IF(I8&lt;=IFERROR(VLOOKUP(CONCATENATE(D8,YEAR(TODAY())-YEAR(C8),"lin10m"),_viitearvot!$I$2:$M$205,4,FALSE()),99),3,IF(I8&lt;=IFERROR(VLOOKUP(CONCATENATE(D8,YEAR(TODAY())-YEAR(C8),"lin10m"),_viitearvot!$I$2:$M$205,5,FALSE()),99),2,1)))))</f>
        <v/>
      </c>
      <c r="U8" s="16" t="str">
        <f aca="true">IF(OR(J8="",D8=""),"",IF(J8&lt;=IFERROR(VLOOKUP(CONCATENATE(D8,YEAR(TODAY())-YEAR(C8),"lin20m"),_viitearvot!$I$2:$M$205,2,FALSE()),99),5,IF(J8&lt;=IFERROR(VLOOKUP(CONCATENATE(D8,YEAR(TODAY())-YEAR(C8),"lin20m"),_viitearvot!$I$2:$M$205,3,FALSE()),99),4,IF(J8&lt;=IFERROR(VLOOKUP(CONCATENATE(D8,YEAR(TODAY())-YEAR(C8),"lin20m"),_viitearvot!$I$2:$M$205,4,FALSE()),99),3,IF(J8&lt;=IFERROR(VLOOKUP(CONCATENATE(D8,YEAR(TODAY())-YEAR(C8),"lin20m"),_viitearvot!$I$2:$M$205,5,FALSE()),99),2,1)))))</f>
        <v/>
      </c>
      <c r="V8" s="16" t="str">
        <f aca="true">IF(OR(K8="",D8=""),"",IF(K8&lt;=IFERROR(VLOOKUP(CONCATENATE(D8,YEAR(TODAY())-YEAR(C8),"lin30m"),_viitearvot!$I$2:$M$205,2,FALSE()),99),5,IF(K8&lt;=IFERROR(VLOOKUP(CONCATENATE(D8,YEAR(TODAY())-YEAR(C8),"lin30m"),_viitearvot!$I$2:$M$205,3,FALSE()),99),4,IF(K8&lt;=IFERROR(VLOOKUP(CONCATENATE(D8,YEAR(TODAY())-YEAR(C8),"lin30m"),_viitearvot!$I$2:$M$205,4,FALSE()),99),3,IF(K8&lt;=IFERROR(VLOOKUP(CONCATENATE(D8,YEAR(TODAY())-YEAR(C8),"lin30m"),_viitearvot!$I$2:$M$205,5,FALSE()),99),2,1)))))</f>
        <v/>
      </c>
      <c r="W8" s="16" t="str">
        <f aca="true">IF(OR(L8="",D8=""),"",IF(L8&lt;=IFERROR(VLOOKUP(CONCATENATE(D8,YEAR(TODAY())-YEAR(C8),"kasirata"),_viitearvot!$I$2:$M$205,2,FALSE()),99),5,IF(L8&lt;=IFERROR(VLOOKUP(CONCATENATE(D8,YEAR(TODAY())-YEAR(C8),"kasirata"),_viitearvot!$I$2:$M$205,3,FALSE()),99),4,IF(L8&lt;=IFERROR(VLOOKUP(CONCATENATE(D8,YEAR(TODAY())-YEAR(C8),"kasirata"),_viitearvot!$I$2:$M$205,4,FALSE()),99),3,IF(L8&lt;=IFERROR(VLOOKUP(CONCATENATE(D8,YEAR(TODAY())-YEAR(C8),"kasirata"),_viitearvot!$I$2:$M$205,5,FALSE()),99),2,1)))))</f>
        <v/>
      </c>
      <c r="X8" s="16" t="str">
        <f aca="true">IF(OR(M8="",D8=""),"",IF(M8&lt;=IFERROR(VLOOKUP(CONCATENATE(D8,YEAR(TODAY())-YEAR(C8),"smjuoksu"),_viitearvot!$I$2:$M$205,2,FALSE()),99),5,IF(M8&lt;=IFERROR(VLOOKUP(CONCATENATE(D8,YEAR(TODAY())-YEAR(C8),"smjuoksu"),_viitearvot!$I$2:$M$205,3,FALSE()),99),4,IF(M8&lt;=IFERROR(VLOOKUP(CONCATENATE(D8,YEAR(TODAY())-YEAR(C8),"smjuoksu"),_viitearvot!$I$2:$M$205,4,FALSE()),99),3,IF(M8&lt;=IFERROR(VLOOKUP(CONCATENATE(D8,YEAR(TODAY())-YEAR(C8),"smjuoksu"),_viitearvot!$I$2:$M$205,5,FALSE()),99),2,1)))))</f>
        <v/>
      </c>
      <c r="Y8" s="16" t="str">
        <f aca="true">IF(OR(N8="",D8=""),"",IF(N8&lt;=IFERROR(VLOOKUP(CONCATENATE(D8,YEAR(TODAY())-YEAR(C8),"smpallo"),_viitearvot!$I$2:$M$205,2,FALSE()),99),5,IF(N8&lt;=IFERROR(VLOOKUP(CONCATENATE(D8,YEAR(TODAY())-YEAR(C8),"smpallo"),_viitearvot!$I$2:$M$205,3,FALSE()),99),4,IF(N8&lt;=IFERROR(VLOOKUP(CONCATENATE(D8,YEAR(TODAY())-YEAR(C8),"smpallo"),_viitearvot!$I$2:$M$205,4,FALSE()),99),3,IF(N8&lt;=IFERROR(VLOOKUP(CONCATENATE(D8,YEAR(TODAY())-YEAR(C8),"smpallo"),_viitearvot!$I$2:$M$205,5,FALSE()),99),2,1)))))</f>
        <v/>
      </c>
      <c r="Z8" s="16" t="str">
        <f aca="true">IF(OR(O8="",D8=""),"",IF(O8&gt;=IFERROR(VLOOKUP(CONCATENATE(D8,YEAR(TODAY())-YEAR(C8),"cmj"),_viitearvot!$I$2:$M$205,2,FALSE()),0),5,IF(O8&gt;=IFERROR(VLOOKUP(CONCATENATE(D8,YEAR(TODAY())-YEAR(C8),"cmj"),_viitearvot!$I$2:$M$205,3,FALSE()),0),4,IF(O8&gt;=IFERROR(VLOOKUP(CONCATENATE(D8,YEAR(TODAY())-YEAR(C8),"cmj"),_viitearvot!$I$2:$M$205,4,FALSE()),0),3,IF(O8&gt;=IFERROR(VLOOKUP(CONCATENATE(D8,YEAR(TODAY())-YEAR(C8),"cmj"),_viitearvot!$I$2:$M$205,5,FALSE()),0),2,1)))))</f>
        <v/>
      </c>
      <c r="AA8" s="16" t="str">
        <f aca="true">IF(OR(P8="",D8=""),"",IF(P8&gt;=IFERROR(VLOOKUP(CONCATENATE(D8,YEAR(TODAY())-YEAR(C8),"bronco"),_viitearvot!$I$2:$M$205,2,FALSE()),0),5,IF(P8&gt;=IFERROR(VLOOKUP(CONCATENATE(D8,YEAR(TODAY())-YEAR(C8),"bronco"),_viitearvot!$I$2:$M$205,3,FALSE()),0),4,IF(P8&gt;=IFERROR(VLOOKUP(CONCATENATE(D8,YEAR(TODAY())-YEAR(C8),"bronco"),_viitearvot!$I$2:$M$205,4,FALSE()),0),3,IF(P8&gt;=IFERROR(VLOOKUP(CONCATENATE(D8,YEAR(TODAY())-YEAR(C8),"bronco"),_viitearvot!$I$2:$M$205,5,FALSE()),0),2,1)))))</f>
        <v/>
      </c>
      <c r="AB8" s="11"/>
      <c r="AC8" s="17"/>
      <c r="AD8" s="18" t="str">
        <f aca="false">IF(OR(AC8="",H8=""),"",(IF(D8="P",IF(H8&lt;=IFERROR(VLOOKUP(CONCATENATE("P",ROUND(AC8,0),"lin5m"),_viitearvot!$A:$H,4,FALSE()),99),5,IF(H8&lt;=IFERROR(VLOOKUP(CONCATENATE("P",ROUND(AC8,0),"lin5m"),_viitearvot!$A:$H,5,FALSE()),99),4,IF(H8&lt;=IFERROR(VLOOKUP(CONCATENATE("P",ROUND(AC8,0),"lin5m"),_viitearvot!$A:$H,6,FALSE()),99),3,IF(H8&lt;=IFERROR(VLOOKUP(CONCATENATE("P",ROUND(AC8,0),"lin5m"),_viitearvot!$A:$H,7,FALSE()),99),2,1)))),IF(H8&lt;=IFERROR(VLOOKUP(CONCATENATE("T",ROUND(AC8,0),"lin5m"),_viitearvot!$A:$H,4,FALSE()),99),5,IF(H8&lt;=IFERROR(VLOOKUP(CONCATENATE("T",ROUND(AC8,0),"lin5m"),_viitearvot!$A:$H,5,FALSE()),99),4,IF(H8&lt;=IFERROR(VLOOKUP(CONCATENATE("T",ROUND(AC8,0),"lin5m"),_viitearvot!$A:$H,6,FALSE()),99),3,IF(H8&lt;=IFERROR(VLOOKUP(CONCATENATE("T",ROUND(AC8,0),"lin5m"),_viitearvot!$A:$H,7,FALSE()),99),2,1)))))-S8))</f>
        <v/>
      </c>
    </row>
    <row r="9" customFormat="false" ht="15" hidden="false" customHeight="true" outlineLevel="0" collapsed="false">
      <c r="A9" s="10"/>
      <c r="B9" s="10"/>
      <c r="C9" s="10"/>
      <c r="D9" s="10"/>
      <c r="E9" s="10"/>
      <c r="F9" s="10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 t="str">
        <f aca="true">IF(OR(H9="",D9=""),"",IF(H9&lt;=IFERROR(VLOOKUP(CONCATENATE(D9,YEAR(TODAY())-YEAR(C9),"lin5m"),_viitearvot!$I$2:$M$205,2,FALSE()),99),5,IF(H9&lt;=IFERROR(VLOOKUP(CONCATENATE(D9,YEAR(TODAY())-YEAR(C9),"lin5m"),_viitearvot!$I$2:$M$205,3,FALSE()),99),4,IF(H9&lt;=IFERROR(VLOOKUP(CONCATENATE(D9,YEAR(TODAY())-YEAR(C9),"lin5m"),_viitearvot!$I$2:$M$205,4,FALSE()),99),3,IF(H9&lt;=IFERROR(VLOOKUP(CONCATENATE(D9,YEAR(TODAY())-YEAR(C9),"lin5m"),_viitearvot!$I$2:$M$205,5,FALSE()),99),2,1)))))</f>
        <v/>
      </c>
      <c r="T9" s="13" t="str">
        <f aca="true">IF(OR(I9="",D9=""),"",IF(I9&lt;=IFERROR(VLOOKUP(CONCATENATE(D9,YEAR(TODAY())-YEAR(C9),"lin10m"),_viitearvot!$I$2:$M$205,2,FALSE()),99),5,IF(I9&lt;=IFERROR(VLOOKUP(CONCATENATE(D9,YEAR(TODAY())-YEAR(C9),"lin10m"),_viitearvot!$I$2:$M$205,3,FALSE()),99),4,IF(I9&lt;=IFERROR(VLOOKUP(CONCATENATE(D9,YEAR(TODAY())-YEAR(C9),"lin10m"),_viitearvot!$I$2:$M$205,4,FALSE()),99),3,IF(I9&lt;=IFERROR(VLOOKUP(CONCATENATE(D9,YEAR(TODAY())-YEAR(C9),"lin10m"),_viitearvot!$I$2:$M$205,5,FALSE()),99),2,1)))))</f>
        <v/>
      </c>
      <c r="U9" s="13" t="str">
        <f aca="true">IF(OR(J9="",D9=""),"",IF(J9&lt;=IFERROR(VLOOKUP(CONCATENATE(D9,YEAR(TODAY())-YEAR(C9),"lin20m"),_viitearvot!$I$2:$M$205,2,FALSE()),99),5,IF(J9&lt;=IFERROR(VLOOKUP(CONCATENATE(D9,YEAR(TODAY())-YEAR(C9),"lin20m"),_viitearvot!$I$2:$M$205,3,FALSE()),99),4,IF(J9&lt;=IFERROR(VLOOKUP(CONCATENATE(D9,YEAR(TODAY())-YEAR(C9),"lin20m"),_viitearvot!$I$2:$M$205,4,FALSE()),99),3,IF(J9&lt;=IFERROR(VLOOKUP(CONCATENATE(D9,YEAR(TODAY())-YEAR(C9),"lin20m"),_viitearvot!$I$2:$M$205,5,FALSE()),99),2,1)))))</f>
        <v/>
      </c>
      <c r="V9" s="13" t="str">
        <f aca="true">IF(OR(K9="",D9=""),"",IF(K9&lt;=IFERROR(VLOOKUP(CONCATENATE(D9,YEAR(TODAY())-YEAR(C9),"lin30m"),_viitearvot!$I$2:$M$205,2,FALSE()),99),5,IF(K9&lt;=IFERROR(VLOOKUP(CONCATENATE(D9,YEAR(TODAY())-YEAR(C9),"lin30m"),_viitearvot!$I$2:$M$205,3,FALSE()),99),4,IF(K9&lt;=IFERROR(VLOOKUP(CONCATENATE(D9,YEAR(TODAY())-YEAR(C9),"lin30m"),_viitearvot!$I$2:$M$205,4,FALSE()),99),3,IF(K9&lt;=IFERROR(VLOOKUP(CONCATENATE(D9,YEAR(TODAY())-YEAR(C9),"lin30m"),_viitearvot!$I$2:$M$205,5,FALSE()),99),2,1)))))</f>
        <v/>
      </c>
      <c r="W9" s="13" t="str">
        <f aca="true">IF(OR(L9="",D9=""),"",IF(L9&lt;=IFERROR(VLOOKUP(CONCATENATE(D9,YEAR(TODAY())-YEAR(C9),"kasirata"),_viitearvot!$I$2:$M$205,2,FALSE()),99),5,IF(L9&lt;=IFERROR(VLOOKUP(CONCATENATE(D9,YEAR(TODAY())-YEAR(C9),"kasirata"),_viitearvot!$I$2:$M$205,3,FALSE()),99),4,IF(L9&lt;=IFERROR(VLOOKUP(CONCATENATE(D9,YEAR(TODAY())-YEAR(C9),"kasirata"),_viitearvot!$I$2:$M$205,4,FALSE()),99),3,IF(L9&lt;=IFERROR(VLOOKUP(CONCATENATE(D9,YEAR(TODAY())-YEAR(C9),"kasirata"),_viitearvot!$I$2:$M$205,5,FALSE()),99),2,1)))))</f>
        <v/>
      </c>
      <c r="X9" s="13" t="str">
        <f aca="true">IF(OR(M9="",D9=""),"",IF(M9&lt;=IFERROR(VLOOKUP(CONCATENATE(D9,YEAR(TODAY())-YEAR(C9),"smjuoksu"),_viitearvot!$I$2:$M$205,2,FALSE()),99),5,IF(M9&lt;=IFERROR(VLOOKUP(CONCATENATE(D9,YEAR(TODAY())-YEAR(C9),"smjuoksu"),_viitearvot!$I$2:$M$205,3,FALSE()),99),4,IF(M9&lt;=IFERROR(VLOOKUP(CONCATENATE(D9,YEAR(TODAY())-YEAR(C9),"smjuoksu"),_viitearvot!$I$2:$M$205,4,FALSE()),99),3,IF(M9&lt;=IFERROR(VLOOKUP(CONCATENATE(D9,YEAR(TODAY())-YEAR(C9),"smjuoksu"),_viitearvot!$I$2:$M$205,5,FALSE()),99),2,1)))))</f>
        <v/>
      </c>
      <c r="Y9" s="13" t="str">
        <f aca="true">IF(OR(N9="",D9=""),"",IF(N9&lt;=IFERROR(VLOOKUP(CONCATENATE(D9,YEAR(TODAY())-YEAR(C9),"smpallo"),_viitearvot!$I$2:$M$205,2,FALSE()),99),5,IF(N9&lt;=IFERROR(VLOOKUP(CONCATENATE(D9,YEAR(TODAY())-YEAR(C9),"smpallo"),_viitearvot!$I$2:$M$205,3,FALSE()),99),4,IF(N9&lt;=IFERROR(VLOOKUP(CONCATENATE(D9,YEAR(TODAY())-YEAR(C9),"smpallo"),_viitearvot!$I$2:$M$205,4,FALSE()),99),3,IF(N9&lt;=IFERROR(VLOOKUP(CONCATENATE(D9,YEAR(TODAY())-YEAR(C9),"smpallo"),_viitearvot!$I$2:$M$205,5,FALSE()),99),2,1)))))</f>
        <v/>
      </c>
      <c r="Z9" s="13" t="str">
        <f aca="true">IF(OR(O9="",D9=""),"",IF(O9&gt;=IFERROR(VLOOKUP(CONCATENATE(D9,YEAR(TODAY())-YEAR(C9),"cmj"),_viitearvot!$I$2:$M$205,2,FALSE()),0),5,IF(O9&gt;=IFERROR(VLOOKUP(CONCATENATE(D9,YEAR(TODAY())-YEAR(C9),"cmj"),_viitearvot!$I$2:$M$205,3,FALSE()),0),4,IF(O9&gt;=IFERROR(VLOOKUP(CONCATENATE(D9,YEAR(TODAY())-YEAR(C9),"cmj"),_viitearvot!$I$2:$M$205,4,FALSE()),0),3,IF(O9&gt;=IFERROR(VLOOKUP(CONCATENATE(D9,YEAR(TODAY())-YEAR(C9),"cmj"),_viitearvot!$I$2:$M$205,5,FALSE()),0),2,1)))))</f>
        <v/>
      </c>
      <c r="AA9" s="13" t="str">
        <f aca="true">IF(OR(P9="",D9=""),"",IF(P9&gt;=IFERROR(VLOOKUP(CONCATENATE(D9,YEAR(TODAY())-YEAR(C9),"bronco"),_viitearvot!$I$2:$M$205,2,FALSE()),0),5,IF(P9&gt;=IFERROR(VLOOKUP(CONCATENATE(D9,YEAR(TODAY())-YEAR(C9),"bronco"),_viitearvot!$I$2:$M$205,3,FALSE()),0),4,IF(P9&gt;=IFERROR(VLOOKUP(CONCATENATE(D9,YEAR(TODAY())-YEAR(C9),"bronco"),_viitearvot!$I$2:$M$205,4,FALSE()),0),3,IF(P9&gt;=IFERROR(VLOOKUP(CONCATENATE(D9,YEAR(TODAY())-YEAR(C9),"bronco"),_viitearvot!$I$2:$M$205,5,FALSE()),0),2,1)))))</f>
        <v/>
      </c>
      <c r="AB9" s="11"/>
      <c r="AC9" s="14"/>
      <c r="AD9" s="15" t="str">
        <f aca="false">IF(OR(AC9="",H9=""),"",(IF(D9="P",IF(H9&lt;=IFERROR(VLOOKUP(CONCATENATE("P",ROUND(AC9,0),"lin5m"),_viitearvot!$A:$H,4,FALSE()),99),5,IF(H9&lt;=IFERROR(VLOOKUP(CONCATENATE("P",ROUND(AC9,0),"lin5m"),_viitearvot!$A:$H,5,FALSE()),99),4,IF(H9&lt;=IFERROR(VLOOKUP(CONCATENATE("P",ROUND(AC9,0),"lin5m"),_viitearvot!$A:$H,6,FALSE()),99),3,IF(H9&lt;=IFERROR(VLOOKUP(CONCATENATE("P",ROUND(AC9,0),"lin5m"),_viitearvot!$A:$H,7,FALSE()),99),2,1)))),IF(H9&lt;=IFERROR(VLOOKUP(CONCATENATE("T",ROUND(AC9,0),"lin5m"),_viitearvot!$A:$H,4,FALSE()),99),5,IF(H9&lt;=IFERROR(VLOOKUP(CONCATENATE("T",ROUND(AC9,0),"lin5m"),_viitearvot!$A:$H,5,FALSE()),99),4,IF(H9&lt;=IFERROR(VLOOKUP(CONCATENATE("T",ROUND(AC9,0),"lin5m"),_viitearvot!$A:$H,6,FALSE()),99),3,IF(H9&lt;=IFERROR(VLOOKUP(CONCATENATE("T",ROUND(AC9,0),"lin5m"),_viitearvot!$A:$H,7,FALSE()),99),2,1)))))-S9))</f>
        <v/>
      </c>
    </row>
    <row r="10" customFormat="false" ht="15" hidden="false" customHeight="true" outlineLevel="0" collapsed="false">
      <c r="A10" s="10"/>
      <c r="B10" s="10"/>
      <c r="C10" s="10"/>
      <c r="D10" s="10"/>
      <c r="E10" s="10"/>
      <c r="F10" s="10"/>
      <c r="G10" s="11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6" t="str">
        <f aca="true">IF(OR(H10="",D10=""),"",IF(H10&lt;=IFERROR(VLOOKUP(CONCATENATE(D10,YEAR(TODAY())-YEAR(C10),"lin5m"),_viitearvot!$I$2:$M$205,2,FALSE()),99),5,IF(H10&lt;=IFERROR(VLOOKUP(CONCATENATE(D10,YEAR(TODAY())-YEAR(C10),"lin5m"),_viitearvot!$I$2:$M$205,3,FALSE()),99),4,IF(H10&lt;=IFERROR(VLOOKUP(CONCATENATE(D10,YEAR(TODAY())-YEAR(C10),"lin5m"),_viitearvot!$I$2:$M$205,4,FALSE()),99),3,IF(H10&lt;=IFERROR(VLOOKUP(CONCATENATE(D10,YEAR(TODAY())-YEAR(C10),"lin5m"),_viitearvot!$I$2:$M$205,5,FALSE()),99),2,1)))))</f>
        <v/>
      </c>
      <c r="T10" s="16" t="str">
        <f aca="true">IF(OR(I10="",D10=""),"",IF(I10&lt;=IFERROR(VLOOKUP(CONCATENATE(D10,YEAR(TODAY())-YEAR(C10),"lin10m"),_viitearvot!$I$2:$M$205,2,FALSE()),99),5,IF(I10&lt;=IFERROR(VLOOKUP(CONCATENATE(D10,YEAR(TODAY())-YEAR(C10),"lin10m"),_viitearvot!$I$2:$M$205,3,FALSE()),99),4,IF(I10&lt;=IFERROR(VLOOKUP(CONCATENATE(D10,YEAR(TODAY())-YEAR(C10),"lin10m"),_viitearvot!$I$2:$M$205,4,FALSE()),99),3,IF(I10&lt;=IFERROR(VLOOKUP(CONCATENATE(D10,YEAR(TODAY())-YEAR(C10),"lin10m"),_viitearvot!$I$2:$M$205,5,FALSE()),99),2,1)))))</f>
        <v/>
      </c>
      <c r="U10" s="16" t="str">
        <f aca="true">IF(OR(J10="",D10=""),"",IF(J10&lt;=IFERROR(VLOOKUP(CONCATENATE(D10,YEAR(TODAY())-YEAR(C10),"lin20m"),_viitearvot!$I$2:$M$205,2,FALSE()),99),5,IF(J10&lt;=IFERROR(VLOOKUP(CONCATENATE(D10,YEAR(TODAY())-YEAR(C10),"lin20m"),_viitearvot!$I$2:$M$205,3,FALSE()),99),4,IF(J10&lt;=IFERROR(VLOOKUP(CONCATENATE(D10,YEAR(TODAY())-YEAR(C10),"lin20m"),_viitearvot!$I$2:$M$205,4,FALSE()),99),3,IF(J10&lt;=IFERROR(VLOOKUP(CONCATENATE(D10,YEAR(TODAY())-YEAR(C10),"lin20m"),_viitearvot!$I$2:$M$205,5,FALSE()),99),2,1)))))</f>
        <v/>
      </c>
      <c r="V10" s="16" t="str">
        <f aca="true">IF(OR(K10="",D10=""),"",IF(K10&lt;=IFERROR(VLOOKUP(CONCATENATE(D10,YEAR(TODAY())-YEAR(C10),"lin30m"),_viitearvot!$I$2:$M$205,2,FALSE()),99),5,IF(K10&lt;=IFERROR(VLOOKUP(CONCATENATE(D10,YEAR(TODAY())-YEAR(C10),"lin30m"),_viitearvot!$I$2:$M$205,3,FALSE()),99),4,IF(K10&lt;=IFERROR(VLOOKUP(CONCATENATE(D10,YEAR(TODAY())-YEAR(C10),"lin30m"),_viitearvot!$I$2:$M$205,4,FALSE()),99),3,IF(K10&lt;=IFERROR(VLOOKUP(CONCATENATE(D10,YEAR(TODAY())-YEAR(C10),"lin30m"),_viitearvot!$I$2:$M$205,5,FALSE()),99),2,1)))))</f>
        <v/>
      </c>
      <c r="W10" s="16" t="str">
        <f aca="true">IF(OR(L10="",D10=""),"",IF(L10&lt;=IFERROR(VLOOKUP(CONCATENATE(D10,YEAR(TODAY())-YEAR(C10),"kasirata"),_viitearvot!$I$2:$M$205,2,FALSE()),99),5,IF(L10&lt;=IFERROR(VLOOKUP(CONCATENATE(D10,YEAR(TODAY())-YEAR(C10),"kasirata"),_viitearvot!$I$2:$M$205,3,FALSE()),99),4,IF(L10&lt;=IFERROR(VLOOKUP(CONCATENATE(D10,YEAR(TODAY())-YEAR(C10),"kasirata"),_viitearvot!$I$2:$M$205,4,FALSE()),99),3,IF(L10&lt;=IFERROR(VLOOKUP(CONCATENATE(D10,YEAR(TODAY())-YEAR(C10),"kasirata"),_viitearvot!$I$2:$M$205,5,FALSE()),99),2,1)))))</f>
        <v/>
      </c>
      <c r="X10" s="16" t="str">
        <f aca="true">IF(OR(M10="",D10=""),"",IF(M10&lt;=IFERROR(VLOOKUP(CONCATENATE(D10,YEAR(TODAY())-YEAR(C10),"smjuoksu"),_viitearvot!$I$2:$M$205,2,FALSE()),99),5,IF(M10&lt;=IFERROR(VLOOKUP(CONCATENATE(D10,YEAR(TODAY())-YEAR(C10),"smjuoksu"),_viitearvot!$I$2:$M$205,3,FALSE()),99),4,IF(M10&lt;=IFERROR(VLOOKUP(CONCATENATE(D10,YEAR(TODAY())-YEAR(C10),"smjuoksu"),_viitearvot!$I$2:$M$205,4,FALSE()),99),3,IF(M10&lt;=IFERROR(VLOOKUP(CONCATENATE(D10,YEAR(TODAY())-YEAR(C10),"smjuoksu"),_viitearvot!$I$2:$M$205,5,FALSE()),99),2,1)))))</f>
        <v/>
      </c>
      <c r="Y10" s="16" t="str">
        <f aca="true">IF(OR(N10="",D10=""),"",IF(N10&lt;=IFERROR(VLOOKUP(CONCATENATE(D10,YEAR(TODAY())-YEAR(C10),"smpallo"),_viitearvot!$I$2:$M$205,2,FALSE()),99),5,IF(N10&lt;=IFERROR(VLOOKUP(CONCATENATE(D10,YEAR(TODAY())-YEAR(C10),"smpallo"),_viitearvot!$I$2:$M$205,3,FALSE()),99),4,IF(N10&lt;=IFERROR(VLOOKUP(CONCATENATE(D10,YEAR(TODAY())-YEAR(C10),"smpallo"),_viitearvot!$I$2:$M$205,4,FALSE()),99),3,IF(N10&lt;=IFERROR(VLOOKUP(CONCATENATE(D10,YEAR(TODAY())-YEAR(C10),"smpallo"),_viitearvot!$I$2:$M$205,5,FALSE()),99),2,1)))))</f>
        <v/>
      </c>
      <c r="Z10" s="16" t="str">
        <f aca="true">IF(OR(O10="",D10=""),"",IF(O10&gt;=IFERROR(VLOOKUP(CONCATENATE(D10,YEAR(TODAY())-YEAR(C10),"cmj"),_viitearvot!$I$2:$M$205,2,FALSE()),0),5,IF(O10&gt;=IFERROR(VLOOKUP(CONCATENATE(D10,YEAR(TODAY())-YEAR(C10),"cmj"),_viitearvot!$I$2:$M$205,3,FALSE()),0),4,IF(O10&gt;=IFERROR(VLOOKUP(CONCATENATE(D10,YEAR(TODAY())-YEAR(C10),"cmj"),_viitearvot!$I$2:$M$205,4,FALSE()),0),3,IF(O10&gt;=IFERROR(VLOOKUP(CONCATENATE(D10,YEAR(TODAY())-YEAR(C10),"cmj"),_viitearvot!$I$2:$M$205,5,FALSE()),0),2,1)))))</f>
        <v/>
      </c>
      <c r="AA10" s="16" t="str">
        <f aca="true">IF(OR(P10="",D10=""),"",IF(P10&gt;=IFERROR(VLOOKUP(CONCATENATE(D10,YEAR(TODAY())-YEAR(C10),"bronco"),_viitearvot!$I$2:$M$205,2,FALSE()),0),5,IF(P10&gt;=IFERROR(VLOOKUP(CONCATENATE(D10,YEAR(TODAY())-YEAR(C10),"bronco"),_viitearvot!$I$2:$M$205,3,FALSE()),0),4,IF(P10&gt;=IFERROR(VLOOKUP(CONCATENATE(D10,YEAR(TODAY())-YEAR(C10),"bronco"),_viitearvot!$I$2:$M$205,4,FALSE()),0),3,IF(P10&gt;=IFERROR(VLOOKUP(CONCATENATE(D10,YEAR(TODAY())-YEAR(C10),"bronco"),_viitearvot!$I$2:$M$205,5,FALSE()),0),2,1)))))</f>
        <v/>
      </c>
      <c r="AB10" s="11"/>
      <c r="AC10" s="17"/>
      <c r="AD10" s="18" t="str">
        <f aca="false">IF(OR(AC10="",H10=""),"",(IF(D10="P",IF(H10&lt;=IFERROR(VLOOKUP(CONCATENATE("P",ROUND(AC10,0),"lin5m"),_viitearvot!$A:$H,4,FALSE()),99),5,IF(H10&lt;=IFERROR(VLOOKUP(CONCATENATE("P",ROUND(AC10,0),"lin5m"),_viitearvot!$A:$H,5,FALSE()),99),4,IF(H10&lt;=IFERROR(VLOOKUP(CONCATENATE("P",ROUND(AC10,0),"lin5m"),_viitearvot!$A:$H,6,FALSE()),99),3,IF(H10&lt;=IFERROR(VLOOKUP(CONCATENATE("P",ROUND(AC10,0),"lin5m"),_viitearvot!$A:$H,7,FALSE()),99),2,1)))),IF(H10&lt;=IFERROR(VLOOKUP(CONCATENATE("T",ROUND(AC10,0),"lin5m"),_viitearvot!$A:$H,4,FALSE()),99),5,IF(H10&lt;=IFERROR(VLOOKUP(CONCATENATE("T",ROUND(AC10,0),"lin5m"),_viitearvot!$A:$H,5,FALSE()),99),4,IF(H10&lt;=IFERROR(VLOOKUP(CONCATENATE("T",ROUND(AC10,0),"lin5m"),_viitearvot!$A:$H,6,FALSE()),99),3,IF(H10&lt;=IFERROR(VLOOKUP(CONCATENATE("T",ROUND(AC10,0),"lin5m"),_viitearvot!$A:$H,7,FALSE()),99),2,1)))))-S10))</f>
        <v/>
      </c>
    </row>
    <row r="11" customFormat="false" ht="15" hidden="false" customHeight="true" outlineLevel="0" collapsed="false">
      <c r="A11" s="10"/>
      <c r="B11" s="10"/>
      <c r="C11" s="10"/>
      <c r="D11" s="10"/>
      <c r="E11" s="10"/>
      <c r="F11" s="10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 t="str">
        <f aca="true">IF(OR(H11="",D11=""),"",IF(H11&lt;=IFERROR(VLOOKUP(CONCATENATE(D11,YEAR(TODAY())-YEAR(C11),"lin5m"),_viitearvot!$I$2:$M$205,2,FALSE()),99),5,IF(H11&lt;=IFERROR(VLOOKUP(CONCATENATE(D11,YEAR(TODAY())-YEAR(C11),"lin5m"),_viitearvot!$I$2:$M$205,3,FALSE()),99),4,IF(H11&lt;=IFERROR(VLOOKUP(CONCATENATE(D11,YEAR(TODAY())-YEAR(C11),"lin5m"),_viitearvot!$I$2:$M$205,4,FALSE()),99),3,IF(H11&lt;=IFERROR(VLOOKUP(CONCATENATE(D11,YEAR(TODAY())-YEAR(C11),"lin5m"),_viitearvot!$I$2:$M$205,5,FALSE()),99),2,1)))))</f>
        <v/>
      </c>
      <c r="T11" s="13" t="str">
        <f aca="true">IF(OR(I11="",D11=""),"",IF(I11&lt;=IFERROR(VLOOKUP(CONCATENATE(D11,YEAR(TODAY())-YEAR(C11),"lin10m"),_viitearvot!$I$2:$M$205,2,FALSE()),99),5,IF(I11&lt;=IFERROR(VLOOKUP(CONCATENATE(D11,YEAR(TODAY())-YEAR(C11),"lin10m"),_viitearvot!$I$2:$M$205,3,FALSE()),99),4,IF(I11&lt;=IFERROR(VLOOKUP(CONCATENATE(D11,YEAR(TODAY())-YEAR(C11),"lin10m"),_viitearvot!$I$2:$M$205,4,FALSE()),99),3,IF(I11&lt;=IFERROR(VLOOKUP(CONCATENATE(D11,YEAR(TODAY())-YEAR(C11),"lin10m"),_viitearvot!$I$2:$M$205,5,FALSE()),99),2,1)))))</f>
        <v/>
      </c>
      <c r="U11" s="13" t="str">
        <f aca="true">IF(OR(J11="",D11=""),"",IF(J11&lt;=IFERROR(VLOOKUP(CONCATENATE(D11,YEAR(TODAY())-YEAR(C11),"lin20m"),_viitearvot!$I$2:$M$205,2,FALSE()),99),5,IF(J11&lt;=IFERROR(VLOOKUP(CONCATENATE(D11,YEAR(TODAY())-YEAR(C11),"lin20m"),_viitearvot!$I$2:$M$205,3,FALSE()),99),4,IF(J11&lt;=IFERROR(VLOOKUP(CONCATENATE(D11,YEAR(TODAY())-YEAR(C11),"lin20m"),_viitearvot!$I$2:$M$205,4,FALSE()),99),3,IF(J11&lt;=IFERROR(VLOOKUP(CONCATENATE(D11,YEAR(TODAY())-YEAR(C11),"lin20m"),_viitearvot!$I$2:$M$205,5,FALSE()),99),2,1)))))</f>
        <v/>
      </c>
      <c r="V11" s="13" t="str">
        <f aca="true">IF(OR(K11="",D11=""),"",IF(K11&lt;=IFERROR(VLOOKUP(CONCATENATE(D11,YEAR(TODAY())-YEAR(C11),"lin30m"),_viitearvot!$I$2:$M$205,2,FALSE()),99),5,IF(K11&lt;=IFERROR(VLOOKUP(CONCATENATE(D11,YEAR(TODAY())-YEAR(C11),"lin30m"),_viitearvot!$I$2:$M$205,3,FALSE()),99),4,IF(K11&lt;=IFERROR(VLOOKUP(CONCATENATE(D11,YEAR(TODAY())-YEAR(C11),"lin30m"),_viitearvot!$I$2:$M$205,4,FALSE()),99),3,IF(K11&lt;=IFERROR(VLOOKUP(CONCATENATE(D11,YEAR(TODAY())-YEAR(C11),"lin30m"),_viitearvot!$I$2:$M$205,5,FALSE()),99),2,1)))))</f>
        <v/>
      </c>
      <c r="W11" s="13" t="str">
        <f aca="true">IF(OR(L11="",D11=""),"",IF(L11&lt;=IFERROR(VLOOKUP(CONCATENATE(D11,YEAR(TODAY())-YEAR(C11),"kasirata"),_viitearvot!$I$2:$M$205,2,FALSE()),99),5,IF(L11&lt;=IFERROR(VLOOKUP(CONCATENATE(D11,YEAR(TODAY())-YEAR(C11),"kasirata"),_viitearvot!$I$2:$M$205,3,FALSE()),99),4,IF(L11&lt;=IFERROR(VLOOKUP(CONCATENATE(D11,YEAR(TODAY())-YEAR(C11),"kasirata"),_viitearvot!$I$2:$M$205,4,FALSE()),99),3,IF(L11&lt;=IFERROR(VLOOKUP(CONCATENATE(D11,YEAR(TODAY())-YEAR(C11),"kasirata"),_viitearvot!$I$2:$M$205,5,FALSE()),99),2,1)))))</f>
        <v/>
      </c>
      <c r="X11" s="13" t="str">
        <f aca="true">IF(OR(M11="",D11=""),"",IF(M11&lt;=IFERROR(VLOOKUP(CONCATENATE(D11,YEAR(TODAY())-YEAR(C11),"smjuoksu"),_viitearvot!$I$2:$M$205,2,FALSE()),99),5,IF(M11&lt;=IFERROR(VLOOKUP(CONCATENATE(D11,YEAR(TODAY())-YEAR(C11),"smjuoksu"),_viitearvot!$I$2:$M$205,3,FALSE()),99),4,IF(M11&lt;=IFERROR(VLOOKUP(CONCATENATE(D11,YEAR(TODAY())-YEAR(C11),"smjuoksu"),_viitearvot!$I$2:$M$205,4,FALSE()),99),3,IF(M11&lt;=IFERROR(VLOOKUP(CONCATENATE(D11,YEAR(TODAY())-YEAR(C11),"smjuoksu"),_viitearvot!$I$2:$M$205,5,FALSE()),99),2,1)))))</f>
        <v/>
      </c>
      <c r="Y11" s="13" t="str">
        <f aca="true">IF(OR(N11="",D11=""),"",IF(N11&lt;=IFERROR(VLOOKUP(CONCATENATE(D11,YEAR(TODAY())-YEAR(C11),"smpallo"),_viitearvot!$I$2:$M$205,2,FALSE()),99),5,IF(N11&lt;=IFERROR(VLOOKUP(CONCATENATE(D11,YEAR(TODAY())-YEAR(C11),"smpallo"),_viitearvot!$I$2:$M$205,3,FALSE()),99),4,IF(N11&lt;=IFERROR(VLOOKUP(CONCATENATE(D11,YEAR(TODAY())-YEAR(C11),"smpallo"),_viitearvot!$I$2:$M$205,4,FALSE()),99),3,IF(N11&lt;=IFERROR(VLOOKUP(CONCATENATE(D11,YEAR(TODAY())-YEAR(C11),"smpallo"),_viitearvot!$I$2:$M$205,5,FALSE()),99),2,1)))))</f>
        <v/>
      </c>
      <c r="Z11" s="13" t="str">
        <f aca="true">IF(OR(O11="",D11=""),"",IF(O11&gt;=IFERROR(VLOOKUP(CONCATENATE(D11,YEAR(TODAY())-YEAR(C11),"cmj"),_viitearvot!$I$2:$M$205,2,FALSE()),0),5,IF(O11&gt;=IFERROR(VLOOKUP(CONCATENATE(D11,YEAR(TODAY())-YEAR(C11),"cmj"),_viitearvot!$I$2:$M$205,3,FALSE()),0),4,IF(O11&gt;=IFERROR(VLOOKUP(CONCATENATE(D11,YEAR(TODAY())-YEAR(C11),"cmj"),_viitearvot!$I$2:$M$205,4,FALSE()),0),3,IF(O11&gt;=IFERROR(VLOOKUP(CONCATENATE(D11,YEAR(TODAY())-YEAR(C11),"cmj"),_viitearvot!$I$2:$M$205,5,FALSE()),0),2,1)))))</f>
        <v/>
      </c>
      <c r="AA11" s="13" t="str">
        <f aca="true">IF(OR(P11="",D11=""),"",IF(P11&gt;=IFERROR(VLOOKUP(CONCATENATE(D11,YEAR(TODAY())-YEAR(C11),"bronco"),_viitearvot!$I$2:$M$205,2,FALSE()),0),5,IF(P11&gt;=IFERROR(VLOOKUP(CONCATENATE(D11,YEAR(TODAY())-YEAR(C11),"bronco"),_viitearvot!$I$2:$M$205,3,FALSE()),0),4,IF(P11&gt;=IFERROR(VLOOKUP(CONCATENATE(D11,YEAR(TODAY())-YEAR(C11),"bronco"),_viitearvot!$I$2:$M$205,4,FALSE()),0),3,IF(P11&gt;=IFERROR(VLOOKUP(CONCATENATE(D11,YEAR(TODAY())-YEAR(C11),"bronco"),_viitearvot!$I$2:$M$205,5,FALSE()),0),2,1)))))</f>
        <v/>
      </c>
      <c r="AB11" s="11"/>
      <c r="AC11" s="14"/>
      <c r="AD11" s="15" t="str">
        <f aca="false">IF(OR(AC11="",H11=""),"",(IF(D11="P",IF(H11&lt;=IFERROR(VLOOKUP(CONCATENATE("P",ROUND(AC11,0),"lin5m"),_viitearvot!$A:$H,4,FALSE()),99),5,IF(H11&lt;=IFERROR(VLOOKUP(CONCATENATE("P",ROUND(AC11,0),"lin5m"),_viitearvot!$A:$H,5,FALSE()),99),4,IF(H11&lt;=IFERROR(VLOOKUP(CONCATENATE("P",ROUND(AC11,0),"lin5m"),_viitearvot!$A:$H,6,FALSE()),99),3,IF(H11&lt;=IFERROR(VLOOKUP(CONCATENATE("P",ROUND(AC11,0),"lin5m"),_viitearvot!$A:$H,7,FALSE()),99),2,1)))),IF(H11&lt;=IFERROR(VLOOKUP(CONCATENATE("T",ROUND(AC11,0),"lin5m"),_viitearvot!$A:$H,4,FALSE()),99),5,IF(H11&lt;=IFERROR(VLOOKUP(CONCATENATE("T",ROUND(AC11,0),"lin5m"),_viitearvot!$A:$H,5,FALSE()),99),4,IF(H11&lt;=IFERROR(VLOOKUP(CONCATENATE("T",ROUND(AC11,0),"lin5m"),_viitearvot!$A:$H,6,FALSE()),99),3,IF(H11&lt;=IFERROR(VLOOKUP(CONCATENATE("T",ROUND(AC11,0),"lin5m"),_viitearvot!$A:$H,7,FALSE()),99),2,1)))))-S11))</f>
        <v/>
      </c>
    </row>
    <row r="12" customFormat="false" ht="15" hidden="false" customHeight="true" outlineLevel="0" collapsed="false">
      <c r="A12" s="10"/>
      <c r="B12" s="10"/>
      <c r="C12" s="10"/>
      <c r="D12" s="10"/>
      <c r="E12" s="10"/>
      <c r="F12" s="10"/>
      <c r="G12" s="11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6" t="str">
        <f aca="true">IF(OR(H12="",D12=""),"",IF(H12&lt;=IFERROR(VLOOKUP(CONCATENATE(D12,YEAR(TODAY())-YEAR(C12),"lin5m"),_viitearvot!$I$2:$M$205,2,FALSE()),99),5,IF(H12&lt;=IFERROR(VLOOKUP(CONCATENATE(D12,YEAR(TODAY())-YEAR(C12),"lin5m"),_viitearvot!$I$2:$M$205,3,FALSE()),99),4,IF(H12&lt;=IFERROR(VLOOKUP(CONCATENATE(D12,YEAR(TODAY())-YEAR(C12),"lin5m"),_viitearvot!$I$2:$M$205,4,FALSE()),99),3,IF(H12&lt;=IFERROR(VLOOKUP(CONCATENATE(D12,YEAR(TODAY())-YEAR(C12),"lin5m"),_viitearvot!$I$2:$M$205,5,FALSE()),99),2,1)))))</f>
        <v/>
      </c>
      <c r="T12" s="16" t="str">
        <f aca="true">IF(OR(I12="",D12=""),"",IF(I12&lt;=IFERROR(VLOOKUP(CONCATENATE(D12,YEAR(TODAY())-YEAR(C12),"lin10m"),_viitearvot!$I$2:$M$205,2,FALSE()),99),5,IF(I12&lt;=IFERROR(VLOOKUP(CONCATENATE(D12,YEAR(TODAY())-YEAR(C12),"lin10m"),_viitearvot!$I$2:$M$205,3,FALSE()),99),4,IF(I12&lt;=IFERROR(VLOOKUP(CONCATENATE(D12,YEAR(TODAY())-YEAR(C12),"lin10m"),_viitearvot!$I$2:$M$205,4,FALSE()),99),3,IF(I12&lt;=IFERROR(VLOOKUP(CONCATENATE(D12,YEAR(TODAY())-YEAR(C12),"lin10m"),_viitearvot!$I$2:$M$205,5,FALSE()),99),2,1)))))</f>
        <v/>
      </c>
      <c r="U12" s="16" t="str">
        <f aca="true">IF(OR(J12="",D12=""),"",IF(J12&lt;=IFERROR(VLOOKUP(CONCATENATE(D12,YEAR(TODAY())-YEAR(C12),"lin20m"),_viitearvot!$I$2:$M$205,2,FALSE()),99),5,IF(J12&lt;=IFERROR(VLOOKUP(CONCATENATE(D12,YEAR(TODAY())-YEAR(C12),"lin20m"),_viitearvot!$I$2:$M$205,3,FALSE()),99),4,IF(J12&lt;=IFERROR(VLOOKUP(CONCATENATE(D12,YEAR(TODAY())-YEAR(C12),"lin20m"),_viitearvot!$I$2:$M$205,4,FALSE()),99),3,IF(J12&lt;=IFERROR(VLOOKUP(CONCATENATE(D12,YEAR(TODAY())-YEAR(C12),"lin20m"),_viitearvot!$I$2:$M$205,5,FALSE()),99),2,1)))))</f>
        <v/>
      </c>
      <c r="V12" s="16" t="str">
        <f aca="true">IF(OR(K12="",D12=""),"",IF(K12&lt;=IFERROR(VLOOKUP(CONCATENATE(D12,YEAR(TODAY())-YEAR(C12),"lin30m"),_viitearvot!$I$2:$M$205,2,FALSE()),99),5,IF(K12&lt;=IFERROR(VLOOKUP(CONCATENATE(D12,YEAR(TODAY())-YEAR(C12),"lin30m"),_viitearvot!$I$2:$M$205,3,FALSE()),99),4,IF(K12&lt;=IFERROR(VLOOKUP(CONCATENATE(D12,YEAR(TODAY())-YEAR(C12),"lin30m"),_viitearvot!$I$2:$M$205,4,FALSE()),99),3,IF(K12&lt;=IFERROR(VLOOKUP(CONCATENATE(D12,YEAR(TODAY())-YEAR(C12),"lin30m"),_viitearvot!$I$2:$M$205,5,FALSE()),99),2,1)))))</f>
        <v/>
      </c>
      <c r="W12" s="16" t="str">
        <f aca="true">IF(OR(L12="",D12=""),"",IF(L12&lt;=IFERROR(VLOOKUP(CONCATENATE(D12,YEAR(TODAY())-YEAR(C12),"kasirata"),_viitearvot!$I$2:$M$205,2,FALSE()),99),5,IF(L12&lt;=IFERROR(VLOOKUP(CONCATENATE(D12,YEAR(TODAY())-YEAR(C12),"kasirata"),_viitearvot!$I$2:$M$205,3,FALSE()),99),4,IF(L12&lt;=IFERROR(VLOOKUP(CONCATENATE(D12,YEAR(TODAY())-YEAR(C12),"kasirata"),_viitearvot!$I$2:$M$205,4,FALSE()),99),3,IF(L12&lt;=IFERROR(VLOOKUP(CONCATENATE(D12,YEAR(TODAY())-YEAR(C12),"kasirata"),_viitearvot!$I$2:$M$205,5,FALSE()),99),2,1)))))</f>
        <v/>
      </c>
      <c r="X12" s="16" t="str">
        <f aca="true">IF(OR(M12="",D12=""),"",IF(M12&lt;=IFERROR(VLOOKUP(CONCATENATE(D12,YEAR(TODAY())-YEAR(C12),"smjuoksu"),_viitearvot!$I$2:$M$205,2,FALSE()),99),5,IF(M12&lt;=IFERROR(VLOOKUP(CONCATENATE(D12,YEAR(TODAY())-YEAR(C12),"smjuoksu"),_viitearvot!$I$2:$M$205,3,FALSE()),99),4,IF(M12&lt;=IFERROR(VLOOKUP(CONCATENATE(D12,YEAR(TODAY())-YEAR(C12),"smjuoksu"),_viitearvot!$I$2:$M$205,4,FALSE()),99),3,IF(M12&lt;=IFERROR(VLOOKUP(CONCATENATE(D12,YEAR(TODAY())-YEAR(C12),"smjuoksu"),_viitearvot!$I$2:$M$205,5,FALSE()),99),2,1)))))</f>
        <v/>
      </c>
      <c r="Y12" s="16" t="str">
        <f aca="true">IF(OR(N12="",D12=""),"",IF(N12&lt;=IFERROR(VLOOKUP(CONCATENATE(D12,YEAR(TODAY())-YEAR(C12),"smpallo"),_viitearvot!$I$2:$M$205,2,FALSE()),99),5,IF(N12&lt;=IFERROR(VLOOKUP(CONCATENATE(D12,YEAR(TODAY())-YEAR(C12),"smpallo"),_viitearvot!$I$2:$M$205,3,FALSE()),99),4,IF(N12&lt;=IFERROR(VLOOKUP(CONCATENATE(D12,YEAR(TODAY())-YEAR(C12),"smpallo"),_viitearvot!$I$2:$M$205,4,FALSE()),99),3,IF(N12&lt;=IFERROR(VLOOKUP(CONCATENATE(D12,YEAR(TODAY())-YEAR(C12),"smpallo"),_viitearvot!$I$2:$M$205,5,FALSE()),99),2,1)))))</f>
        <v/>
      </c>
      <c r="Z12" s="16" t="str">
        <f aca="true">IF(OR(O12="",D12=""),"",IF(O12&gt;=IFERROR(VLOOKUP(CONCATENATE(D12,YEAR(TODAY())-YEAR(C12),"cmj"),_viitearvot!$I$2:$M$205,2,FALSE()),0),5,IF(O12&gt;=IFERROR(VLOOKUP(CONCATENATE(D12,YEAR(TODAY())-YEAR(C12),"cmj"),_viitearvot!$I$2:$M$205,3,FALSE()),0),4,IF(O12&gt;=IFERROR(VLOOKUP(CONCATENATE(D12,YEAR(TODAY())-YEAR(C12),"cmj"),_viitearvot!$I$2:$M$205,4,FALSE()),0),3,IF(O12&gt;=IFERROR(VLOOKUP(CONCATENATE(D12,YEAR(TODAY())-YEAR(C12),"cmj"),_viitearvot!$I$2:$M$205,5,FALSE()),0),2,1)))))</f>
        <v/>
      </c>
      <c r="AA12" s="16" t="str">
        <f aca="true">IF(OR(P12="",D12=""),"",IF(P12&gt;=IFERROR(VLOOKUP(CONCATENATE(D12,YEAR(TODAY())-YEAR(C12),"bronco"),_viitearvot!$I$2:$M$205,2,FALSE()),0),5,IF(P12&gt;=IFERROR(VLOOKUP(CONCATENATE(D12,YEAR(TODAY())-YEAR(C12),"bronco"),_viitearvot!$I$2:$M$205,3,FALSE()),0),4,IF(P12&gt;=IFERROR(VLOOKUP(CONCATENATE(D12,YEAR(TODAY())-YEAR(C12),"bronco"),_viitearvot!$I$2:$M$205,4,FALSE()),0),3,IF(P12&gt;=IFERROR(VLOOKUP(CONCATENATE(D12,YEAR(TODAY())-YEAR(C12),"bronco"),_viitearvot!$I$2:$M$205,5,FALSE()),0),2,1)))))</f>
        <v/>
      </c>
      <c r="AB12" s="11"/>
      <c r="AC12" s="17"/>
      <c r="AD12" s="18" t="str">
        <f aca="false">IF(OR(AC12="",H12=""),"",(IF(D12="P",IF(H12&lt;=IFERROR(VLOOKUP(CONCATENATE("P",ROUND(AC12,0),"lin5m"),_viitearvot!$A:$H,4,FALSE()),99),5,IF(H12&lt;=IFERROR(VLOOKUP(CONCATENATE("P",ROUND(AC12,0),"lin5m"),_viitearvot!$A:$H,5,FALSE()),99),4,IF(H12&lt;=IFERROR(VLOOKUP(CONCATENATE("P",ROUND(AC12,0),"lin5m"),_viitearvot!$A:$H,6,FALSE()),99),3,IF(H12&lt;=IFERROR(VLOOKUP(CONCATENATE("P",ROUND(AC12,0),"lin5m"),_viitearvot!$A:$H,7,FALSE()),99),2,1)))),IF(H12&lt;=IFERROR(VLOOKUP(CONCATENATE("T",ROUND(AC12,0),"lin5m"),_viitearvot!$A:$H,4,FALSE()),99),5,IF(H12&lt;=IFERROR(VLOOKUP(CONCATENATE("T",ROUND(AC12,0),"lin5m"),_viitearvot!$A:$H,5,FALSE()),99),4,IF(H12&lt;=IFERROR(VLOOKUP(CONCATENATE("T",ROUND(AC12,0),"lin5m"),_viitearvot!$A:$H,6,FALSE()),99),3,IF(H12&lt;=IFERROR(VLOOKUP(CONCATENATE("T",ROUND(AC12,0),"lin5m"),_viitearvot!$A:$H,7,FALSE()),99),2,1)))))-S12))</f>
        <v/>
      </c>
    </row>
    <row r="13" customFormat="false" ht="15" hidden="false" customHeight="true" outlineLevel="0" collapsed="false">
      <c r="A13" s="10"/>
      <c r="B13" s="10"/>
      <c r="C13" s="10"/>
      <c r="D13" s="10"/>
      <c r="E13" s="10"/>
      <c r="F13" s="10"/>
      <c r="G13" s="11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 t="str">
        <f aca="true">IF(OR(H13="",D13=""),"",IF(H13&lt;=IFERROR(VLOOKUP(CONCATENATE(D13,YEAR(TODAY())-YEAR(C13),"lin5m"),_viitearvot!$I$2:$M$205,2,FALSE()),99),5,IF(H13&lt;=IFERROR(VLOOKUP(CONCATENATE(D13,YEAR(TODAY())-YEAR(C13),"lin5m"),_viitearvot!$I$2:$M$205,3,FALSE()),99),4,IF(H13&lt;=IFERROR(VLOOKUP(CONCATENATE(D13,YEAR(TODAY())-YEAR(C13),"lin5m"),_viitearvot!$I$2:$M$205,4,FALSE()),99),3,IF(H13&lt;=IFERROR(VLOOKUP(CONCATENATE(D13,YEAR(TODAY())-YEAR(C13),"lin5m"),_viitearvot!$I$2:$M$205,5,FALSE()),99),2,1)))))</f>
        <v/>
      </c>
      <c r="T13" s="13" t="str">
        <f aca="true">IF(OR(I13="",D13=""),"",IF(I13&lt;=IFERROR(VLOOKUP(CONCATENATE(D13,YEAR(TODAY())-YEAR(C13),"lin10m"),_viitearvot!$I$2:$M$205,2,FALSE()),99),5,IF(I13&lt;=IFERROR(VLOOKUP(CONCATENATE(D13,YEAR(TODAY())-YEAR(C13),"lin10m"),_viitearvot!$I$2:$M$205,3,FALSE()),99),4,IF(I13&lt;=IFERROR(VLOOKUP(CONCATENATE(D13,YEAR(TODAY())-YEAR(C13),"lin10m"),_viitearvot!$I$2:$M$205,4,FALSE()),99),3,IF(I13&lt;=IFERROR(VLOOKUP(CONCATENATE(D13,YEAR(TODAY())-YEAR(C13),"lin10m"),_viitearvot!$I$2:$M$205,5,FALSE()),99),2,1)))))</f>
        <v/>
      </c>
      <c r="U13" s="13" t="str">
        <f aca="true">IF(OR(J13="",D13=""),"",IF(J13&lt;=IFERROR(VLOOKUP(CONCATENATE(D13,YEAR(TODAY())-YEAR(C13),"lin20m"),_viitearvot!$I$2:$M$205,2,FALSE()),99),5,IF(J13&lt;=IFERROR(VLOOKUP(CONCATENATE(D13,YEAR(TODAY())-YEAR(C13),"lin20m"),_viitearvot!$I$2:$M$205,3,FALSE()),99),4,IF(J13&lt;=IFERROR(VLOOKUP(CONCATENATE(D13,YEAR(TODAY())-YEAR(C13),"lin20m"),_viitearvot!$I$2:$M$205,4,FALSE()),99),3,IF(J13&lt;=IFERROR(VLOOKUP(CONCATENATE(D13,YEAR(TODAY())-YEAR(C13),"lin20m"),_viitearvot!$I$2:$M$205,5,FALSE()),99),2,1)))))</f>
        <v/>
      </c>
      <c r="V13" s="13" t="str">
        <f aca="true">IF(OR(K13="",D13=""),"",IF(K13&lt;=IFERROR(VLOOKUP(CONCATENATE(D13,YEAR(TODAY())-YEAR(C13),"lin30m"),_viitearvot!$I$2:$M$205,2,FALSE()),99),5,IF(K13&lt;=IFERROR(VLOOKUP(CONCATENATE(D13,YEAR(TODAY())-YEAR(C13),"lin30m"),_viitearvot!$I$2:$M$205,3,FALSE()),99),4,IF(K13&lt;=IFERROR(VLOOKUP(CONCATENATE(D13,YEAR(TODAY())-YEAR(C13),"lin30m"),_viitearvot!$I$2:$M$205,4,FALSE()),99),3,IF(K13&lt;=IFERROR(VLOOKUP(CONCATENATE(D13,YEAR(TODAY())-YEAR(C13),"lin30m"),_viitearvot!$I$2:$M$205,5,FALSE()),99),2,1)))))</f>
        <v/>
      </c>
      <c r="W13" s="13" t="str">
        <f aca="true">IF(OR(L13="",D13=""),"",IF(L13&lt;=IFERROR(VLOOKUP(CONCATENATE(D13,YEAR(TODAY())-YEAR(C13),"kasirata"),_viitearvot!$I$2:$M$205,2,FALSE()),99),5,IF(L13&lt;=IFERROR(VLOOKUP(CONCATENATE(D13,YEAR(TODAY())-YEAR(C13),"kasirata"),_viitearvot!$I$2:$M$205,3,FALSE()),99),4,IF(L13&lt;=IFERROR(VLOOKUP(CONCATENATE(D13,YEAR(TODAY())-YEAR(C13),"kasirata"),_viitearvot!$I$2:$M$205,4,FALSE()),99),3,IF(L13&lt;=IFERROR(VLOOKUP(CONCATENATE(D13,YEAR(TODAY())-YEAR(C13),"kasirata"),_viitearvot!$I$2:$M$205,5,FALSE()),99),2,1)))))</f>
        <v/>
      </c>
      <c r="X13" s="13" t="str">
        <f aca="true">IF(OR(M13="",D13=""),"",IF(M13&lt;=IFERROR(VLOOKUP(CONCATENATE(D13,YEAR(TODAY())-YEAR(C13),"smjuoksu"),_viitearvot!$I$2:$M$205,2,FALSE()),99),5,IF(M13&lt;=IFERROR(VLOOKUP(CONCATENATE(D13,YEAR(TODAY())-YEAR(C13),"smjuoksu"),_viitearvot!$I$2:$M$205,3,FALSE()),99),4,IF(M13&lt;=IFERROR(VLOOKUP(CONCATENATE(D13,YEAR(TODAY())-YEAR(C13),"smjuoksu"),_viitearvot!$I$2:$M$205,4,FALSE()),99),3,IF(M13&lt;=IFERROR(VLOOKUP(CONCATENATE(D13,YEAR(TODAY())-YEAR(C13),"smjuoksu"),_viitearvot!$I$2:$M$205,5,FALSE()),99),2,1)))))</f>
        <v/>
      </c>
      <c r="Y13" s="13" t="str">
        <f aca="true">IF(OR(N13="",D13=""),"",IF(N13&lt;=IFERROR(VLOOKUP(CONCATENATE(D13,YEAR(TODAY())-YEAR(C13),"smpallo"),_viitearvot!$I$2:$M$205,2,FALSE()),99),5,IF(N13&lt;=IFERROR(VLOOKUP(CONCATENATE(D13,YEAR(TODAY())-YEAR(C13),"smpallo"),_viitearvot!$I$2:$M$205,3,FALSE()),99),4,IF(N13&lt;=IFERROR(VLOOKUP(CONCATENATE(D13,YEAR(TODAY())-YEAR(C13),"smpallo"),_viitearvot!$I$2:$M$205,4,FALSE()),99),3,IF(N13&lt;=IFERROR(VLOOKUP(CONCATENATE(D13,YEAR(TODAY())-YEAR(C13),"smpallo"),_viitearvot!$I$2:$M$205,5,FALSE()),99),2,1)))))</f>
        <v/>
      </c>
      <c r="Z13" s="13" t="str">
        <f aca="true">IF(OR(O13="",D13=""),"",IF(O13&gt;=IFERROR(VLOOKUP(CONCATENATE(D13,YEAR(TODAY())-YEAR(C13),"cmj"),_viitearvot!$I$2:$M$205,2,FALSE()),0),5,IF(O13&gt;=IFERROR(VLOOKUP(CONCATENATE(D13,YEAR(TODAY())-YEAR(C13),"cmj"),_viitearvot!$I$2:$M$205,3,FALSE()),0),4,IF(O13&gt;=IFERROR(VLOOKUP(CONCATENATE(D13,YEAR(TODAY())-YEAR(C13),"cmj"),_viitearvot!$I$2:$M$205,4,FALSE()),0),3,IF(O13&gt;=IFERROR(VLOOKUP(CONCATENATE(D13,YEAR(TODAY())-YEAR(C13),"cmj"),_viitearvot!$I$2:$M$205,5,FALSE()),0),2,1)))))</f>
        <v/>
      </c>
      <c r="AA13" s="13" t="str">
        <f aca="true">IF(OR(P13="",D13=""),"",IF(P13&gt;=IFERROR(VLOOKUP(CONCATENATE(D13,YEAR(TODAY())-YEAR(C13),"bronco"),_viitearvot!$I$2:$M$205,2,FALSE()),0),5,IF(P13&gt;=IFERROR(VLOOKUP(CONCATENATE(D13,YEAR(TODAY())-YEAR(C13),"bronco"),_viitearvot!$I$2:$M$205,3,FALSE()),0),4,IF(P13&gt;=IFERROR(VLOOKUP(CONCATENATE(D13,YEAR(TODAY())-YEAR(C13),"bronco"),_viitearvot!$I$2:$M$205,4,FALSE()),0),3,IF(P13&gt;=IFERROR(VLOOKUP(CONCATENATE(D13,YEAR(TODAY())-YEAR(C13),"bronco"),_viitearvot!$I$2:$M$205,5,FALSE()),0),2,1)))))</f>
        <v/>
      </c>
      <c r="AB13" s="11"/>
      <c r="AC13" s="14"/>
      <c r="AD13" s="15" t="str">
        <f aca="false">IF(OR(AC13="",H13=""),"",(IF(D13="P",IF(H13&lt;=IFERROR(VLOOKUP(CONCATENATE("P",ROUND(AC13,0),"lin5m"),_viitearvot!$A:$H,4,FALSE()),99),5,IF(H13&lt;=IFERROR(VLOOKUP(CONCATENATE("P",ROUND(AC13,0),"lin5m"),_viitearvot!$A:$H,5,FALSE()),99),4,IF(H13&lt;=IFERROR(VLOOKUP(CONCATENATE("P",ROUND(AC13,0),"lin5m"),_viitearvot!$A:$H,6,FALSE()),99),3,IF(H13&lt;=IFERROR(VLOOKUP(CONCATENATE("P",ROUND(AC13,0),"lin5m"),_viitearvot!$A:$H,7,FALSE()),99),2,1)))),IF(H13&lt;=IFERROR(VLOOKUP(CONCATENATE("T",ROUND(AC13,0),"lin5m"),_viitearvot!$A:$H,4,FALSE()),99),5,IF(H13&lt;=IFERROR(VLOOKUP(CONCATENATE("T",ROUND(AC13,0),"lin5m"),_viitearvot!$A:$H,5,FALSE()),99),4,IF(H13&lt;=IFERROR(VLOOKUP(CONCATENATE("T",ROUND(AC13,0),"lin5m"),_viitearvot!$A:$H,6,FALSE()),99),3,IF(H13&lt;=IFERROR(VLOOKUP(CONCATENATE("T",ROUND(AC13,0),"lin5m"),_viitearvot!$A:$H,7,FALSE()),99),2,1)))))-S13))</f>
        <v/>
      </c>
    </row>
    <row r="14" customFormat="false" ht="15" hidden="false" customHeight="true" outlineLevel="0" collapsed="false">
      <c r="A14" s="10"/>
      <c r="B14" s="10"/>
      <c r="C14" s="10"/>
      <c r="D14" s="10"/>
      <c r="E14" s="10"/>
      <c r="F14" s="10"/>
      <c r="G14" s="11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6" t="str">
        <f aca="true">IF(OR(H14="",D14=""),"",IF(H14&lt;=IFERROR(VLOOKUP(CONCATENATE(D14,YEAR(TODAY())-YEAR(C14),"lin5m"),_viitearvot!$I$2:$M$205,2,FALSE()),99),5,IF(H14&lt;=IFERROR(VLOOKUP(CONCATENATE(D14,YEAR(TODAY())-YEAR(C14),"lin5m"),_viitearvot!$I$2:$M$205,3,FALSE()),99),4,IF(H14&lt;=IFERROR(VLOOKUP(CONCATENATE(D14,YEAR(TODAY())-YEAR(C14),"lin5m"),_viitearvot!$I$2:$M$205,4,FALSE()),99),3,IF(H14&lt;=IFERROR(VLOOKUP(CONCATENATE(D14,YEAR(TODAY())-YEAR(C14),"lin5m"),_viitearvot!$I$2:$M$205,5,FALSE()),99),2,1)))))</f>
        <v/>
      </c>
      <c r="T14" s="16" t="str">
        <f aca="true">IF(OR(I14="",D14=""),"",IF(I14&lt;=IFERROR(VLOOKUP(CONCATENATE(D14,YEAR(TODAY())-YEAR(C14),"lin10m"),_viitearvot!$I$2:$M$205,2,FALSE()),99),5,IF(I14&lt;=IFERROR(VLOOKUP(CONCATENATE(D14,YEAR(TODAY())-YEAR(C14),"lin10m"),_viitearvot!$I$2:$M$205,3,FALSE()),99),4,IF(I14&lt;=IFERROR(VLOOKUP(CONCATENATE(D14,YEAR(TODAY())-YEAR(C14),"lin10m"),_viitearvot!$I$2:$M$205,4,FALSE()),99),3,IF(I14&lt;=IFERROR(VLOOKUP(CONCATENATE(D14,YEAR(TODAY())-YEAR(C14),"lin10m"),_viitearvot!$I$2:$M$205,5,FALSE()),99),2,1)))))</f>
        <v/>
      </c>
      <c r="U14" s="16" t="str">
        <f aca="true">IF(OR(J14="",D14=""),"",IF(J14&lt;=IFERROR(VLOOKUP(CONCATENATE(D14,YEAR(TODAY())-YEAR(C14),"lin20m"),_viitearvot!$I$2:$M$205,2,FALSE()),99),5,IF(J14&lt;=IFERROR(VLOOKUP(CONCATENATE(D14,YEAR(TODAY())-YEAR(C14),"lin20m"),_viitearvot!$I$2:$M$205,3,FALSE()),99),4,IF(J14&lt;=IFERROR(VLOOKUP(CONCATENATE(D14,YEAR(TODAY())-YEAR(C14),"lin20m"),_viitearvot!$I$2:$M$205,4,FALSE()),99),3,IF(J14&lt;=IFERROR(VLOOKUP(CONCATENATE(D14,YEAR(TODAY())-YEAR(C14),"lin20m"),_viitearvot!$I$2:$M$205,5,FALSE()),99),2,1)))))</f>
        <v/>
      </c>
      <c r="V14" s="16" t="str">
        <f aca="true">IF(OR(K14="",D14=""),"",IF(K14&lt;=IFERROR(VLOOKUP(CONCATENATE(D14,YEAR(TODAY())-YEAR(C14),"lin30m"),_viitearvot!$I$2:$M$205,2,FALSE()),99),5,IF(K14&lt;=IFERROR(VLOOKUP(CONCATENATE(D14,YEAR(TODAY())-YEAR(C14),"lin30m"),_viitearvot!$I$2:$M$205,3,FALSE()),99),4,IF(K14&lt;=IFERROR(VLOOKUP(CONCATENATE(D14,YEAR(TODAY())-YEAR(C14),"lin30m"),_viitearvot!$I$2:$M$205,4,FALSE()),99),3,IF(K14&lt;=IFERROR(VLOOKUP(CONCATENATE(D14,YEAR(TODAY())-YEAR(C14),"lin30m"),_viitearvot!$I$2:$M$205,5,FALSE()),99),2,1)))))</f>
        <v/>
      </c>
      <c r="W14" s="16" t="str">
        <f aca="true">IF(OR(L14="",D14=""),"",IF(L14&lt;=IFERROR(VLOOKUP(CONCATENATE(D14,YEAR(TODAY())-YEAR(C14),"kasirata"),_viitearvot!$I$2:$M$205,2,FALSE()),99),5,IF(L14&lt;=IFERROR(VLOOKUP(CONCATENATE(D14,YEAR(TODAY())-YEAR(C14),"kasirata"),_viitearvot!$I$2:$M$205,3,FALSE()),99),4,IF(L14&lt;=IFERROR(VLOOKUP(CONCATENATE(D14,YEAR(TODAY())-YEAR(C14),"kasirata"),_viitearvot!$I$2:$M$205,4,FALSE()),99),3,IF(L14&lt;=IFERROR(VLOOKUP(CONCATENATE(D14,YEAR(TODAY())-YEAR(C14),"kasirata"),_viitearvot!$I$2:$M$205,5,FALSE()),99),2,1)))))</f>
        <v/>
      </c>
      <c r="X14" s="16" t="str">
        <f aca="true">IF(OR(M14="",D14=""),"",IF(M14&lt;=IFERROR(VLOOKUP(CONCATENATE(D14,YEAR(TODAY())-YEAR(C14),"smjuoksu"),_viitearvot!$I$2:$M$205,2,FALSE()),99),5,IF(M14&lt;=IFERROR(VLOOKUP(CONCATENATE(D14,YEAR(TODAY())-YEAR(C14),"smjuoksu"),_viitearvot!$I$2:$M$205,3,FALSE()),99),4,IF(M14&lt;=IFERROR(VLOOKUP(CONCATENATE(D14,YEAR(TODAY())-YEAR(C14),"smjuoksu"),_viitearvot!$I$2:$M$205,4,FALSE()),99),3,IF(M14&lt;=IFERROR(VLOOKUP(CONCATENATE(D14,YEAR(TODAY())-YEAR(C14),"smjuoksu"),_viitearvot!$I$2:$M$205,5,FALSE()),99),2,1)))))</f>
        <v/>
      </c>
      <c r="Y14" s="16" t="str">
        <f aca="true">IF(OR(N14="",D14=""),"",IF(N14&lt;=IFERROR(VLOOKUP(CONCATENATE(D14,YEAR(TODAY())-YEAR(C14),"smpallo"),_viitearvot!$I$2:$M$205,2,FALSE()),99),5,IF(N14&lt;=IFERROR(VLOOKUP(CONCATENATE(D14,YEAR(TODAY())-YEAR(C14),"smpallo"),_viitearvot!$I$2:$M$205,3,FALSE()),99),4,IF(N14&lt;=IFERROR(VLOOKUP(CONCATENATE(D14,YEAR(TODAY())-YEAR(C14),"smpallo"),_viitearvot!$I$2:$M$205,4,FALSE()),99),3,IF(N14&lt;=IFERROR(VLOOKUP(CONCATENATE(D14,YEAR(TODAY())-YEAR(C14),"smpallo"),_viitearvot!$I$2:$M$205,5,FALSE()),99),2,1)))))</f>
        <v/>
      </c>
      <c r="Z14" s="16" t="str">
        <f aca="true">IF(OR(O14="",D14=""),"",IF(O14&gt;=IFERROR(VLOOKUP(CONCATENATE(D14,YEAR(TODAY())-YEAR(C14),"cmj"),_viitearvot!$I$2:$M$205,2,FALSE()),0),5,IF(O14&gt;=IFERROR(VLOOKUP(CONCATENATE(D14,YEAR(TODAY())-YEAR(C14),"cmj"),_viitearvot!$I$2:$M$205,3,FALSE()),0),4,IF(O14&gt;=IFERROR(VLOOKUP(CONCATENATE(D14,YEAR(TODAY())-YEAR(C14),"cmj"),_viitearvot!$I$2:$M$205,4,FALSE()),0),3,IF(O14&gt;=IFERROR(VLOOKUP(CONCATENATE(D14,YEAR(TODAY())-YEAR(C14),"cmj"),_viitearvot!$I$2:$M$205,5,FALSE()),0),2,1)))))</f>
        <v/>
      </c>
      <c r="AA14" s="16" t="str">
        <f aca="true">IF(OR(P14="",D14=""),"",IF(P14&gt;=IFERROR(VLOOKUP(CONCATENATE(D14,YEAR(TODAY())-YEAR(C14),"bronco"),_viitearvot!$I$2:$M$205,2,FALSE()),0),5,IF(P14&gt;=IFERROR(VLOOKUP(CONCATENATE(D14,YEAR(TODAY())-YEAR(C14),"bronco"),_viitearvot!$I$2:$M$205,3,FALSE()),0),4,IF(P14&gt;=IFERROR(VLOOKUP(CONCATENATE(D14,YEAR(TODAY())-YEAR(C14),"bronco"),_viitearvot!$I$2:$M$205,4,FALSE()),0),3,IF(P14&gt;=IFERROR(VLOOKUP(CONCATENATE(D14,YEAR(TODAY())-YEAR(C14),"bronco"),_viitearvot!$I$2:$M$205,5,FALSE()),0),2,1)))))</f>
        <v/>
      </c>
      <c r="AB14" s="11"/>
      <c r="AC14" s="17"/>
      <c r="AD14" s="18" t="str">
        <f aca="false">IF(OR(AC14="",H14=""),"",(IF(D14="P",IF(H14&lt;=IFERROR(VLOOKUP(CONCATENATE("P",ROUND(AC14,0),"lin5m"),_viitearvot!$A:$H,4,FALSE()),99),5,IF(H14&lt;=IFERROR(VLOOKUP(CONCATENATE("P",ROUND(AC14,0),"lin5m"),_viitearvot!$A:$H,5,FALSE()),99),4,IF(H14&lt;=IFERROR(VLOOKUP(CONCATENATE("P",ROUND(AC14,0),"lin5m"),_viitearvot!$A:$H,6,FALSE()),99),3,IF(H14&lt;=IFERROR(VLOOKUP(CONCATENATE("P",ROUND(AC14,0),"lin5m"),_viitearvot!$A:$H,7,FALSE()),99),2,1)))),IF(H14&lt;=IFERROR(VLOOKUP(CONCATENATE("T",ROUND(AC14,0),"lin5m"),_viitearvot!$A:$H,4,FALSE()),99),5,IF(H14&lt;=IFERROR(VLOOKUP(CONCATENATE("T",ROUND(AC14,0),"lin5m"),_viitearvot!$A:$H,5,FALSE()),99),4,IF(H14&lt;=IFERROR(VLOOKUP(CONCATENATE("T",ROUND(AC14,0),"lin5m"),_viitearvot!$A:$H,6,FALSE()),99),3,IF(H14&lt;=IFERROR(VLOOKUP(CONCATENATE("T",ROUND(AC14,0),"lin5m"),_viitearvot!$A:$H,7,FALSE()),99),2,1)))))-S14))</f>
        <v/>
      </c>
    </row>
    <row r="15" customFormat="false" ht="15" hidden="false" customHeight="true" outlineLevel="0" collapsed="false">
      <c r="A15" s="10"/>
      <c r="B15" s="10"/>
      <c r="C15" s="10"/>
      <c r="D15" s="10"/>
      <c r="E15" s="10"/>
      <c r="F15" s="10"/>
      <c r="G15" s="11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 t="str">
        <f aca="true">IF(OR(H15="",D15=""),"",IF(H15&lt;=IFERROR(VLOOKUP(CONCATENATE(D15,YEAR(TODAY())-YEAR(C15),"lin5m"),_viitearvot!$I$2:$M$205,2,FALSE()),99),5,IF(H15&lt;=IFERROR(VLOOKUP(CONCATENATE(D15,YEAR(TODAY())-YEAR(C15),"lin5m"),_viitearvot!$I$2:$M$205,3,FALSE()),99),4,IF(H15&lt;=IFERROR(VLOOKUP(CONCATENATE(D15,YEAR(TODAY())-YEAR(C15),"lin5m"),_viitearvot!$I$2:$M$205,4,FALSE()),99),3,IF(H15&lt;=IFERROR(VLOOKUP(CONCATENATE(D15,YEAR(TODAY())-YEAR(C15),"lin5m"),_viitearvot!$I$2:$M$205,5,FALSE()),99),2,1)))))</f>
        <v/>
      </c>
      <c r="T15" s="13" t="str">
        <f aca="true">IF(OR(I15="",D15=""),"",IF(I15&lt;=IFERROR(VLOOKUP(CONCATENATE(D15,YEAR(TODAY())-YEAR(C15),"lin10m"),_viitearvot!$I$2:$M$205,2,FALSE()),99),5,IF(I15&lt;=IFERROR(VLOOKUP(CONCATENATE(D15,YEAR(TODAY())-YEAR(C15),"lin10m"),_viitearvot!$I$2:$M$205,3,FALSE()),99),4,IF(I15&lt;=IFERROR(VLOOKUP(CONCATENATE(D15,YEAR(TODAY())-YEAR(C15),"lin10m"),_viitearvot!$I$2:$M$205,4,FALSE()),99),3,IF(I15&lt;=IFERROR(VLOOKUP(CONCATENATE(D15,YEAR(TODAY())-YEAR(C15),"lin10m"),_viitearvot!$I$2:$M$205,5,FALSE()),99),2,1)))))</f>
        <v/>
      </c>
      <c r="U15" s="13" t="str">
        <f aca="true">IF(OR(J15="",D15=""),"",IF(J15&lt;=IFERROR(VLOOKUP(CONCATENATE(D15,YEAR(TODAY())-YEAR(C15),"lin20m"),_viitearvot!$I$2:$M$205,2,FALSE()),99),5,IF(J15&lt;=IFERROR(VLOOKUP(CONCATENATE(D15,YEAR(TODAY())-YEAR(C15),"lin20m"),_viitearvot!$I$2:$M$205,3,FALSE()),99),4,IF(J15&lt;=IFERROR(VLOOKUP(CONCATENATE(D15,YEAR(TODAY())-YEAR(C15),"lin20m"),_viitearvot!$I$2:$M$205,4,FALSE()),99),3,IF(J15&lt;=IFERROR(VLOOKUP(CONCATENATE(D15,YEAR(TODAY())-YEAR(C15),"lin20m"),_viitearvot!$I$2:$M$205,5,FALSE()),99),2,1)))))</f>
        <v/>
      </c>
      <c r="V15" s="13" t="str">
        <f aca="true">IF(OR(K15="",D15=""),"",IF(K15&lt;=IFERROR(VLOOKUP(CONCATENATE(D15,YEAR(TODAY())-YEAR(C15),"lin30m"),_viitearvot!$I$2:$M$205,2,FALSE()),99),5,IF(K15&lt;=IFERROR(VLOOKUP(CONCATENATE(D15,YEAR(TODAY())-YEAR(C15),"lin30m"),_viitearvot!$I$2:$M$205,3,FALSE()),99),4,IF(K15&lt;=IFERROR(VLOOKUP(CONCATENATE(D15,YEAR(TODAY())-YEAR(C15),"lin30m"),_viitearvot!$I$2:$M$205,4,FALSE()),99),3,IF(K15&lt;=IFERROR(VLOOKUP(CONCATENATE(D15,YEAR(TODAY())-YEAR(C15),"lin30m"),_viitearvot!$I$2:$M$205,5,FALSE()),99),2,1)))))</f>
        <v/>
      </c>
      <c r="W15" s="13" t="str">
        <f aca="true">IF(OR(L15="",D15=""),"",IF(L15&lt;=IFERROR(VLOOKUP(CONCATENATE(D15,YEAR(TODAY())-YEAR(C15),"kasirata"),_viitearvot!$I$2:$M$205,2,FALSE()),99),5,IF(L15&lt;=IFERROR(VLOOKUP(CONCATENATE(D15,YEAR(TODAY())-YEAR(C15),"kasirata"),_viitearvot!$I$2:$M$205,3,FALSE()),99),4,IF(L15&lt;=IFERROR(VLOOKUP(CONCATENATE(D15,YEAR(TODAY())-YEAR(C15),"kasirata"),_viitearvot!$I$2:$M$205,4,FALSE()),99),3,IF(L15&lt;=IFERROR(VLOOKUP(CONCATENATE(D15,YEAR(TODAY())-YEAR(C15),"kasirata"),_viitearvot!$I$2:$M$205,5,FALSE()),99),2,1)))))</f>
        <v/>
      </c>
      <c r="X15" s="13" t="str">
        <f aca="true">IF(OR(M15="",D15=""),"",IF(M15&lt;=IFERROR(VLOOKUP(CONCATENATE(D15,YEAR(TODAY())-YEAR(C15),"smjuoksu"),_viitearvot!$I$2:$M$205,2,FALSE()),99),5,IF(M15&lt;=IFERROR(VLOOKUP(CONCATENATE(D15,YEAR(TODAY())-YEAR(C15),"smjuoksu"),_viitearvot!$I$2:$M$205,3,FALSE()),99),4,IF(M15&lt;=IFERROR(VLOOKUP(CONCATENATE(D15,YEAR(TODAY())-YEAR(C15),"smjuoksu"),_viitearvot!$I$2:$M$205,4,FALSE()),99),3,IF(M15&lt;=IFERROR(VLOOKUP(CONCATENATE(D15,YEAR(TODAY())-YEAR(C15),"smjuoksu"),_viitearvot!$I$2:$M$205,5,FALSE()),99),2,1)))))</f>
        <v/>
      </c>
      <c r="Y15" s="13" t="str">
        <f aca="true">IF(OR(N15="",D15=""),"",IF(N15&lt;=IFERROR(VLOOKUP(CONCATENATE(D15,YEAR(TODAY())-YEAR(C15),"smpallo"),_viitearvot!$I$2:$M$205,2,FALSE()),99),5,IF(N15&lt;=IFERROR(VLOOKUP(CONCATENATE(D15,YEAR(TODAY())-YEAR(C15),"smpallo"),_viitearvot!$I$2:$M$205,3,FALSE()),99),4,IF(N15&lt;=IFERROR(VLOOKUP(CONCATENATE(D15,YEAR(TODAY())-YEAR(C15),"smpallo"),_viitearvot!$I$2:$M$205,4,FALSE()),99),3,IF(N15&lt;=IFERROR(VLOOKUP(CONCATENATE(D15,YEAR(TODAY())-YEAR(C15),"smpallo"),_viitearvot!$I$2:$M$205,5,FALSE()),99),2,1)))))</f>
        <v/>
      </c>
      <c r="Z15" s="13" t="str">
        <f aca="true">IF(OR(O15="",D15=""),"",IF(O15&gt;=IFERROR(VLOOKUP(CONCATENATE(D15,YEAR(TODAY())-YEAR(C15),"cmj"),_viitearvot!$I$2:$M$205,2,FALSE()),0),5,IF(O15&gt;=IFERROR(VLOOKUP(CONCATENATE(D15,YEAR(TODAY())-YEAR(C15),"cmj"),_viitearvot!$I$2:$M$205,3,FALSE()),0),4,IF(O15&gt;=IFERROR(VLOOKUP(CONCATENATE(D15,YEAR(TODAY())-YEAR(C15),"cmj"),_viitearvot!$I$2:$M$205,4,FALSE()),0),3,IF(O15&gt;=IFERROR(VLOOKUP(CONCATENATE(D15,YEAR(TODAY())-YEAR(C15),"cmj"),_viitearvot!$I$2:$M$205,5,FALSE()),0),2,1)))))</f>
        <v/>
      </c>
      <c r="AA15" s="13" t="str">
        <f aca="true">IF(OR(P15="",D15=""),"",IF(P15&gt;=IFERROR(VLOOKUP(CONCATENATE(D15,YEAR(TODAY())-YEAR(C15),"bronco"),_viitearvot!$I$2:$M$205,2,FALSE()),0),5,IF(P15&gt;=IFERROR(VLOOKUP(CONCATENATE(D15,YEAR(TODAY())-YEAR(C15),"bronco"),_viitearvot!$I$2:$M$205,3,FALSE()),0),4,IF(P15&gt;=IFERROR(VLOOKUP(CONCATENATE(D15,YEAR(TODAY())-YEAR(C15),"bronco"),_viitearvot!$I$2:$M$205,4,FALSE()),0),3,IF(P15&gt;=IFERROR(VLOOKUP(CONCATENATE(D15,YEAR(TODAY())-YEAR(C15),"bronco"),_viitearvot!$I$2:$M$205,5,FALSE()),0),2,1)))))</f>
        <v/>
      </c>
      <c r="AB15" s="11"/>
      <c r="AC15" s="14"/>
      <c r="AD15" s="15" t="str">
        <f aca="false">IF(OR(AC15="",H15=""),"",(IF(D15="P",IF(H15&lt;=IFERROR(VLOOKUP(CONCATENATE("P",ROUND(AC15,0),"lin5m"),_viitearvot!$A:$H,4,FALSE()),99),5,IF(H15&lt;=IFERROR(VLOOKUP(CONCATENATE("P",ROUND(AC15,0),"lin5m"),_viitearvot!$A:$H,5,FALSE()),99),4,IF(H15&lt;=IFERROR(VLOOKUP(CONCATENATE("P",ROUND(AC15,0),"lin5m"),_viitearvot!$A:$H,6,FALSE()),99),3,IF(H15&lt;=IFERROR(VLOOKUP(CONCATENATE("P",ROUND(AC15,0),"lin5m"),_viitearvot!$A:$H,7,FALSE()),99),2,1)))),IF(H15&lt;=IFERROR(VLOOKUP(CONCATENATE("T",ROUND(AC15,0),"lin5m"),_viitearvot!$A:$H,4,FALSE()),99),5,IF(H15&lt;=IFERROR(VLOOKUP(CONCATENATE("T",ROUND(AC15,0),"lin5m"),_viitearvot!$A:$H,5,FALSE()),99),4,IF(H15&lt;=IFERROR(VLOOKUP(CONCATENATE("T",ROUND(AC15,0),"lin5m"),_viitearvot!$A:$H,6,FALSE()),99),3,IF(H15&lt;=IFERROR(VLOOKUP(CONCATENATE("T",ROUND(AC15,0),"lin5m"),_viitearvot!$A:$H,7,FALSE()),99),2,1)))))-S15))</f>
        <v/>
      </c>
    </row>
    <row r="16" customFormat="false" ht="15" hidden="false" customHeight="true" outlineLevel="0" collapsed="false">
      <c r="A16" s="10"/>
      <c r="B16" s="10"/>
      <c r="C16" s="10"/>
      <c r="D16" s="10"/>
      <c r="E16" s="10"/>
      <c r="F16" s="10"/>
      <c r="G16" s="11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6" t="str">
        <f aca="true">IF(OR(H16="",D16=""),"",IF(H16&lt;=IFERROR(VLOOKUP(CONCATENATE(D16,YEAR(TODAY())-YEAR(C16),"lin5m"),_viitearvot!$I$2:$M$205,2,FALSE()),99),5,IF(H16&lt;=IFERROR(VLOOKUP(CONCATENATE(D16,YEAR(TODAY())-YEAR(C16),"lin5m"),_viitearvot!$I$2:$M$205,3,FALSE()),99),4,IF(H16&lt;=IFERROR(VLOOKUP(CONCATENATE(D16,YEAR(TODAY())-YEAR(C16),"lin5m"),_viitearvot!$I$2:$M$205,4,FALSE()),99),3,IF(H16&lt;=IFERROR(VLOOKUP(CONCATENATE(D16,YEAR(TODAY())-YEAR(C16),"lin5m"),_viitearvot!$I$2:$M$205,5,FALSE()),99),2,1)))))</f>
        <v/>
      </c>
      <c r="T16" s="16" t="str">
        <f aca="true">IF(OR(I16="",D16=""),"",IF(I16&lt;=IFERROR(VLOOKUP(CONCATENATE(D16,YEAR(TODAY())-YEAR(C16),"lin10m"),_viitearvot!$I$2:$M$205,2,FALSE()),99),5,IF(I16&lt;=IFERROR(VLOOKUP(CONCATENATE(D16,YEAR(TODAY())-YEAR(C16),"lin10m"),_viitearvot!$I$2:$M$205,3,FALSE()),99),4,IF(I16&lt;=IFERROR(VLOOKUP(CONCATENATE(D16,YEAR(TODAY())-YEAR(C16),"lin10m"),_viitearvot!$I$2:$M$205,4,FALSE()),99),3,IF(I16&lt;=IFERROR(VLOOKUP(CONCATENATE(D16,YEAR(TODAY())-YEAR(C16),"lin10m"),_viitearvot!$I$2:$M$205,5,FALSE()),99),2,1)))))</f>
        <v/>
      </c>
      <c r="U16" s="16" t="str">
        <f aca="true">IF(OR(J16="",D16=""),"",IF(J16&lt;=IFERROR(VLOOKUP(CONCATENATE(D16,YEAR(TODAY())-YEAR(C16),"lin20m"),_viitearvot!$I$2:$M$205,2,FALSE()),99),5,IF(J16&lt;=IFERROR(VLOOKUP(CONCATENATE(D16,YEAR(TODAY())-YEAR(C16),"lin20m"),_viitearvot!$I$2:$M$205,3,FALSE()),99),4,IF(J16&lt;=IFERROR(VLOOKUP(CONCATENATE(D16,YEAR(TODAY())-YEAR(C16),"lin20m"),_viitearvot!$I$2:$M$205,4,FALSE()),99),3,IF(J16&lt;=IFERROR(VLOOKUP(CONCATENATE(D16,YEAR(TODAY())-YEAR(C16),"lin20m"),_viitearvot!$I$2:$M$205,5,FALSE()),99),2,1)))))</f>
        <v/>
      </c>
      <c r="V16" s="16" t="str">
        <f aca="true">IF(OR(K16="",D16=""),"",IF(K16&lt;=IFERROR(VLOOKUP(CONCATENATE(D16,YEAR(TODAY())-YEAR(C16),"lin30m"),_viitearvot!$I$2:$M$205,2,FALSE()),99),5,IF(K16&lt;=IFERROR(VLOOKUP(CONCATENATE(D16,YEAR(TODAY())-YEAR(C16),"lin30m"),_viitearvot!$I$2:$M$205,3,FALSE()),99),4,IF(K16&lt;=IFERROR(VLOOKUP(CONCATENATE(D16,YEAR(TODAY())-YEAR(C16),"lin30m"),_viitearvot!$I$2:$M$205,4,FALSE()),99),3,IF(K16&lt;=IFERROR(VLOOKUP(CONCATENATE(D16,YEAR(TODAY())-YEAR(C16),"lin30m"),_viitearvot!$I$2:$M$205,5,FALSE()),99),2,1)))))</f>
        <v/>
      </c>
      <c r="W16" s="16" t="str">
        <f aca="true">IF(OR(L16="",D16=""),"",IF(L16&lt;=IFERROR(VLOOKUP(CONCATENATE(D16,YEAR(TODAY())-YEAR(C16),"kasirata"),_viitearvot!$I$2:$M$205,2,FALSE()),99),5,IF(L16&lt;=IFERROR(VLOOKUP(CONCATENATE(D16,YEAR(TODAY())-YEAR(C16),"kasirata"),_viitearvot!$I$2:$M$205,3,FALSE()),99),4,IF(L16&lt;=IFERROR(VLOOKUP(CONCATENATE(D16,YEAR(TODAY())-YEAR(C16),"kasirata"),_viitearvot!$I$2:$M$205,4,FALSE()),99),3,IF(L16&lt;=IFERROR(VLOOKUP(CONCATENATE(D16,YEAR(TODAY())-YEAR(C16),"kasirata"),_viitearvot!$I$2:$M$205,5,FALSE()),99),2,1)))))</f>
        <v/>
      </c>
      <c r="X16" s="16" t="str">
        <f aca="true">IF(OR(M16="",D16=""),"",IF(M16&lt;=IFERROR(VLOOKUP(CONCATENATE(D16,YEAR(TODAY())-YEAR(C16),"smjuoksu"),_viitearvot!$I$2:$M$205,2,FALSE()),99),5,IF(M16&lt;=IFERROR(VLOOKUP(CONCATENATE(D16,YEAR(TODAY())-YEAR(C16),"smjuoksu"),_viitearvot!$I$2:$M$205,3,FALSE()),99),4,IF(M16&lt;=IFERROR(VLOOKUP(CONCATENATE(D16,YEAR(TODAY())-YEAR(C16),"smjuoksu"),_viitearvot!$I$2:$M$205,4,FALSE()),99),3,IF(M16&lt;=IFERROR(VLOOKUP(CONCATENATE(D16,YEAR(TODAY())-YEAR(C16),"smjuoksu"),_viitearvot!$I$2:$M$205,5,FALSE()),99),2,1)))))</f>
        <v/>
      </c>
      <c r="Y16" s="16" t="str">
        <f aca="true">IF(OR(N16="",D16=""),"",IF(N16&lt;=IFERROR(VLOOKUP(CONCATENATE(D16,YEAR(TODAY())-YEAR(C16),"smpallo"),_viitearvot!$I$2:$M$205,2,FALSE()),99),5,IF(N16&lt;=IFERROR(VLOOKUP(CONCATENATE(D16,YEAR(TODAY())-YEAR(C16),"smpallo"),_viitearvot!$I$2:$M$205,3,FALSE()),99),4,IF(N16&lt;=IFERROR(VLOOKUP(CONCATENATE(D16,YEAR(TODAY())-YEAR(C16),"smpallo"),_viitearvot!$I$2:$M$205,4,FALSE()),99),3,IF(N16&lt;=IFERROR(VLOOKUP(CONCATENATE(D16,YEAR(TODAY())-YEAR(C16),"smpallo"),_viitearvot!$I$2:$M$205,5,FALSE()),99),2,1)))))</f>
        <v/>
      </c>
      <c r="Z16" s="16" t="str">
        <f aca="true">IF(OR(O16="",D16=""),"",IF(O16&gt;=IFERROR(VLOOKUP(CONCATENATE(D16,YEAR(TODAY())-YEAR(C16),"cmj"),_viitearvot!$I$2:$M$205,2,FALSE()),0),5,IF(O16&gt;=IFERROR(VLOOKUP(CONCATENATE(D16,YEAR(TODAY())-YEAR(C16),"cmj"),_viitearvot!$I$2:$M$205,3,FALSE()),0),4,IF(O16&gt;=IFERROR(VLOOKUP(CONCATENATE(D16,YEAR(TODAY())-YEAR(C16),"cmj"),_viitearvot!$I$2:$M$205,4,FALSE()),0),3,IF(O16&gt;=IFERROR(VLOOKUP(CONCATENATE(D16,YEAR(TODAY())-YEAR(C16),"cmj"),_viitearvot!$I$2:$M$205,5,FALSE()),0),2,1)))))</f>
        <v/>
      </c>
      <c r="AA16" s="16" t="str">
        <f aca="true">IF(OR(P16="",D16=""),"",IF(P16&gt;=IFERROR(VLOOKUP(CONCATENATE(D16,YEAR(TODAY())-YEAR(C16),"bronco"),_viitearvot!$I$2:$M$205,2,FALSE()),0),5,IF(P16&gt;=IFERROR(VLOOKUP(CONCATENATE(D16,YEAR(TODAY())-YEAR(C16),"bronco"),_viitearvot!$I$2:$M$205,3,FALSE()),0),4,IF(P16&gt;=IFERROR(VLOOKUP(CONCATENATE(D16,YEAR(TODAY())-YEAR(C16),"bronco"),_viitearvot!$I$2:$M$205,4,FALSE()),0),3,IF(P16&gt;=IFERROR(VLOOKUP(CONCATENATE(D16,YEAR(TODAY())-YEAR(C16),"bronco"),_viitearvot!$I$2:$M$205,5,FALSE()),0),2,1)))))</f>
        <v/>
      </c>
      <c r="AB16" s="11"/>
      <c r="AC16" s="17"/>
      <c r="AD16" s="18" t="str">
        <f aca="false">IF(OR(AC16="",H16=""),"",(IF(D16="P",IF(H16&lt;=IFERROR(VLOOKUP(CONCATENATE("P",ROUND(AC16,0),"lin5m"),_viitearvot!$A:$H,4,FALSE()),99),5,IF(H16&lt;=IFERROR(VLOOKUP(CONCATENATE("P",ROUND(AC16,0),"lin5m"),_viitearvot!$A:$H,5,FALSE()),99),4,IF(H16&lt;=IFERROR(VLOOKUP(CONCATENATE("P",ROUND(AC16,0),"lin5m"),_viitearvot!$A:$H,6,FALSE()),99),3,IF(H16&lt;=IFERROR(VLOOKUP(CONCATENATE("P",ROUND(AC16,0),"lin5m"),_viitearvot!$A:$H,7,FALSE()),99),2,1)))),IF(H16&lt;=IFERROR(VLOOKUP(CONCATENATE("T",ROUND(AC16,0),"lin5m"),_viitearvot!$A:$H,4,FALSE()),99),5,IF(H16&lt;=IFERROR(VLOOKUP(CONCATENATE("T",ROUND(AC16,0),"lin5m"),_viitearvot!$A:$H,5,FALSE()),99),4,IF(H16&lt;=IFERROR(VLOOKUP(CONCATENATE("T",ROUND(AC16,0),"lin5m"),_viitearvot!$A:$H,6,FALSE()),99),3,IF(H16&lt;=IFERROR(VLOOKUP(CONCATENATE("T",ROUND(AC16,0),"lin5m"),_viitearvot!$A:$H,7,FALSE()),99),2,1)))))-S16))</f>
        <v/>
      </c>
    </row>
    <row r="17" customFormat="false" ht="15" hidden="false" customHeight="true" outlineLevel="0" collapsed="false">
      <c r="A17" s="10"/>
      <c r="B17" s="10"/>
      <c r="C17" s="10"/>
      <c r="D17" s="10"/>
      <c r="E17" s="10"/>
      <c r="F17" s="10"/>
      <c r="G17" s="11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 t="str">
        <f aca="true">IF(OR(H17="",D17=""),"",IF(H17&lt;=IFERROR(VLOOKUP(CONCATENATE(D17,YEAR(TODAY())-YEAR(C17),"lin5m"),_viitearvot!$I$2:$M$205,2,FALSE()),99),5,IF(H17&lt;=IFERROR(VLOOKUP(CONCATENATE(D17,YEAR(TODAY())-YEAR(C17),"lin5m"),_viitearvot!$I$2:$M$205,3,FALSE()),99),4,IF(H17&lt;=IFERROR(VLOOKUP(CONCATENATE(D17,YEAR(TODAY())-YEAR(C17),"lin5m"),_viitearvot!$I$2:$M$205,4,FALSE()),99),3,IF(H17&lt;=IFERROR(VLOOKUP(CONCATENATE(D17,YEAR(TODAY())-YEAR(C17),"lin5m"),_viitearvot!$I$2:$M$205,5,FALSE()),99),2,1)))))</f>
        <v/>
      </c>
      <c r="T17" s="13" t="str">
        <f aca="true">IF(OR(I17="",D17=""),"",IF(I17&lt;=IFERROR(VLOOKUP(CONCATENATE(D17,YEAR(TODAY())-YEAR(C17),"lin10m"),_viitearvot!$I$2:$M$205,2,FALSE()),99),5,IF(I17&lt;=IFERROR(VLOOKUP(CONCATENATE(D17,YEAR(TODAY())-YEAR(C17),"lin10m"),_viitearvot!$I$2:$M$205,3,FALSE()),99),4,IF(I17&lt;=IFERROR(VLOOKUP(CONCATENATE(D17,YEAR(TODAY())-YEAR(C17),"lin10m"),_viitearvot!$I$2:$M$205,4,FALSE()),99),3,IF(I17&lt;=IFERROR(VLOOKUP(CONCATENATE(D17,YEAR(TODAY())-YEAR(C17),"lin10m"),_viitearvot!$I$2:$M$205,5,FALSE()),99),2,1)))))</f>
        <v/>
      </c>
      <c r="U17" s="13" t="str">
        <f aca="true">IF(OR(J17="",D17=""),"",IF(J17&lt;=IFERROR(VLOOKUP(CONCATENATE(D17,YEAR(TODAY())-YEAR(C17),"lin20m"),_viitearvot!$I$2:$M$205,2,FALSE()),99),5,IF(J17&lt;=IFERROR(VLOOKUP(CONCATENATE(D17,YEAR(TODAY())-YEAR(C17),"lin20m"),_viitearvot!$I$2:$M$205,3,FALSE()),99),4,IF(J17&lt;=IFERROR(VLOOKUP(CONCATENATE(D17,YEAR(TODAY())-YEAR(C17),"lin20m"),_viitearvot!$I$2:$M$205,4,FALSE()),99),3,IF(J17&lt;=IFERROR(VLOOKUP(CONCATENATE(D17,YEAR(TODAY())-YEAR(C17),"lin20m"),_viitearvot!$I$2:$M$205,5,FALSE()),99),2,1)))))</f>
        <v/>
      </c>
      <c r="V17" s="13" t="str">
        <f aca="true">IF(OR(K17="",D17=""),"",IF(K17&lt;=IFERROR(VLOOKUP(CONCATENATE(D17,YEAR(TODAY())-YEAR(C17),"lin30m"),_viitearvot!$I$2:$M$205,2,FALSE()),99),5,IF(K17&lt;=IFERROR(VLOOKUP(CONCATENATE(D17,YEAR(TODAY())-YEAR(C17),"lin30m"),_viitearvot!$I$2:$M$205,3,FALSE()),99),4,IF(K17&lt;=IFERROR(VLOOKUP(CONCATENATE(D17,YEAR(TODAY())-YEAR(C17),"lin30m"),_viitearvot!$I$2:$M$205,4,FALSE()),99),3,IF(K17&lt;=IFERROR(VLOOKUP(CONCATENATE(D17,YEAR(TODAY())-YEAR(C17),"lin30m"),_viitearvot!$I$2:$M$205,5,FALSE()),99),2,1)))))</f>
        <v/>
      </c>
      <c r="W17" s="13" t="str">
        <f aca="true">IF(OR(L17="",D17=""),"",IF(L17&lt;=IFERROR(VLOOKUP(CONCATENATE(D17,YEAR(TODAY())-YEAR(C17),"kasirata"),_viitearvot!$I$2:$M$205,2,FALSE()),99),5,IF(L17&lt;=IFERROR(VLOOKUP(CONCATENATE(D17,YEAR(TODAY())-YEAR(C17),"kasirata"),_viitearvot!$I$2:$M$205,3,FALSE()),99),4,IF(L17&lt;=IFERROR(VLOOKUP(CONCATENATE(D17,YEAR(TODAY())-YEAR(C17),"kasirata"),_viitearvot!$I$2:$M$205,4,FALSE()),99),3,IF(L17&lt;=IFERROR(VLOOKUP(CONCATENATE(D17,YEAR(TODAY())-YEAR(C17),"kasirata"),_viitearvot!$I$2:$M$205,5,FALSE()),99),2,1)))))</f>
        <v/>
      </c>
      <c r="X17" s="13" t="str">
        <f aca="true">IF(OR(M17="",D17=""),"",IF(M17&lt;=IFERROR(VLOOKUP(CONCATENATE(D17,YEAR(TODAY())-YEAR(C17),"smjuoksu"),_viitearvot!$I$2:$M$205,2,FALSE()),99),5,IF(M17&lt;=IFERROR(VLOOKUP(CONCATENATE(D17,YEAR(TODAY())-YEAR(C17),"smjuoksu"),_viitearvot!$I$2:$M$205,3,FALSE()),99),4,IF(M17&lt;=IFERROR(VLOOKUP(CONCATENATE(D17,YEAR(TODAY())-YEAR(C17),"smjuoksu"),_viitearvot!$I$2:$M$205,4,FALSE()),99),3,IF(M17&lt;=IFERROR(VLOOKUP(CONCATENATE(D17,YEAR(TODAY())-YEAR(C17),"smjuoksu"),_viitearvot!$I$2:$M$205,5,FALSE()),99),2,1)))))</f>
        <v/>
      </c>
      <c r="Y17" s="13" t="str">
        <f aca="true">IF(OR(N17="",D17=""),"",IF(N17&lt;=IFERROR(VLOOKUP(CONCATENATE(D17,YEAR(TODAY())-YEAR(C17),"smpallo"),_viitearvot!$I$2:$M$205,2,FALSE()),99),5,IF(N17&lt;=IFERROR(VLOOKUP(CONCATENATE(D17,YEAR(TODAY())-YEAR(C17),"smpallo"),_viitearvot!$I$2:$M$205,3,FALSE()),99),4,IF(N17&lt;=IFERROR(VLOOKUP(CONCATENATE(D17,YEAR(TODAY())-YEAR(C17),"smpallo"),_viitearvot!$I$2:$M$205,4,FALSE()),99),3,IF(N17&lt;=IFERROR(VLOOKUP(CONCATENATE(D17,YEAR(TODAY())-YEAR(C17),"smpallo"),_viitearvot!$I$2:$M$205,5,FALSE()),99),2,1)))))</f>
        <v/>
      </c>
      <c r="Z17" s="13" t="str">
        <f aca="true">IF(OR(O17="",D17=""),"",IF(O17&gt;=IFERROR(VLOOKUP(CONCATENATE(D17,YEAR(TODAY())-YEAR(C17),"cmj"),_viitearvot!$I$2:$M$205,2,FALSE()),0),5,IF(O17&gt;=IFERROR(VLOOKUP(CONCATENATE(D17,YEAR(TODAY())-YEAR(C17),"cmj"),_viitearvot!$I$2:$M$205,3,FALSE()),0),4,IF(O17&gt;=IFERROR(VLOOKUP(CONCATENATE(D17,YEAR(TODAY())-YEAR(C17),"cmj"),_viitearvot!$I$2:$M$205,4,FALSE()),0),3,IF(O17&gt;=IFERROR(VLOOKUP(CONCATENATE(D17,YEAR(TODAY())-YEAR(C17),"cmj"),_viitearvot!$I$2:$M$205,5,FALSE()),0),2,1)))))</f>
        <v/>
      </c>
      <c r="AA17" s="13" t="str">
        <f aca="true">IF(OR(P17="",D17=""),"",IF(P17&gt;=IFERROR(VLOOKUP(CONCATENATE(D17,YEAR(TODAY())-YEAR(C17),"bronco"),_viitearvot!$I$2:$M$205,2,FALSE()),0),5,IF(P17&gt;=IFERROR(VLOOKUP(CONCATENATE(D17,YEAR(TODAY())-YEAR(C17),"bronco"),_viitearvot!$I$2:$M$205,3,FALSE()),0),4,IF(P17&gt;=IFERROR(VLOOKUP(CONCATENATE(D17,YEAR(TODAY())-YEAR(C17),"bronco"),_viitearvot!$I$2:$M$205,4,FALSE()),0),3,IF(P17&gt;=IFERROR(VLOOKUP(CONCATENATE(D17,YEAR(TODAY())-YEAR(C17),"bronco"),_viitearvot!$I$2:$M$205,5,FALSE()),0),2,1)))))</f>
        <v/>
      </c>
      <c r="AB17" s="11"/>
      <c r="AC17" s="14"/>
      <c r="AD17" s="15" t="str">
        <f aca="false">IF(OR(AC17="",H17=""),"",(IF(D17="P",IF(H17&lt;=IFERROR(VLOOKUP(CONCATENATE("P",ROUND(AC17,0),"lin5m"),_viitearvot!$A:$H,4,FALSE()),99),5,IF(H17&lt;=IFERROR(VLOOKUP(CONCATENATE("P",ROUND(AC17,0),"lin5m"),_viitearvot!$A:$H,5,FALSE()),99),4,IF(H17&lt;=IFERROR(VLOOKUP(CONCATENATE("P",ROUND(AC17,0),"lin5m"),_viitearvot!$A:$H,6,FALSE()),99),3,IF(H17&lt;=IFERROR(VLOOKUP(CONCATENATE("P",ROUND(AC17,0),"lin5m"),_viitearvot!$A:$H,7,FALSE()),99),2,1)))),IF(H17&lt;=IFERROR(VLOOKUP(CONCATENATE("T",ROUND(AC17,0),"lin5m"),_viitearvot!$A:$H,4,FALSE()),99),5,IF(H17&lt;=IFERROR(VLOOKUP(CONCATENATE("T",ROUND(AC17,0),"lin5m"),_viitearvot!$A:$H,5,FALSE()),99),4,IF(H17&lt;=IFERROR(VLOOKUP(CONCATENATE("T",ROUND(AC17,0),"lin5m"),_viitearvot!$A:$H,6,FALSE()),99),3,IF(H17&lt;=IFERROR(VLOOKUP(CONCATENATE("T",ROUND(AC17,0),"lin5m"),_viitearvot!$A:$H,7,FALSE()),99),2,1)))))-S17))</f>
        <v/>
      </c>
    </row>
    <row r="18" customFormat="false" ht="15" hidden="false" customHeight="true" outlineLevel="0" collapsed="false">
      <c r="A18" s="10"/>
      <c r="B18" s="10"/>
      <c r="C18" s="10"/>
      <c r="D18" s="10"/>
      <c r="E18" s="10"/>
      <c r="F18" s="10"/>
      <c r="G18" s="11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6" t="str">
        <f aca="true">IF(OR(H18="",D18=""),"",IF(H18&lt;=IFERROR(VLOOKUP(CONCATENATE(D18,YEAR(TODAY())-YEAR(C18),"lin5m"),_viitearvot!$I$2:$M$205,2,FALSE()),99),5,IF(H18&lt;=IFERROR(VLOOKUP(CONCATENATE(D18,YEAR(TODAY())-YEAR(C18),"lin5m"),_viitearvot!$I$2:$M$205,3,FALSE()),99),4,IF(H18&lt;=IFERROR(VLOOKUP(CONCATENATE(D18,YEAR(TODAY())-YEAR(C18),"lin5m"),_viitearvot!$I$2:$M$205,4,FALSE()),99),3,IF(H18&lt;=IFERROR(VLOOKUP(CONCATENATE(D18,YEAR(TODAY())-YEAR(C18),"lin5m"),_viitearvot!$I$2:$M$205,5,FALSE()),99),2,1)))))</f>
        <v/>
      </c>
      <c r="T18" s="16" t="str">
        <f aca="true">IF(OR(I18="",D18=""),"",IF(I18&lt;=IFERROR(VLOOKUP(CONCATENATE(D18,YEAR(TODAY())-YEAR(C18),"lin10m"),_viitearvot!$I$2:$M$205,2,FALSE()),99),5,IF(I18&lt;=IFERROR(VLOOKUP(CONCATENATE(D18,YEAR(TODAY())-YEAR(C18),"lin10m"),_viitearvot!$I$2:$M$205,3,FALSE()),99),4,IF(I18&lt;=IFERROR(VLOOKUP(CONCATENATE(D18,YEAR(TODAY())-YEAR(C18),"lin10m"),_viitearvot!$I$2:$M$205,4,FALSE()),99),3,IF(I18&lt;=IFERROR(VLOOKUP(CONCATENATE(D18,YEAR(TODAY())-YEAR(C18),"lin10m"),_viitearvot!$I$2:$M$205,5,FALSE()),99),2,1)))))</f>
        <v/>
      </c>
      <c r="U18" s="16" t="str">
        <f aca="true">IF(OR(J18="",D18=""),"",IF(J18&lt;=IFERROR(VLOOKUP(CONCATENATE(D18,YEAR(TODAY())-YEAR(C18),"lin20m"),_viitearvot!$I$2:$M$205,2,FALSE()),99),5,IF(J18&lt;=IFERROR(VLOOKUP(CONCATENATE(D18,YEAR(TODAY())-YEAR(C18),"lin20m"),_viitearvot!$I$2:$M$205,3,FALSE()),99),4,IF(J18&lt;=IFERROR(VLOOKUP(CONCATENATE(D18,YEAR(TODAY())-YEAR(C18),"lin20m"),_viitearvot!$I$2:$M$205,4,FALSE()),99),3,IF(J18&lt;=IFERROR(VLOOKUP(CONCATENATE(D18,YEAR(TODAY())-YEAR(C18),"lin20m"),_viitearvot!$I$2:$M$205,5,FALSE()),99),2,1)))))</f>
        <v/>
      </c>
      <c r="V18" s="16" t="str">
        <f aca="true">IF(OR(K18="",D18=""),"",IF(K18&lt;=IFERROR(VLOOKUP(CONCATENATE(D18,YEAR(TODAY())-YEAR(C18),"lin30m"),_viitearvot!$I$2:$M$205,2,FALSE()),99),5,IF(K18&lt;=IFERROR(VLOOKUP(CONCATENATE(D18,YEAR(TODAY())-YEAR(C18),"lin30m"),_viitearvot!$I$2:$M$205,3,FALSE()),99),4,IF(K18&lt;=IFERROR(VLOOKUP(CONCATENATE(D18,YEAR(TODAY())-YEAR(C18),"lin30m"),_viitearvot!$I$2:$M$205,4,FALSE()),99),3,IF(K18&lt;=IFERROR(VLOOKUP(CONCATENATE(D18,YEAR(TODAY())-YEAR(C18),"lin30m"),_viitearvot!$I$2:$M$205,5,FALSE()),99),2,1)))))</f>
        <v/>
      </c>
      <c r="W18" s="16" t="str">
        <f aca="true">IF(OR(L18="",D18=""),"",IF(L18&lt;=IFERROR(VLOOKUP(CONCATENATE(D18,YEAR(TODAY())-YEAR(C18),"kasirata"),_viitearvot!$I$2:$M$205,2,FALSE()),99),5,IF(L18&lt;=IFERROR(VLOOKUP(CONCATENATE(D18,YEAR(TODAY())-YEAR(C18),"kasirata"),_viitearvot!$I$2:$M$205,3,FALSE()),99),4,IF(L18&lt;=IFERROR(VLOOKUP(CONCATENATE(D18,YEAR(TODAY())-YEAR(C18),"kasirata"),_viitearvot!$I$2:$M$205,4,FALSE()),99),3,IF(L18&lt;=IFERROR(VLOOKUP(CONCATENATE(D18,YEAR(TODAY())-YEAR(C18),"kasirata"),_viitearvot!$I$2:$M$205,5,FALSE()),99),2,1)))))</f>
        <v/>
      </c>
      <c r="X18" s="16" t="str">
        <f aca="true">IF(OR(M18="",D18=""),"",IF(M18&lt;=IFERROR(VLOOKUP(CONCATENATE(D18,YEAR(TODAY())-YEAR(C18),"smjuoksu"),_viitearvot!$I$2:$M$205,2,FALSE()),99),5,IF(M18&lt;=IFERROR(VLOOKUP(CONCATENATE(D18,YEAR(TODAY())-YEAR(C18),"smjuoksu"),_viitearvot!$I$2:$M$205,3,FALSE()),99),4,IF(M18&lt;=IFERROR(VLOOKUP(CONCATENATE(D18,YEAR(TODAY())-YEAR(C18),"smjuoksu"),_viitearvot!$I$2:$M$205,4,FALSE()),99),3,IF(M18&lt;=IFERROR(VLOOKUP(CONCATENATE(D18,YEAR(TODAY())-YEAR(C18),"smjuoksu"),_viitearvot!$I$2:$M$205,5,FALSE()),99),2,1)))))</f>
        <v/>
      </c>
      <c r="Y18" s="16" t="str">
        <f aca="true">IF(OR(N18="",D18=""),"",IF(N18&lt;=IFERROR(VLOOKUP(CONCATENATE(D18,YEAR(TODAY())-YEAR(C18),"smpallo"),_viitearvot!$I$2:$M$205,2,FALSE()),99),5,IF(N18&lt;=IFERROR(VLOOKUP(CONCATENATE(D18,YEAR(TODAY())-YEAR(C18),"smpallo"),_viitearvot!$I$2:$M$205,3,FALSE()),99),4,IF(N18&lt;=IFERROR(VLOOKUP(CONCATENATE(D18,YEAR(TODAY())-YEAR(C18),"smpallo"),_viitearvot!$I$2:$M$205,4,FALSE()),99),3,IF(N18&lt;=IFERROR(VLOOKUP(CONCATENATE(D18,YEAR(TODAY())-YEAR(C18),"smpallo"),_viitearvot!$I$2:$M$205,5,FALSE()),99),2,1)))))</f>
        <v/>
      </c>
      <c r="Z18" s="16" t="str">
        <f aca="true">IF(OR(O18="",D18=""),"",IF(O18&gt;=IFERROR(VLOOKUP(CONCATENATE(D18,YEAR(TODAY())-YEAR(C18),"cmj"),_viitearvot!$I$2:$M$205,2,FALSE()),0),5,IF(O18&gt;=IFERROR(VLOOKUP(CONCATENATE(D18,YEAR(TODAY())-YEAR(C18),"cmj"),_viitearvot!$I$2:$M$205,3,FALSE()),0),4,IF(O18&gt;=IFERROR(VLOOKUP(CONCATENATE(D18,YEAR(TODAY())-YEAR(C18),"cmj"),_viitearvot!$I$2:$M$205,4,FALSE()),0),3,IF(O18&gt;=IFERROR(VLOOKUP(CONCATENATE(D18,YEAR(TODAY())-YEAR(C18),"cmj"),_viitearvot!$I$2:$M$205,5,FALSE()),0),2,1)))))</f>
        <v/>
      </c>
      <c r="AA18" s="16" t="str">
        <f aca="true">IF(OR(P18="",D18=""),"",IF(P18&gt;=IFERROR(VLOOKUP(CONCATENATE(D18,YEAR(TODAY())-YEAR(C18),"bronco"),_viitearvot!$I$2:$M$205,2,FALSE()),0),5,IF(P18&gt;=IFERROR(VLOOKUP(CONCATENATE(D18,YEAR(TODAY())-YEAR(C18),"bronco"),_viitearvot!$I$2:$M$205,3,FALSE()),0),4,IF(P18&gt;=IFERROR(VLOOKUP(CONCATENATE(D18,YEAR(TODAY())-YEAR(C18),"bronco"),_viitearvot!$I$2:$M$205,4,FALSE()),0),3,IF(P18&gt;=IFERROR(VLOOKUP(CONCATENATE(D18,YEAR(TODAY())-YEAR(C18),"bronco"),_viitearvot!$I$2:$M$205,5,FALSE()),0),2,1)))))</f>
        <v/>
      </c>
      <c r="AB18" s="11"/>
      <c r="AC18" s="17"/>
      <c r="AD18" s="18" t="str">
        <f aca="false">IF(OR(AC18="",H18=""),"",(IF(D18="P",IF(H18&lt;=IFERROR(VLOOKUP(CONCATENATE("P",ROUND(AC18,0),"lin5m"),_viitearvot!$A:$H,4,FALSE()),99),5,IF(H18&lt;=IFERROR(VLOOKUP(CONCATENATE("P",ROUND(AC18,0),"lin5m"),_viitearvot!$A:$H,5,FALSE()),99),4,IF(H18&lt;=IFERROR(VLOOKUP(CONCATENATE("P",ROUND(AC18,0),"lin5m"),_viitearvot!$A:$H,6,FALSE()),99),3,IF(H18&lt;=IFERROR(VLOOKUP(CONCATENATE("P",ROUND(AC18,0),"lin5m"),_viitearvot!$A:$H,7,FALSE()),99),2,1)))),IF(H18&lt;=IFERROR(VLOOKUP(CONCATENATE("T",ROUND(AC18,0),"lin5m"),_viitearvot!$A:$H,4,FALSE()),99),5,IF(H18&lt;=IFERROR(VLOOKUP(CONCATENATE("T",ROUND(AC18,0),"lin5m"),_viitearvot!$A:$H,5,FALSE()),99),4,IF(H18&lt;=IFERROR(VLOOKUP(CONCATENATE("T",ROUND(AC18,0),"lin5m"),_viitearvot!$A:$H,6,FALSE()),99),3,IF(H18&lt;=IFERROR(VLOOKUP(CONCATENATE("T",ROUND(AC18,0),"lin5m"),_viitearvot!$A:$H,7,FALSE()),99),2,1)))))-S18))</f>
        <v/>
      </c>
    </row>
    <row r="19" customFormat="false" ht="15" hidden="false" customHeight="true" outlineLevel="0" collapsed="false">
      <c r="A19" s="10"/>
      <c r="B19" s="10"/>
      <c r="C19" s="10"/>
      <c r="D19" s="10"/>
      <c r="E19" s="10"/>
      <c r="F19" s="10"/>
      <c r="G19" s="11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 t="str">
        <f aca="true">IF(OR(H19="",D19=""),"",IF(H19&lt;=IFERROR(VLOOKUP(CONCATENATE(D19,YEAR(TODAY())-YEAR(C19),"lin5m"),_viitearvot!$I$2:$M$205,2,FALSE()),99),5,IF(H19&lt;=IFERROR(VLOOKUP(CONCATENATE(D19,YEAR(TODAY())-YEAR(C19),"lin5m"),_viitearvot!$I$2:$M$205,3,FALSE()),99),4,IF(H19&lt;=IFERROR(VLOOKUP(CONCATENATE(D19,YEAR(TODAY())-YEAR(C19),"lin5m"),_viitearvot!$I$2:$M$205,4,FALSE()),99),3,IF(H19&lt;=IFERROR(VLOOKUP(CONCATENATE(D19,YEAR(TODAY())-YEAR(C19),"lin5m"),_viitearvot!$I$2:$M$205,5,FALSE()),99),2,1)))))</f>
        <v/>
      </c>
      <c r="T19" s="13" t="str">
        <f aca="true">IF(OR(I19="",D19=""),"",IF(I19&lt;=IFERROR(VLOOKUP(CONCATENATE(D19,YEAR(TODAY())-YEAR(C19),"lin10m"),_viitearvot!$I$2:$M$205,2,FALSE()),99),5,IF(I19&lt;=IFERROR(VLOOKUP(CONCATENATE(D19,YEAR(TODAY())-YEAR(C19),"lin10m"),_viitearvot!$I$2:$M$205,3,FALSE()),99),4,IF(I19&lt;=IFERROR(VLOOKUP(CONCATENATE(D19,YEAR(TODAY())-YEAR(C19),"lin10m"),_viitearvot!$I$2:$M$205,4,FALSE()),99),3,IF(I19&lt;=IFERROR(VLOOKUP(CONCATENATE(D19,YEAR(TODAY())-YEAR(C19),"lin10m"),_viitearvot!$I$2:$M$205,5,FALSE()),99),2,1)))))</f>
        <v/>
      </c>
      <c r="U19" s="13" t="str">
        <f aca="true">IF(OR(J19="",D19=""),"",IF(J19&lt;=IFERROR(VLOOKUP(CONCATENATE(D19,YEAR(TODAY())-YEAR(C19),"lin20m"),_viitearvot!$I$2:$M$205,2,FALSE()),99),5,IF(J19&lt;=IFERROR(VLOOKUP(CONCATENATE(D19,YEAR(TODAY())-YEAR(C19),"lin20m"),_viitearvot!$I$2:$M$205,3,FALSE()),99),4,IF(J19&lt;=IFERROR(VLOOKUP(CONCATENATE(D19,YEAR(TODAY())-YEAR(C19),"lin20m"),_viitearvot!$I$2:$M$205,4,FALSE()),99),3,IF(J19&lt;=IFERROR(VLOOKUP(CONCATENATE(D19,YEAR(TODAY())-YEAR(C19),"lin20m"),_viitearvot!$I$2:$M$205,5,FALSE()),99),2,1)))))</f>
        <v/>
      </c>
      <c r="V19" s="13" t="str">
        <f aca="true">IF(OR(K19="",D19=""),"",IF(K19&lt;=IFERROR(VLOOKUP(CONCATENATE(D19,YEAR(TODAY())-YEAR(C19),"lin30m"),_viitearvot!$I$2:$M$205,2,FALSE()),99),5,IF(K19&lt;=IFERROR(VLOOKUP(CONCATENATE(D19,YEAR(TODAY())-YEAR(C19),"lin30m"),_viitearvot!$I$2:$M$205,3,FALSE()),99),4,IF(K19&lt;=IFERROR(VLOOKUP(CONCATENATE(D19,YEAR(TODAY())-YEAR(C19),"lin30m"),_viitearvot!$I$2:$M$205,4,FALSE()),99),3,IF(K19&lt;=IFERROR(VLOOKUP(CONCATENATE(D19,YEAR(TODAY())-YEAR(C19),"lin30m"),_viitearvot!$I$2:$M$205,5,FALSE()),99),2,1)))))</f>
        <v/>
      </c>
      <c r="W19" s="13" t="str">
        <f aca="true">IF(OR(L19="",D19=""),"",IF(L19&lt;=IFERROR(VLOOKUP(CONCATENATE(D19,YEAR(TODAY())-YEAR(C19),"kasirata"),_viitearvot!$I$2:$M$205,2,FALSE()),99),5,IF(L19&lt;=IFERROR(VLOOKUP(CONCATENATE(D19,YEAR(TODAY())-YEAR(C19),"kasirata"),_viitearvot!$I$2:$M$205,3,FALSE()),99),4,IF(L19&lt;=IFERROR(VLOOKUP(CONCATENATE(D19,YEAR(TODAY())-YEAR(C19),"kasirata"),_viitearvot!$I$2:$M$205,4,FALSE()),99),3,IF(L19&lt;=IFERROR(VLOOKUP(CONCATENATE(D19,YEAR(TODAY())-YEAR(C19),"kasirata"),_viitearvot!$I$2:$M$205,5,FALSE()),99),2,1)))))</f>
        <v/>
      </c>
      <c r="X19" s="13" t="str">
        <f aca="true">IF(OR(M19="",D19=""),"",IF(M19&lt;=IFERROR(VLOOKUP(CONCATENATE(D19,YEAR(TODAY())-YEAR(C19),"smjuoksu"),_viitearvot!$I$2:$M$205,2,FALSE()),99),5,IF(M19&lt;=IFERROR(VLOOKUP(CONCATENATE(D19,YEAR(TODAY())-YEAR(C19),"smjuoksu"),_viitearvot!$I$2:$M$205,3,FALSE()),99),4,IF(M19&lt;=IFERROR(VLOOKUP(CONCATENATE(D19,YEAR(TODAY())-YEAR(C19),"smjuoksu"),_viitearvot!$I$2:$M$205,4,FALSE()),99),3,IF(M19&lt;=IFERROR(VLOOKUP(CONCATENATE(D19,YEAR(TODAY())-YEAR(C19),"smjuoksu"),_viitearvot!$I$2:$M$205,5,FALSE()),99),2,1)))))</f>
        <v/>
      </c>
      <c r="Y19" s="13" t="str">
        <f aca="true">IF(OR(N19="",D19=""),"",IF(N19&lt;=IFERROR(VLOOKUP(CONCATENATE(D19,YEAR(TODAY())-YEAR(C19),"smpallo"),_viitearvot!$I$2:$M$205,2,FALSE()),99),5,IF(N19&lt;=IFERROR(VLOOKUP(CONCATENATE(D19,YEAR(TODAY())-YEAR(C19),"smpallo"),_viitearvot!$I$2:$M$205,3,FALSE()),99),4,IF(N19&lt;=IFERROR(VLOOKUP(CONCATENATE(D19,YEAR(TODAY())-YEAR(C19),"smpallo"),_viitearvot!$I$2:$M$205,4,FALSE()),99),3,IF(N19&lt;=IFERROR(VLOOKUP(CONCATENATE(D19,YEAR(TODAY())-YEAR(C19),"smpallo"),_viitearvot!$I$2:$M$205,5,FALSE()),99),2,1)))))</f>
        <v/>
      </c>
      <c r="Z19" s="13" t="str">
        <f aca="true">IF(OR(O19="",D19=""),"",IF(O19&gt;=IFERROR(VLOOKUP(CONCATENATE(D19,YEAR(TODAY())-YEAR(C19),"cmj"),_viitearvot!$I$2:$M$205,2,FALSE()),0),5,IF(O19&gt;=IFERROR(VLOOKUP(CONCATENATE(D19,YEAR(TODAY())-YEAR(C19),"cmj"),_viitearvot!$I$2:$M$205,3,FALSE()),0),4,IF(O19&gt;=IFERROR(VLOOKUP(CONCATENATE(D19,YEAR(TODAY())-YEAR(C19),"cmj"),_viitearvot!$I$2:$M$205,4,FALSE()),0),3,IF(O19&gt;=IFERROR(VLOOKUP(CONCATENATE(D19,YEAR(TODAY())-YEAR(C19),"cmj"),_viitearvot!$I$2:$M$205,5,FALSE()),0),2,1)))))</f>
        <v/>
      </c>
      <c r="AA19" s="13" t="str">
        <f aca="true">IF(OR(P19="",D19=""),"",IF(P19&gt;=IFERROR(VLOOKUP(CONCATENATE(D19,YEAR(TODAY())-YEAR(C19),"bronco"),_viitearvot!$I$2:$M$205,2,FALSE()),0),5,IF(P19&gt;=IFERROR(VLOOKUP(CONCATENATE(D19,YEAR(TODAY())-YEAR(C19),"bronco"),_viitearvot!$I$2:$M$205,3,FALSE()),0),4,IF(P19&gt;=IFERROR(VLOOKUP(CONCATENATE(D19,YEAR(TODAY())-YEAR(C19),"bronco"),_viitearvot!$I$2:$M$205,4,FALSE()),0),3,IF(P19&gt;=IFERROR(VLOOKUP(CONCATENATE(D19,YEAR(TODAY())-YEAR(C19),"bronco"),_viitearvot!$I$2:$M$205,5,FALSE()),0),2,1)))))</f>
        <v/>
      </c>
      <c r="AB19" s="11"/>
      <c r="AC19" s="14"/>
      <c r="AD19" s="15" t="str">
        <f aca="false">IF(OR(AC19="",H19=""),"",(IF(D19="P",IF(H19&lt;=IFERROR(VLOOKUP(CONCATENATE("P",ROUND(AC19,0),"lin5m"),_viitearvot!$A:$H,4,FALSE()),99),5,IF(H19&lt;=IFERROR(VLOOKUP(CONCATENATE("P",ROUND(AC19,0),"lin5m"),_viitearvot!$A:$H,5,FALSE()),99),4,IF(H19&lt;=IFERROR(VLOOKUP(CONCATENATE("P",ROUND(AC19,0),"lin5m"),_viitearvot!$A:$H,6,FALSE()),99),3,IF(H19&lt;=IFERROR(VLOOKUP(CONCATENATE("P",ROUND(AC19,0),"lin5m"),_viitearvot!$A:$H,7,FALSE()),99),2,1)))),IF(H19&lt;=IFERROR(VLOOKUP(CONCATENATE("T",ROUND(AC19,0),"lin5m"),_viitearvot!$A:$H,4,FALSE()),99),5,IF(H19&lt;=IFERROR(VLOOKUP(CONCATENATE("T",ROUND(AC19,0),"lin5m"),_viitearvot!$A:$H,5,FALSE()),99),4,IF(H19&lt;=IFERROR(VLOOKUP(CONCATENATE("T",ROUND(AC19,0),"lin5m"),_viitearvot!$A:$H,6,FALSE()),99),3,IF(H19&lt;=IFERROR(VLOOKUP(CONCATENATE("T",ROUND(AC19,0),"lin5m"),_viitearvot!$A:$H,7,FALSE()),99),2,1)))))-S19))</f>
        <v/>
      </c>
    </row>
    <row r="20" customFormat="false" ht="15" hidden="false" customHeight="true" outlineLevel="0" collapsed="false">
      <c r="A20" s="10"/>
      <c r="B20" s="10"/>
      <c r="C20" s="10"/>
      <c r="D20" s="10"/>
      <c r="E20" s="10"/>
      <c r="F20" s="10"/>
      <c r="G20" s="11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6" t="str">
        <f aca="true">IF(OR(H20="",D20=""),"",IF(H20&lt;=IFERROR(VLOOKUP(CONCATENATE(D20,YEAR(TODAY())-YEAR(C20),"lin5m"),_viitearvot!$I$2:$M$205,2,FALSE()),99),5,IF(H20&lt;=IFERROR(VLOOKUP(CONCATENATE(D20,YEAR(TODAY())-YEAR(C20),"lin5m"),_viitearvot!$I$2:$M$205,3,FALSE()),99),4,IF(H20&lt;=IFERROR(VLOOKUP(CONCATENATE(D20,YEAR(TODAY())-YEAR(C20),"lin5m"),_viitearvot!$I$2:$M$205,4,FALSE()),99),3,IF(H20&lt;=IFERROR(VLOOKUP(CONCATENATE(D20,YEAR(TODAY())-YEAR(C20),"lin5m"),_viitearvot!$I$2:$M$205,5,FALSE()),99),2,1)))))</f>
        <v/>
      </c>
      <c r="T20" s="16" t="str">
        <f aca="true">IF(OR(I20="",D20=""),"",IF(I20&lt;=IFERROR(VLOOKUP(CONCATENATE(D20,YEAR(TODAY())-YEAR(C20),"lin10m"),_viitearvot!$I$2:$M$205,2,FALSE()),99),5,IF(I20&lt;=IFERROR(VLOOKUP(CONCATENATE(D20,YEAR(TODAY())-YEAR(C20),"lin10m"),_viitearvot!$I$2:$M$205,3,FALSE()),99),4,IF(I20&lt;=IFERROR(VLOOKUP(CONCATENATE(D20,YEAR(TODAY())-YEAR(C20),"lin10m"),_viitearvot!$I$2:$M$205,4,FALSE()),99),3,IF(I20&lt;=IFERROR(VLOOKUP(CONCATENATE(D20,YEAR(TODAY())-YEAR(C20),"lin10m"),_viitearvot!$I$2:$M$205,5,FALSE()),99),2,1)))))</f>
        <v/>
      </c>
      <c r="U20" s="16" t="str">
        <f aca="true">IF(OR(J20="",D20=""),"",IF(J20&lt;=IFERROR(VLOOKUP(CONCATENATE(D20,YEAR(TODAY())-YEAR(C20),"lin20m"),_viitearvot!$I$2:$M$205,2,FALSE()),99),5,IF(J20&lt;=IFERROR(VLOOKUP(CONCATENATE(D20,YEAR(TODAY())-YEAR(C20),"lin20m"),_viitearvot!$I$2:$M$205,3,FALSE()),99),4,IF(J20&lt;=IFERROR(VLOOKUP(CONCATENATE(D20,YEAR(TODAY())-YEAR(C20),"lin20m"),_viitearvot!$I$2:$M$205,4,FALSE()),99),3,IF(J20&lt;=IFERROR(VLOOKUP(CONCATENATE(D20,YEAR(TODAY())-YEAR(C20),"lin20m"),_viitearvot!$I$2:$M$205,5,FALSE()),99),2,1)))))</f>
        <v/>
      </c>
      <c r="V20" s="16" t="str">
        <f aca="true">IF(OR(K20="",D20=""),"",IF(K20&lt;=IFERROR(VLOOKUP(CONCATENATE(D20,YEAR(TODAY())-YEAR(C20),"lin30m"),_viitearvot!$I$2:$M$205,2,FALSE()),99),5,IF(K20&lt;=IFERROR(VLOOKUP(CONCATENATE(D20,YEAR(TODAY())-YEAR(C20),"lin30m"),_viitearvot!$I$2:$M$205,3,FALSE()),99),4,IF(K20&lt;=IFERROR(VLOOKUP(CONCATENATE(D20,YEAR(TODAY())-YEAR(C20),"lin30m"),_viitearvot!$I$2:$M$205,4,FALSE()),99),3,IF(K20&lt;=IFERROR(VLOOKUP(CONCATENATE(D20,YEAR(TODAY())-YEAR(C20),"lin30m"),_viitearvot!$I$2:$M$205,5,FALSE()),99),2,1)))))</f>
        <v/>
      </c>
      <c r="W20" s="16" t="str">
        <f aca="true">IF(OR(L20="",D20=""),"",IF(L20&lt;=IFERROR(VLOOKUP(CONCATENATE(D20,YEAR(TODAY())-YEAR(C20),"kasirata"),_viitearvot!$I$2:$M$205,2,FALSE()),99),5,IF(L20&lt;=IFERROR(VLOOKUP(CONCATENATE(D20,YEAR(TODAY())-YEAR(C20),"kasirata"),_viitearvot!$I$2:$M$205,3,FALSE()),99),4,IF(L20&lt;=IFERROR(VLOOKUP(CONCATENATE(D20,YEAR(TODAY())-YEAR(C20),"kasirata"),_viitearvot!$I$2:$M$205,4,FALSE()),99),3,IF(L20&lt;=IFERROR(VLOOKUP(CONCATENATE(D20,YEAR(TODAY())-YEAR(C20),"kasirata"),_viitearvot!$I$2:$M$205,5,FALSE()),99),2,1)))))</f>
        <v/>
      </c>
      <c r="X20" s="16" t="str">
        <f aca="true">IF(OR(M20="",D20=""),"",IF(M20&lt;=IFERROR(VLOOKUP(CONCATENATE(D20,YEAR(TODAY())-YEAR(C20),"smjuoksu"),_viitearvot!$I$2:$M$205,2,FALSE()),99),5,IF(M20&lt;=IFERROR(VLOOKUP(CONCATENATE(D20,YEAR(TODAY())-YEAR(C20),"smjuoksu"),_viitearvot!$I$2:$M$205,3,FALSE()),99),4,IF(M20&lt;=IFERROR(VLOOKUP(CONCATENATE(D20,YEAR(TODAY())-YEAR(C20),"smjuoksu"),_viitearvot!$I$2:$M$205,4,FALSE()),99),3,IF(M20&lt;=IFERROR(VLOOKUP(CONCATENATE(D20,YEAR(TODAY())-YEAR(C20),"smjuoksu"),_viitearvot!$I$2:$M$205,5,FALSE()),99),2,1)))))</f>
        <v/>
      </c>
      <c r="Y20" s="16" t="str">
        <f aca="true">IF(OR(N20="",D20=""),"",IF(N20&lt;=IFERROR(VLOOKUP(CONCATENATE(D20,YEAR(TODAY())-YEAR(C20),"smpallo"),_viitearvot!$I$2:$M$205,2,FALSE()),99),5,IF(N20&lt;=IFERROR(VLOOKUP(CONCATENATE(D20,YEAR(TODAY())-YEAR(C20),"smpallo"),_viitearvot!$I$2:$M$205,3,FALSE()),99),4,IF(N20&lt;=IFERROR(VLOOKUP(CONCATENATE(D20,YEAR(TODAY())-YEAR(C20),"smpallo"),_viitearvot!$I$2:$M$205,4,FALSE()),99),3,IF(N20&lt;=IFERROR(VLOOKUP(CONCATENATE(D20,YEAR(TODAY())-YEAR(C20),"smpallo"),_viitearvot!$I$2:$M$205,5,FALSE()),99),2,1)))))</f>
        <v/>
      </c>
      <c r="Z20" s="16" t="str">
        <f aca="true">IF(OR(O20="",D20=""),"",IF(O20&gt;=IFERROR(VLOOKUP(CONCATENATE(D20,YEAR(TODAY())-YEAR(C20),"cmj"),_viitearvot!$I$2:$M$205,2,FALSE()),0),5,IF(O20&gt;=IFERROR(VLOOKUP(CONCATENATE(D20,YEAR(TODAY())-YEAR(C20),"cmj"),_viitearvot!$I$2:$M$205,3,FALSE()),0),4,IF(O20&gt;=IFERROR(VLOOKUP(CONCATENATE(D20,YEAR(TODAY())-YEAR(C20),"cmj"),_viitearvot!$I$2:$M$205,4,FALSE()),0),3,IF(O20&gt;=IFERROR(VLOOKUP(CONCATENATE(D20,YEAR(TODAY())-YEAR(C20),"cmj"),_viitearvot!$I$2:$M$205,5,FALSE()),0),2,1)))))</f>
        <v/>
      </c>
      <c r="AA20" s="16" t="str">
        <f aca="true">IF(OR(P20="",D20=""),"",IF(P20&gt;=IFERROR(VLOOKUP(CONCATENATE(D20,YEAR(TODAY())-YEAR(C20),"bronco"),_viitearvot!$I$2:$M$205,2,FALSE()),0),5,IF(P20&gt;=IFERROR(VLOOKUP(CONCATENATE(D20,YEAR(TODAY())-YEAR(C20),"bronco"),_viitearvot!$I$2:$M$205,3,FALSE()),0),4,IF(P20&gt;=IFERROR(VLOOKUP(CONCATENATE(D20,YEAR(TODAY())-YEAR(C20),"bronco"),_viitearvot!$I$2:$M$205,4,FALSE()),0),3,IF(P20&gt;=IFERROR(VLOOKUP(CONCATENATE(D20,YEAR(TODAY())-YEAR(C20),"bronco"),_viitearvot!$I$2:$M$205,5,FALSE()),0),2,1)))))</f>
        <v/>
      </c>
      <c r="AB20" s="11"/>
      <c r="AC20" s="17"/>
      <c r="AD20" s="18" t="str">
        <f aca="false">IF(OR(AC20="",H20=""),"",(IF(D20="P",IF(H20&lt;=IFERROR(VLOOKUP(CONCATENATE("P",ROUND(AC20,0),"lin5m"),_viitearvot!$A:$H,4,FALSE()),99),5,IF(H20&lt;=IFERROR(VLOOKUP(CONCATENATE("P",ROUND(AC20,0),"lin5m"),_viitearvot!$A:$H,5,FALSE()),99),4,IF(H20&lt;=IFERROR(VLOOKUP(CONCATENATE("P",ROUND(AC20,0),"lin5m"),_viitearvot!$A:$H,6,FALSE()),99),3,IF(H20&lt;=IFERROR(VLOOKUP(CONCATENATE("P",ROUND(AC20,0),"lin5m"),_viitearvot!$A:$H,7,FALSE()),99),2,1)))),IF(H20&lt;=IFERROR(VLOOKUP(CONCATENATE("T",ROUND(AC20,0),"lin5m"),_viitearvot!$A:$H,4,FALSE()),99),5,IF(H20&lt;=IFERROR(VLOOKUP(CONCATENATE("T",ROUND(AC20,0),"lin5m"),_viitearvot!$A:$H,5,FALSE()),99),4,IF(H20&lt;=IFERROR(VLOOKUP(CONCATENATE("T",ROUND(AC20,0),"lin5m"),_viitearvot!$A:$H,6,FALSE()),99),3,IF(H20&lt;=IFERROR(VLOOKUP(CONCATENATE("T",ROUND(AC20,0),"lin5m"),_viitearvot!$A:$H,7,FALSE()),99),2,1)))))-S20))</f>
        <v/>
      </c>
    </row>
    <row r="21" customFormat="false" ht="15" hidden="false" customHeight="true" outlineLevel="0" collapsed="false">
      <c r="A21" s="10"/>
      <c r="B21" s="10"/>
      <c r="C21" s="10"/>
      <c r="D21" s="10"/>
      <c r="E21" s="10"/>
      <c r="F21" s="10"/>
      <c r="G21" s="11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 t="str">
        <f aca="true">IF(OR(H21="",D21=""),"",IF(H21&lt;=IFERROR(VLOOKUP(CONCATENATE(D21,YEAR(TODAY())-YEAR(C21),"lin5m"),_viitearvot!$I$2:$M$205,2,FALSE()),99),5,IF(H21&lt;=IFERROR(VLOOKUP(CONCATENATE(D21,YEAR(TODAY())-YEAR(C21),"lin5m"),_viitearvot!$I$2:$M$205,3,FALSE()),99),4,IF(H21&lt;=IFERROR(VLOOKUP(CONCATENATE(D21,YEAR(TODAY())-YEAR(C21),"lin5m"),_viitearvot!$I$2:$M$205,4,FALSE()),99),3,IF(H21&lt;=IFERROR(VLOOKUP(CONCATENATE(D21,YEAR(TODAY())-YEAR(C21),"lin5m"),_viitearvot!$I$2:$M$205,5,FALSE()),99),2,1)))))</f>
        <v/>
      </c>
      <c r="T21" s="13" t="str">
        <f aca="true">IF(OR(I21="",D21=""),"",IF(I21&lt;=IFERROR(VLOOKUP(CONCATENATE(D21,YEAR(TODAY())-YEAR(C21),"lin10m"),_viitearvot!$I$2:$M$205,2,FALSE()),99),5,IF(I21&lt;=IFERROR(VLOOKUP(CONCATENATE(D21,YEAR(TODAY())-YEAR(C21),"lin10m"),_viitearvot!$I$2:$M$205,3,FALSE()),99),4,IF(I21&lt;=IFERROR(VLOOKUP(CONCATENATE(D21,YEAR(TODAY())-YEAR(C21),"lin10m"),_viitearvot!$I$2:$M$205,4,FALSE()),99),3,IF(I21&lt;=IFERROR(VLOOKUP(CONCATENATE(D21,YEAR(TODAY())-YEAR(C21),"lin10m"),_viitearvot!$I$2:$M$205,5,FALSE()),99),2,1)))))</f>
        <v/>
      </c>
      <c r="U21" s="13" t="str">
        <f aca="true">IF(OR(J21="",D21=""),"",IF(J21&lt;=IFERROR(VLOOKUP(CONCATENATE(D21,YEAR(TODAY())-YEAR(C21),"lin20m"),_viitearvot!$I$2:$M$205,2,FALSE()),99),5,IF(J21&lt;=IFERROR(VLOOKUP(CONCATENATE(D21,YEAR(TODAY())-YEAR(C21),"lin20m"),_viitearvot!$I$2:$M$205,3,FALSE()),99),4,IF(J21&lt;=IFERROR(VLOOKUP(CONCATENATE(D21,YEAR(TODAY())-YEAR(C21),"lin20m"),_viitearvot!$I$2:$M$205,4,FALSE()),99),3,IF(J21&lt;=IFERROR(VLOOKUP(CONCATENATE(D21,YEAR(TODAY())-YEAR(C21),"lin20m"),_viitearvot!$I$2:$M$205,5,FALSE()),99),2,1)))))</f>
        <v/>
      </c>
      <c r="V21" s="13" t="str">
        <f aca="true">IF(OR(K21="",D21=""),"",IF(K21&lt;=IFERROR(VLOOKUP(CONCATENATE(D21,YEAR(TODAY())-YEAR(C21),"lin30m"),_viitearvot!$I$2:$M$205,2,FALSE()),99),5,IF(K21&lt;=IFERROR(VLOOKUP(CONCATENATE(D21,YEAR(TODAY())-YEAR(C21),"lin30m"),_viitearvot!$I$2:$M$205,3,FALSE()),99),4,IF(K21&lt;=IFERROR(VLOOKUP(CONCATENATE(D21,YEAR(TODAY())-YEAR(C21),"lin30m"),_viitearvot!$I$2:$M$205,4,FALSE()),99),3,IF(K21&lt;=IFERROR(VLOOKUP(CONCATENATE(D21,YEAR(TODAY())-YEAR(C21),"lin30m"),_viitearvot!$I$2:$M$205,5,FALSE()),99),2,1)))))</f>
        <v/>
      </c>
      <c r="W21" s="13" t="str">
        <f aca="true">IF(OR(L21="",D21=""),"",IF(L21&lt;=IFERROR(VLOOKUP(CONCATENATE(D21,YEAR(TODAY())-YEAR(C21),"kasirata"),_viitearvot!$I$2:$M$205,2,FALSE()),99),5,IF(L21&lt;=IFERROR(VLOOKUP(CONCATENATE(D21,YEAR(TODAY())-YEAR(C21),"kasirata"),_viitearvot!$I$2:$M$205,3,FALSE()),99),4,IF(L21&lt;=IFERROR(VLOOKUP(CONCATENATE(D21,YEAR(TODAY())-YEAR(C21),"kasirata"),_viitearvot!$I$2:$M$205,4,FALSE()),99),3,IF(L21&lt;=IFERROR(VLOOKUP(CONCATENATE(D21,YEAR(TODAY())-YEAR(C21),"kasirata"),_viitearvot!$I$2:$M$205,5,FALSE()),99),2,1)))))</f>
        <v/>
      </c>
      <c r="X21" s="13" t="str">
        <f aca="true">IF(OR(M21="",D21=""),"",IF(M21&lt;=IFERROR(VLOOKUP(CONCATENATE(D21,YEAR(TODAY())-YEAR(C21),"smjuoksu"),_viitearvot!$I$2:$M$205,2,FALSE()),99),5,IF(M21&lt;=IFERROR(VLOOKUP(CONCATENATE(D21,YEAR(TODAY())-YEAR(C21),"smjuoksu"),_viitearvot!$I$2:$M$205,3,FALSE()),99),4,IF(M21&lt;=IFERROR(VLOOKUP(CONCATENATE(D21,YEAR(TODAY())-YEAR(C21),"smjuoksu"),_viitearvot!$I$2:$M$205,4,FALSE()),99),3,IF(M21&lt;=IFERROR(VLOOKUP(CONCATENATE(D21,YEAR(TODAY())-YEAR(C21),"smjuoksu"),_viitearvot!$I$2:$M$205,5,FALSE()),99),2,1)))))</f>
        <v/>
      </c>
      <c r="Y21" s="13" t="str">
        <f aca="true">IF(OR(N21="",D21=""),"",IF(N21&lt;=IFERROR(VLOOKUP(CONCATENATE(D21,YEAR(TODAY())-YEAR(C21),"smpallo"),_viitearvot!$I$2:$M$205,2,FALSE()),99),5,IF(N21&lt;=IFERROR(VLOOKUP(CONCATENATE(D21,YEAR(TODAY())-YEAR(C21),"smpallo"),_viitearvot!$I$2:$M$205,3,FALSE()),99),4,IF(N21&lt;=IFERROR(VLOOKUP(CONCATENATE(D21,YEAR(TODAY())-YEAR(C21),"smpallo"),_viitearvot!$I$2:$M$205,4,FALSE()),99),3,IF(N21&lt;=IFERROR(VLOOKUP(CONCATENATE(D21,YEAR(TODAY())-YEAR(C21),"smpallo"),_viitearvot!$I$2:$M$205,5,FALSE()),99),2,1)))))</f>
        <v/>
      </c>
      <c r="Z21" s="13" t="str">
        <f aca="true">IF(OR(O21="",D21=""),"",IF(O21&gt;=IFERROR(VLOOKUP(CONCATENATE(D21,YEAR(TODAY())-YEAR(C21),"cmj"),_viitearvot!$I$2:$M$205,2,FALSE()),0),5,IF(O21&gt;=IFERROR(VLOOKUP(CONCATENATE(D21,YEAR(TODAY())-YEAR(C21),"cmj"),_viitearvot!$I$2:$M$205,3,FALSE()),0),4,IF(O21&gt;=IFERROR(VLOOKUP(CONCATENATE(D21,YEAR(TODAY())-YEAR(C21),"cmj"),_viitearvot!$I$2:$M$205,4,FALSE()),0),3,IF(O21&gt;=IFERROR(VLOOKUP(CONCATENATE(D21,YEAR(TODAY())-YEAR(C21),"cmj"),_viitearvot!$I$2:$M$205,5,FALSE()),0),2,1)))))</f>
        <v/>
      </c>
      <c r="AA21" s="13" t="str">
        <f aca="true">IF(OR(P21="",D21=""),"",IF(P21&gt;=IFERROR(VLOOKUP(CONCATENATE(D21,YEAR(TODAY())-YEAR(C21),"bronco"),_viitearvot!$I$2:$M$205,2,FALSE()),0),5,IF(P21&gt;=IFERROR(VLOOKUP(CONCATENATE(D21,YEAR(TODAY())-YEAR(C21),"bronco"),_viitearvot!$I$2:$M$205,3,FALSE()),0),4,IF(P21&gt;=IFERROR(VLOOKUP(CONCATENATE(D21,YEAR(TODAY())-YEAR(C21),"bronco"),_viitearvot!$I$2:$M$205,4,FALSE()),0),3,IF(P21&gt;=IFERROR(VLOOKUP(CONCATENATE(D21,YEAR(TODAY())-YEAR(C21),"bronco"),_viitearvot!$I$2:$M$205,5,FALSE()),0),2,1)))))</f>
        <v/>
      </c>
      <c r="AB21" s="11"/>
      <c r="AC21" s="14"/>
      <c r="AD21" s="15" t="str">
        <f aca="false">IF(OR(AC21="",H21=""),"",(IF(D21="P",IF(H21&lt;=IFERROR(VLOOKUP(CONCATENATE("P",ROUND(AC21,0),"lin5m"),_viitearvot!$A:$H,4,FALSE()),99),5,IF(H21&lt;=IFERROR(VLOOKUP(CONCATENATE("P",ROUND(AC21,0),"lin5m"),_viitearvot!$A:$H,5,FALSE()),99),4,IF(H21&lt;=IFERROR(VLOOKUP(CONCATENATE("P",ROUND(AC21,0),"lin5m"),_viitearvot!$A:$H,6,FALSE()),99),3,IF(H21&lt;=IFERROR(VLOOKUP(CONCATENATE("P",ROUND(AC21,0),"lin5m"),_viitearvot!$A:$H,7,FALSE()),99),2,1)))),IF(H21&lt;=IFERROR(VLOOKUP(CONCATENATE("T",ROUND(AC21,0),"lin5m"),_viitearvot!$A:$H,4,FALSE()),99),5,IF(H21&lt;=IFERROR(VLOOKUP(CONCATENATE("T",ROUND(AC21,0),"lin5m"),_viitearvot!$A:$H,5,FALSE()),99),4,IF(H21&lt;=IFERROR(VLOOKUP(CONCATENATE("T",ROUND(AC21,0),"lin5m"),_viitearvot!$A:$H,6,FALSE()),99),3,IF(H21&lt;=IFERROR(VLOOKUP(CONCATENATE("T",ROUND(AC21,0),"lin5m"),_viitearvot!$A:$H,7,FALSE()),99),2,1)))))-S21))</f>
        <v/>
      </c>
    </row>
    <row r="22" customFormat="false" ht="15" hidden="false" customHeight="true" outlineLevel="0" collapsed="false">
      <c r="A22" s="10"/>
      <c r="B22" s="10"/>
      <c r="C22" s="10"/>
      <c r="D22" s="10"/>
      <c r="E22" s="10"/>
      <c r="F22" s="10"/>
      <c r="G22" s="11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6" t="str">
        <f aca="true">IF(OR(H22="",D22=""),"",IF(H22&lt;=IFERROR(VLOOKUP(CONCATENATE(D22,YEAR(TODAY())-YEAR(C22),"lin5m"),_viitearvot!$I$2:$M$205,2,FALSE()),99),5,IF(H22&lt;=IFERROR(VLOOKUP(CONCATENATE(D22,YEAR(TODAY())-YEAR(C22),"lin5m"),_viitearvot!$I$2:$M$205,3,FALSE()),99),4,IF(H22&lt;=IFERROR(VLOOKUP(CONCATENATE(D22,YEAR(TODAY())-YEAR(C22),"lin5m"),_viitearvot!$I$2:$M$205,4,FALSE()),99),3,IF(H22&lt;=IFERROR(VLOOKUP(CONCATENATE(D22,YEAR(TODAY())-YEAR(C22),"lin5m"),_viitearvot!$I$2:$M$205,5,FALSE()),99),2,1)))))</f>
        <v/>
      </c>
      <c r="T22" s="16" t="str">
        <f aca="true">IF(OR(I22="",D22=""),"",IF(I22&lt;=IFERROR(VLOOKUP(CONCATENATE(D22,YEAR(TODAY())-YEAR(C22),"lin10m"),_viitearvot!$I$2:$M$205,2,FALSE()),99),5,IF(I22&lt;=IFERROR(VLOOKUP(CONCATENATE(D22,YEAR(TODAY())-YEAR(C22),"lin10m"),_viitearvot!$I$2:$M$205,3,FALSE()),99),4,IF(I22&lt;=IFERROR(VLOOKUP(CONCATENATE(D22,YEAR(TODAY())-YEAR(C22),"lin10m"),_viitearvot!$I$2:$M$205,4,FALSE()),99),3,IF(I22&lt;=IFERROR(VLOOKUP(CONCATENATE(D22,YEAR(TODAY())-YEAR(C22),"lin10m"),_viitearvot!$I$2:$M$205,5,FALSE()),99),2,1)))))</f>
        <v/>
      </c>
      <c r="U22" s="16" t="str">
        <f aca="true">IF(OR(J22="",D22=""),"",IF(J22&lt;=IFERROR(VLOOKUP(CONCATENATE(D22,YEAR(TODAY())-YEAR(C22),"lin20m"),_viitearvot!$I$2:$M$205,2,FALSE()),99),5,IF(J22&lt;=IFERROR(VLOOKUP(CONCATENATE(D22,YEAR(TODAY())-YEAR(C22),"lin20m"),_viitearvot!$I$2:$M$205,3,FALSE()),99),4,IF(J22&lt;=IFERROR(VLOOKUP(CONCATENATE(D22,YEAR(TODAY())-YEAR(C22),"lin20m"),_viitearvot!$I$2:$M$205,4,FALSE()),99),3,IF(J22&lt;=IFERROR(VLOOKUP(CONCATENATE(D22,YEAR(TODAY())-YEAR(C22),"lin20m"),_viitearvot!$I$2:$M$205,5,FALSE()),99),2,1)))))</f>
        <v/>
      </c>
      <c r="V22" s="16" t="str">
        <f aca="true">IF(OR(K22="",D22=""),"",IF(K22&lt;=IFERROR(VLOOKUP(CONCATENATE(D22,YEAR(TODAY())-YEAR(C22),"lin30m"),_viitearvot!$I$2:$M$205,2,FALSE()),99),5,IF(K22&lt;=IFERROR(VLOOKUP(CONCATENATE(D22,YEAR(TODAY())-YEAR(C22),"lin30m"),_viitearvot!$I$2:$M$205,3,FALSE()),99),4,IF(K22&lt;=IFERROR(VLOOKUP(CONCATENATE(D22,YEAR(TODAY())-YEAR(C22),"lin30m"),_viitearvot!$I$2:$M$205,4,FALSE()),99),3,IF(K22&lt;=IFERROR(VLOOKUP(CONCATENATE(D22,YEAR(TODAY())-YEAR(C22),"lin30m"),_viitearvot!$I$2:$M$205,5,FALSE()),99),2,1)))))</f>
        <v/>
      </c>
      <c r="W22" s="16" t="str">
        <f aca="true">IF(OR(L22="",D22=""),"",IF(L22&lt;=IFERROR(VLOOKUP(CONCATENATE(D22,YEAR(TODAY())-YEAR(C22),"kasirata"),_viitearvot!$I$2:$M$205,2,FALSE()),99),5,IF(L22&lt;=IFERROR(VLOOKUP(CONCATENATE(D22,YEAR(TODAY())-YEAR(C22),"kasirata"),_viitearvot!$I$2:$M$205,3,FALSE()),99),4,IF(L22&lt;=IFERROR(VLOOKUP(CONCATENATE(D22,YEAR(TODAY())-YEAR(C22),"kasirata"),_viitearvot!$I$2:$M$205,4,FALSE()),99),3,IF(L22&lt;=IFERROR(VLOOKUP(CONCATENATE(D22,YEAR(TODAY())-YEAR(C22),"kasirata"),_viitearvot!$I$2:$M$205,5,FALSE()),99),2,1)))))</f>
        <v/>
      </c>
      <c r="X22" s="16" t="str">
        <f aca="true">IF(OR(M22="",D22=""),"",IF(M22&lt;=IFERROR(VLOOKUP(CONCATENATE(D22,YEAR(TODAY())-YEAR(C22),"smjuoksu"),_viitearvot!$I$2:$M$205,2,FALSE()),99),5,IF(M22&lt;=IFERROR(VLOOKUP(CONCATENATE(D22,YEAR(TODAY())-YEAR(C22),"smjuoksu"),_viitearvot!$I$2:$M$205,3,FALSE()),99),4,IF(M22&lt;=IFERROR(VLOOKUP(CONCATENATE(D22,YEAR(TODAY())-YEAR(C22),"smjuoksu"),_viitearvot!$I$2:$M$205,4,FALSE()),99),3,IF(M22&lt;=IFERROR(VLOOKUP(CONCATENATE(D22,YEAR(TODAY())-YEAR(C22),"smjuoksu"),_viitearvot!$I$2:$M$205,5,FALSE()),99),2,1)))))</f>
        <v/>
      </c>
      <c r="Y22" s="16" t="str">
        <f aca="true">IF(OR(N22="",D22=""),"",IF(N22&lt;=IFERROR(VLOOKUP(CONCATENATE(D22,YEAR(TODAY())-YEAR(C22),"smpallo"),_viitearvot!$I$2:$M$205,2,FALSE()),99),5,IF(N22&lt;=IFERROR(VLOOKUP(CONCATENATE(D22,YEAR(TODAY())-YEAR(C22),"smpallo"),_viitearvot!$I$2:$M$205,3,FALSE()),99),4,IF(N22&lt;=IFERROR(VLOOKUP(CONCATENATE(D22,YEAR(TODAY())-YEAR(C22),"smpallo"),_viitearvot!$I$2:$M$205,4,FALSE()),99),3,IF(N22&lt;=IFERROR(VLOOKUP(CONCATENATE(D22,YEAR(TODAY())-YEAR(C22),"smpallo"),_viitearvot!$I$2:$M$205,5,FALSE()),99),2,1)))))</f>
        <v/>
      </c>
      <c r="Z22" s="16" t="str">
        <f aca="true">IF(OR(O22="",D22=""),"",IF(O22&gt;=IFERROR(VLOOKUP(CONCATENATE(D22,YEAR(TODAY())-YEAR(C22),"cmj"),_viitearvot!$I$2:$M$205,2,FALSE()),0),5,IF(O22&gt;=IFERROR(VLOOKUP(CONCATENATE(D22,YEAR(TODAY())-YEAR(C22),"cmj"),_viitearvot!$I$2:$M$205,3,FALSE()),0),4,IF(O22&gt;=IFERROR(VLOOKUP(CONCATENATE(D22,YEAR(TODAY())-YEAR(C22),"cmj"),_viitearvot!$I$2:$M$205,4,FALSE()),0),3,IF(O22&gt;=IFERROR(VLOOKUP(CONCATENATE(D22,YEAR(TODAY())-YEAR(C22),"cmj"),_viitearvot!$I$2:$M$205,5,FALSE()),0),2,1)))))</f>
        <v/>
      </c>
      <c r="AA22" s="16" t="str">
        <f aca="true">IF(OR(P22="",D22=""),"",IF(P22&gt;=IFERROR(VLOOKUP(CONCATENATE(D22,YEAR(TODAY())-YEAR(C22),"bronco"),_viitearvot!$I$2:$M$205,2,FALSE()),0),5,IF(P22&gt;=IFERROR(VLOOKUP(CONCATENATE(D22,YEAR(TODAY())-YEAR(C22),"bronco"),_viitearvot!$I$2:$M$205,3,FALSE()),0),4,IF(P22&gt;=IFERROR(VLOOKUP(CONCATENATE(D22,YEAR(TODAY())-YEAR(C22),"bronco"),_viitearvot!$I$2:$M$205,4,FALSE()),0),3,IF(P22&gt;=IFERROR(VLOOKUP(CONCATENATE(D22,YEAR(TODAY())-YEAR(C22),"bronco"),_viitearvot!$I$2:$M$205,5,FALSE()),0),2,1)))))</f>
        <v/>
      </c>
      <c r="AB22" s="11"/>
      <c r="AC22" s="17"/>
      <c r="AD22" s="18" t="str">
        <f aca="false">IF(OR(AC22="",H22=""),"",(IF(D22="P",IF(H22&lt;=IFERROR(VLOOKUP(CONCATENATE("P",ROUND(AC22,0),"lin5m"),_viitearvot!$A:$H,4,FALSE()),99),5,IF(H22&lt;=IFERROR(VLOOKUP(CONCATENATE("P",ROUND(AC22,0),"lin5m"),_viitearvot!$A:$H,5,FALSE()),99),4,IF(H22&lt;=IFERROR(VLOOKUP(CONCATENATE("P",ROUND(AC22,0),"lin5m"),_viitearvot!$A:$H,6,FALSE()),99),3,IF(H22&lt;=IFERROR(VLOOKUP(CONCATENATE("P",ROUND(AC22,0),"lin5m"),_viitearvot!$A:$H,7,FALSE()),99),2,1)))),IF(H22&lt;=IFERROR(VLOOKUP(CONCATENATE("T",ROUND(AC22,0),"lin5m"),_viitearvot!$A:$H,4,FALSE()),99),5,IF(H22&lt;=IFERROR(VLOOKUP(CONCATENATE("T",ROUND(AC22,0),"lin5m"),_viitearvot!$A:$H,5,FALSE()),99),4,IF(H22&lt;=IFERROR(VLOOKUP(CONCATENATE("T",ROUND(AC22,0),"lin5m"),_viitearvot!$A:$H,6,FALSE()),99),3,IF(H22&lt;=IFERROR(VLOOKUP(CONCATENATE("T",ROUND(AC22,0),"lin5m"),_viitearvot!$A:$H,7,FALSE()),99),2,1)))))-S22))</f>
        <v/>
      </c>
    </row>
    <row r="23" customFormat="false" ht="15" hidden="false" customHeight="true" outlineLevel="0" collapsed="false">
      <c r="A23" s="10"/>
      <c r="B23" s="10"/>
      <c r="C23" s="10"/>
      <c r="D23" s="10"/>
      <c r="E23" s="10"/>
      <c r="F23" s="10"/>
      <c r="G23" s="11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 t="str">
        <f aca="true">IF(OR(H23="",D23=""),"",IF(H23&lt;=IFERROR(VLOOKUP(CONCATENATE(D23,YEAR(TODAY())-YEAR(C23),"lin5m"),_viitearvot!$I$2:$M$205,2,FALSE()),99),5,IF(H23&lt;=IFERROR(VLOOKUP(CONCATENATE(D23,YEAR(TODAY())-YEAR(C23),"lin5m"),_viitearvot!$I$2:$M$205,3,FALSE()),99),4,IF(H23&lt;=IFERROR(VLOOKUP(CONCATENATE(D23,YEAR(TODAY())-YEAR(C23),"lin5m"),_viitearvot!$I$2:$M$205,4,FALSE()),99),3,IF(H23&lt;=IFERROR(VLOOKUP(CONCATENATE(D23,YEAR(TODAY())-YEAR(C23),"lin5m"),_viitearvot!$I$2:$M$205,5,FALSE()),99),2,1)))))</f>
        <v/>
      </c>
      <c r="T23" s="13" t="str">
        <f aca="true">IF(OR(I23="",D23=""),"",IF(I23&lt;=IFERROR(VLOOKUP(CONCATENATE(D23,YEAR(TODAY())-YEAR(C23),"lin10m"),_viitearvot!$I$2:$M$205,2,FALSE()),99),5,IF(I23&lt;=IFERROR(VLOOKUP(CONCATENATE(D23,YEAR(TODAY())-YEAR(C23),"lin10m"),_viitearvot!$I$2:$M$205,3,FALSE()),99),4,IF(I23&lt;=IFERROR(VLOOKUP(CONCATENATE(D23,YEAR(TODAY())-YEAR(C23),"lin10m"),_viitearvot!$I$2:$M$205,4,FALSE()),99),3,IF(I23&lt;=IFERROR(VLOOKUP(CONCATENATE(D23,YEAR(TODAY())-YEAR(C23),"lin10m"),_viitearvot!$I$2:$M$205,5,FALSE()),99),2,1)))))</f>
        <v/>
      </c>
      <c r="U23" s="13" t="str">
        <f aca="true">IF(OR(J23="",D23=""),"",IF(J23&lt;=IFERROR(VLOOKUP(CONCATENATE(D23,YEAR(TODAY())-YEAR(C23),"lin20m"),_viitearvot!$I$2:$M$205,2,FALSE()),99),5,IF(J23&lt;=IFERROR(VLOOKUP(CONCATENATE(D23,YEAR(TODAY())-YEAR(C23),"lin20m"),_viitearvot!$I$2:$M$205,3,FALSE()),99),4,IF(J23&lt;=IFERROR(VLOOKUP(CONCATENATE(D23,YEAR(TODAY())-YEAR(C23),"lin20m"),_viitearvot!$I$2:$M$205,4,FALSE()),99),3,IF(J23&lt;=IFERROR(VLOOKUP(CONCATENATE(D23,YEAR(TODAY())-YEAR(C23),"lin20m"),_viitearvot!$I$2:$M$205,5,FALSE()),99),2,1)))))</f>
        <v/>
      </c>
      <c r="V23" s="13" t="str">
        <f aca="true">IF(OR(K23="",D23=""),"",IF(K23&lt;=IFERROR(VLOOKUP(CONCATENATE(D23,YEAR(TODAY())-YEAR(C23),"lin30m"),_viitearvot!$I$2:$M$205,2,FALSE()),99),5,IF(K23&lt;=IFERROR(VLOOKUP(CONCATENATE(D23,YEAR(TODAY())-YEAR(C23),"lin30m"),_viitearvot!$I$2:$M$205,3,FALSE()),99),4,IF(K23&lt;=IFERROR(VLOOKUP(CONCATENATE(D23,YEAR(TODAY())-YEAR(C23),"lin30m"),_viitearvot!$I$2:$M$205,4,FALSE()),99),3,IF(K23&lt;=IFERROR(VLOOKUP(CONCATENATE(D23,YEAR(TODAY())-YEAR(C23),"lin30m"),_viitearvot!$I$2:$M$205,5,FALSE()),99),2,1)))))</f>
        <v/>
      </c>
      <c r="W23" s="13" t="str">
        <f aca="true">IF(OR(L23="",D23=""),"",IF(L23&lt;=IFERROR(VLOOKUP(CONCATENATE(D23,YEAR(TODAY())-YEAR(C23),"kasirata"),_viitearvot!$I$2:$M$205,2,FALSE()),99),5,IF(L23&lt;=IFERROR(VLOOKUP(CONCATENATE(D23,YEAR(TODAY())-YEAR(C23),"kasirata"),_viitearvot!$I$2:$M$205,3,FALSE()),99),4,IF(L23&lt;=IFERROR(VLOOKUP(CONCATENATE(D23,YEAR(TODAY())-YEAR(C23),"kasirata"),_viitearvot!$I$2:$M$205,4,FALSE()),99),3,IF(L23&lt;=IFERROR(VLOOKUP(CONCATENATE(D23,YEAR(TODAY())-YEAR(C23),"kasirata"),_viitearvot!$I$2:$M$205,5,FALSE()),99),2,1)))))</f>
        <v/>
      </c>
      <c r="X23" s="13" t="str">
        <f aca="true">IF(OR(M23="",D23=""),"",IF(M23&lt;=IFERROR(VLOOKUP(CONCATENATE(D23,YEAR(TODAY())-YEAR(C23),"smjuoksu"),_viitearvot!$I$2:$M$205,2,FALSE()),99),5,IF(M23&lt;=IFERROR(VLOOKUP(CONCATENATE(D23,YEAR(TODAY())-YEAR(C23),"smjuoksu"),_viitearvot!$I$2:$M$205,3,FALSE()),99),4,IF(M23&lt;=IFERROR(VLOOKUP(CONCATENATE(D23,YEAR(TODAY())-YEAR(C23),"smjuoksu"),_viitearvot!$I$2:$M$205,4,FALSE()),99),3,IF(M23&lt;=IFERROR(VLOOKUP(CONCATENATE(D23,YEAR(TODAY())-YEAR(C23),"smjuoksu"),_viitearvot!$I$2:$M$205,5,FALSE()),99),2,1)))))</f>
        <v/>
      </c>
      <c r="Y23" s="13" t="str">
        <f aca="true">IF(OR(N23="",D23=""),"",IF(N23&lt;=IFERROR(VLOOKUP(CONCATENATE(D23,YEAR(TODAY())-YEAR(C23),"smpallo"),_viitearvot!$I$2:$M$205,2,FALSE()),99),5,IF(N23&lt;=IFERROR(VLOOKUP(CONCATENATE(D23,YEAR(TODAY())-YEAR(C23),"smpallo"),_viitearvot!$I$2:$M$205,3,FALSE()),99),4,IF(N23&lt;=IFERROR(VLOOKUP(CONCATENATE(D23,YEAR(TODAY())-YEAR(C23),"smpallo"),_viitearvot!$I$2:$M$205,4,FALSE()),99),3,IF(N23&lt;=IFERROR(VLOOKUP(CONCATENATE(D23,YEAR(TODAY())-YEAR(C23),"smpallo"),_viitearvot!$I$2:$M$205,5,FALSE()),99),2,1)))))</f>
        <v/>
      </c>
      <c r="Z23" s="13" t="str">
        <f aca="true">IF(OR(O23="",D23=""),"",IF(O23&gt;=IFERROR(VLOOKUP(CONCATENATE(D23,YEAR(TODAY())-YEAR(C23),"cmj"),_viitearvot!$I$2:$M$205,2,FALSE()),0),5,IF(O23&gt;=IFERROR(VLOOKUP(CONCATENATE(D23,YEAR(TODAY())-YEAR(C23),"cmj"),_viitearvot!$I$2:$M$205,3,FALSE()),0),4,IF(O23&gt;=IFERROR(VLOOKUP(CONCATENATE(D23,YEAR(TODAY())-YEAR(C23),"cmj"),_viitearvot!$I$2:$M$205,4,FALSE()),0),3,IF(O23&gt;=IFERROR(VLOOKUP(CONCATENATE(D23,YEAR(TODAY())-YEAR(C23),"cmj"),_viitearvot!$I$2:$M$205,5,FALSE()),0),2,1)))))</f>
        <v/>
      </c>
      <c r="AA23" s="13" t="str">
        <f aca="true">IF(OR(P23="",D23=""),"",IF(P23&gt;=IFERROR(VLOOKUP(CONCATENATE(D23,YEAR(TODAY())-YEAR(C23),"bronco"),_viitearvot!$I$2:$M$205,2,FALSE()),0),5,IF(P23&gt;=IFERROR(VLOOKUP(CONCATENATE(D23,YEAR(TODAY())-YEAR(C23),"bronco"),_viitearvot!$I$2:$M$205,3,FALSE()),0),4,IF(P23&gt;=IFERROR(VLOOKUP(CONCATENATE(D23,YEAR(TODAY())-YEAR(C23),"bronco"),_viitearvot!$I$2:$M$205,4,FALSE()),0),3,IF(P23&gt;=IFERROR(VLOOKUP(CONCATENATE(D23,YEAR(TODAY())-YEAR(C23),"bronco"),_viitearvot!$I$2:$M$205,5,FALSE()),0),2,1)))))</f>
        <v/>
      </c>
      <c r="AB23" s="11"/>
      <c r="AC23" s="14"/>
      <c r="AD23" s="15" t="str">
        <f aca="false">IF(OR(AC23="",H23=""),"",(IF(D23="P",IF(H23&lt;=IFERROR(VLOOKUP(CONCATENATE("P",ROUND(AC23,0),"lin5m"),_viitearvot!$A:$H,4,FALSE()),99),5,IF(H23&lt;=IFERROR(VLOOKUP(CONCATENATE("P",ROUND(AC23,0),"lin5m"),_viitearvot!$A:$H,5,FALSE()),99),4,IF(H23&lt;=IFERROR(VLOOKUP(CONCATENATE("P",ROUND(AC23,0),"lin5m"),_viitearvot!$A:$H,6,FALSE()),99),3,IF(H23&lt;=IFERROR(VLOOKUP(CONCATENATE("P",ROUND(AC23,0),"lin5m"),_viitearvot!$A:$H,7,FALSE()),99),2,1)))),IF(H23&lt;=IFERROR(VLOOKUP(CONCATENATE("T",ROUND(AC23,0),"lin5m"),_viitearvot!$A:$H,4,FALSE()),99),5,IF(H23&lt;=IFERROR(VLOOKUP(CONCATENATE("T",ROUND(AC23,0),"lin5m"),_viitearvot!$A:$H,5,FALSE()),99),4,IF(H23&lt;=IFERROR(VLOOKUP(CONCATENATE("T",ROUND(AC23,0),"lin5m"),_viitearvot!$A:$H,6,FALSE()),99),3,IF(H23&lt;=IFERROR(VLOOKUP(CONCATENATE("T",ROUND(AC23,0),"lin5m"),_viitearvot!$A:$H,7,FALSE()),99),2,1)))))-S23))</f>
        <v/>
      </c>
    </row>
    <row r="24" customFormat="false" ht="15" hidden="false" customHeight="true" outlineLevel="0" collapsed="false">
      <c r="A24" s="10"/>
      <c r="B24" s="10"/>
      <c r="C24" s="10"/>
      <c r="D24" s="10"/>
      <c r="E24" s="10"/>
      <c r="F24" s="10"/>
      <c r="G24" s="11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6" t="str">
        <f aca="true">IF(OR(H24="",D24=""),"",IF(H24&lt;=IFERROR(VLOOKUP(CONCATENATE(D24,YEAR(TODAY())-YEAR(C24),"lin5m"),_viitearvot!$I$2:$M$205,2,FALSE()),99),5,IF(H24&lt;=IFERROR(VLOOKUP(CONCATENATE(D24,YEAR(TODAY())-YEAR(C24),"lin5m"),_viitearvot!$I$2:$M$205,3,FALSE()),99),4,IF(H24&lt;=IFERROR(VLOOKUP(CONCATENATE(D24,YEAR(TODAY())-YEAR(C24),"lin5m"),_viitearvot!$I$2:$M$205,4,FALSE()),99),3,IF(H24&lt;=IFERROR(VLOOKUP(CONCATENATE(D24,YEAR(TODAY())-YEAR(C24),"lin5m"),_viitearvot!$I$2:$M$205,5,FALSE()),99),2,1)))))</f>
        <v/>
      </c>
      <c r="T24" s="16" t="str">
        <f aca="true">IF(OR(I24="",D24=""),"",IF(I24&lt;=IFERROR(VLOOKUP(CONCATENATE(D24,YEAR(TODAY())-YEAR(C24),"lin10m"),_viitearvot!$I$2:$M$205,2,FALSE()),99),5,IF(I24&lt;=IFERROR(VLOOKUP(CONCATENATE(D24,YEAR(TODAY())-YEAR(C24),"lin10m"),_viitearvot!$I$2:$M$205,3,FALSE()),99),4,IF(I24&lt;=IFERROR(VLOOKUP(CONCATENATE(D24,YEAR(TODAY())-YEAR(C24),"lin10m"),_viitearvot!$I$2:$M$205,4,FALSE()),99),3,IF(I24&lt;=IFERROR(VLOOKUP(CONCATENATE(D24,YEAR(TODAY())-YEAR(C24),"lin10m"),_viitearvot!$I$2:$M$205,5,FALSE()),99),2,1)))))</f>
        <v/>
      </c>
      <c r="U24" s="16" t="str">
        <f aca="true">IF(OR(J24="",D24=""),"",IF(J24&lt;=IFERROR(VLOOKUP(CONCATENATE(D24,YEAR(TODAY())-YEAR(C24),"lin20m"),_viitearvot!$I$2:$M$205,2,FALSE()),99),5,IF(J24&lt;=IFERROR(VLOOKUP(CONCATENATE(D24,YEAR(TODAY())-YEAR(C24),"lin20m"),_viitearvot!$I$2:$M$205,3,FALSE()),99),4,IF(J24&lt;=IFERROR(VLOOKUP(CONCATENATE(D24,YEAR(TODAY())-YEAR(C24),"lin20m"),_viitearvot!$I$2:$M$205,4,FALSE()),99),3,IF(J24&lt;=IFERROR(VLOOKUP(CONCATENATE(D24,YEAR(TODAY())-YEAR(C24),"lin20m"),_viitearvot!$I$2:$M$205,5,FALSE()),99),2,1)))))</f>
        <v/>
      </c>
      <c r="V24" s="16" t="str">
        <f aca="true">IF(OR(K24="",D24=""),"",IF(K24&lt;=IFERROR(VLOOKUP(CONCATENATE(D24,YEAR(TODAY())-YEAR(C24),"lin30m"),_viitearvot!$I$2:$M$205,2,FALSE()),99),5,IF(K24&lt;=IFERROR(VLOOKUP(CONCATENATE(D24,YEAR(TODAY())-YEAR(C24),"lin30m"),_viitearvot!$I$2:$M$205,3,FALSE()),99),4,IF(K24&lt;=IFERROR(VLOOKUP(CONCATENATE(D24,YEAR(TODAY())-YEAR(C24),"lin30m"),_viitearvot!$I$2:$M$205,4,FALSE()),99),3,IF(K24&lt;=IFERROR(VLOOKUP(CONCATENATE(D24,YEAR(TODAY())-YEAR(C24),"lin30m"),_viitearvot!$I$2:$M$205,5,FALSE()),99),2,1)))))</f>
        <v/>
      </c>
      <c r="W24" s="16" t="str">
        <f aca="true">IF(OR(L24="",D24=""),"",IF(L24&lt;=IFERROR(VLOOKUP(CONCATENATE(D24,YEAR(TODAY())-YEAR(C24),"kasirata"),_viitearvot!$I$2:$M$205,2,FALSE()),99),5,IF(L24&lt;=IFERROR(VLOOKUP(CONCATENATE(D24,YEAR(TODAY())-YEAR(C24),"kasirata"),_viitearvot!$I$2:$M$205,3,FALSE()),99),4,IF(L24&lt;=IFERROR(VLOOKUP(CONCATENATE(D24,YEAR(TODAY())-YEAR(C24),"kasirata"),_viitearvot!$I$2:$M$205,4,FALSE()),99),3,IF(L24&lt;=IFERROR(VLOOKUP(CONCATENATE(D24,YEAR(TODAY())-YEAR(C24),"kasirata"),_viitearvot!$I$2:$M$205,5,FALSE()),99),2,1)))))</f>
        <v/>
      </c>
      <c r="X24" s="16" t="str">
        <f aca="true">IF(OR(M24="",D24=""),"",IF(M24&lt;=IFERROR(VLOOKUP(CONCATENATE(D24,YEAR(TODAY())-YEAR(C24),"smjuoksu"),_viitearvot!$I$2:$M$205,2,FALSE()),99),5,IF(M24&lt;=IFERROR(VLOOKUP(CONCATENATE(D24,YEAR(TODAY())-YEAR(C24),"smjuoksu"),_viitearvot!$I$2:$M$205,3,FALSE()),99),4,IF(M24&lt;=IFERROR(VLOOKUP(CONCATENATE(D24,YEAR(TODAY())-YEAR(C24),"smjuoksu"),_viitearvot!$I$2:$M$205,4,FALSE()),99),3,IF(M24&lt;=IFERROR(VLOOKUP(CONCATENATE(D24,YEAR(TODAY())-YEAR(C24),"smjuoksu"),_viitearvot!$I$2:$M$205,5,FALSE()),99),2,1)))))</f>
        <v/>
      </c>
      <c r="Y24" s="16" t="str">
        <f aca="true">IF(OR(N24="",D24=""),"",IF(N24&lt;=IFERROR(VLOOKUP(CONCATENATE(D24,YEAR(TODAY())-YEAR(C24),"smpallo"),_viitearvot!$I$2:$M$205,2,FALSE()),99),5,IF(N24&lt;=IFERROR(VLOOKUP(CONCATENATE(D24,YEAR(TODAY())-YEAR(C24),"smpallo"),_viitearvot!$I$2:$M$205,3,FALSE()),99),4,IF(N24&lt;=IFERROR(VLOOKUP(CONCATENATE(D24,YEAR(TODAY())-YEAR(C24),"smpallo"),_viitearvot!$I$2:$M$205,4,FALSE()),99),3,IF(N24&lt;=IFERROR(VLOOKUP(CONCATENATE(D24,YEAR(TODAY())-YEAR(C24),"smpallo"),_viitearvot!$I$2:$M$205,5,FALSE()),99),2,1)))))</f>
        <v/>
      </c>
      <c r="Z24" s="16" t="str">
        <f aca="true">IF(OR(O24="",D24=""),"",IF(O24&gt;=IFERROR(VLOOKUP(CONCATENATE(D24,YEAR(TODAY())-YEAR(C24),"cmj"),_viitearvot!$I$2:$M$205,2,FALSE()),0),5,IF(O24&gt;=IFERROR(VLOOKUP(CONCATENATE(D24,YEAR(TODAY())-YEAR(C24),"cmj"),_viitearvot!$I$2:$M$205,3,FALSE()),0),4,IF(O24&gt;=IFERROR(VLOOKUP(CONCATENATE(D24,YEAR(TODAY())-YEAR(C24),"cmj"),_viitearvot!$I$2:$M$205,4,FALSE()),0),3,IF(O24&gt;=IFERROR(VLOOKUP(CONCATENATE(D24,YEAR(TODAY())-YEAR(C24),"cmj"),_viitearvot!$I$2:$M$205,5,FALSE()),0),2,1)))))</f>
        <v/>
      </c>
      <c r="AA24" s="16" t="str">
        <f aca="true">IF(OR(P24="",D24=""),"",IF(P24&gt;=IFERROR(VLOOKUP(CONCATENATE(D24,YEAR(TODAY())-YEAR(C24),"bronco"),_viitearvot!$I$2:$M$205,2,FALSE()),0),5,IF(P24&gt;=IFERROR(VLOOKUP(CONCATENATE(D24,YEAR(TODAY())-YEAR(C24),"bronco"),_viitearvot!$I$2:$M$205,3,FALSE()),0),4,IF(P24&gt;=IFERROR(VLOOKUP(CONCATENATE(D24,YEAR(TODAY())-YEAR(C24),"bronco"),_viitearvot!$I$2:$M$205,4,FALSE()),0),3,IF(P24&gt;=IFERROR(VLOOKUP(CONCATENATE(D24,YEAR(TODAY())-YEAR(C24),"bronco"),_viitearvot!$I$2:$M$205,5,FALSE()),0),2,1)))))</f>
        <v/>
      </c>
      <c r="AB24" s="11"/>
      <c r="AC24" s="17"/>
      <c r="AD24" s="18" t="str">
        <f aca="false">IF(OR(AC24="",H24=""),"",(IF(D24="P",IF(H24&lt;=IFERROR(VLOOKUP(CONCATENATE("P",ROUND(AC24,0),"lin5m"),_viitearvot!$A:$H,4,FALSE()),99),5,IF(H24&lt;=IFERROR(VLOOKUP(CONCATENATE("P",ROUND(AC24,0),"lin5m"),_viitearvot!$A:$H,5,FALSE()),99),4,IF(H24&lt;=IFERROR(VLOOKUP(CONCATENATE("P",ROUND(AC24,0),"lin5m"),_viitearvot!$A:$H,6,FALSE()),99),3,IF(H24&lt;=IFERROR(VLOOKUP(CONCATENATE("P",ROUND(AC24,0),"lin5m"),_viitearvot!$A:$H,7,FALSE()),99),2,1)))),IF(H24&lt;=IFERROR(VLOOKUP(CONCATENATE("T",ROUND(AC24,0),"lin5m"),_viitearvot!$A:$H,4,FALSE()),99),5,IF(H24&lt;=IFERROR(VLOOKUP(CONCATENATE("T",ROUND(AC24,0),"lin5m"),_viitearvot!$A:$H,5,FALSE()),99),4,IF(H24&lt;=IFERROR(VLOOKUP(CONCATENATE("T",ROUND(AC24,0),"lin5m"),_viitearvot!$A:$H,6,FALSE()),99),3,IF(H24&lt;=IFERROR(VLOOKUP(CONCATENATE("T",ROUND(AC24,0),"lin5m"),_viitearvot!$A:$H,7,FALSE()),99),2,1)))))-S24))</f>
        <v/>
      </c>
    </row>
    <row r="25" customFormat="false" ht="15" hidden="false" customHeight="true" outlineLevel="0" collapsed="false">
      <c r="A25" s="10"/>
      <c r="B25" s="10"/>
      <c r="C25" s="10"/>
      <c r="D25" s="10"/>
      <c r="E25" s="10"/>
      <c r="F25" s="10"/>
      <c r="G25" s="11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 t="str">
        <f aca="true">IF(OR(H25="",D25=""),"",IF(H25&lt;=IFERROR(VLOOKUP(CONCATENATE(D25,YEAR(TODAY())-YEAR(C25),"lin5m"),_viitearvot!$I$2:$M$205,2,FALSE()),99),5,IF(H25&lt;=IFERROR(VLOOKUP(CONCATENATE(D25,YEAR(TODAY())-YEAR(C25),"lin5m"),_viitearvot!$I$2:$M$205,3,FALSE()),99),4,IF(H25&lt;=IFERROR(VLOOKUP(CONCATENATE(D25,YEAR(TODAY())-YEAR(C25),"lin5m"),_viitearvot!$I$2:$M$205,4,FALSE()),99),3,IF(H25&lt;=IFERROR(VLOOKUP(CONCATENATE(D25,YEAR(TODAY())-YEAR(C25),"lin5m"),_viitearvot!$I$2:$M$205,5,FALSE()),99),2,1)))))</f>
        <v/>
      </c>
      <c r="T25" s="13" t="str">
        <f aca="true">IF(OR(I25="",D25=""),"",IF(I25&lt;=IFERROR(VLOOKUP(CONCATENATE(D25,YEAR(TODAY())-YEAR(C25),"lin10m"),_viitearvot!$I$2:$M$205,2,FALSE()),99),5,IF(I25&lt;=IFERROR(VLOOKUP(CONCATENATE(D25,YEAR(TODAY())-YEAR(C25),"lin10m"),_viitearvot!$I$2:$M$205,3,FALSE()),99),4,IF(I25&lt;=IFERROR(VLOOKUP(CONCATENATE(D25,YEAR(TODAY())-YEAR(C25),"lin10m"),_viitearvot!$I$2:$M$205,4,FALSE()),99),3,IF(I25&lt;=IFERROR(VLOOKUP(CONCATENATE(D25,YEAR(TODAY())-YEAR(C25),"lin10m"),_viitearvot!$I$2:$M$205,5,FALSE()),99),2,1)))))</f>
        <v/>
      </c>
      <c r="U25" s="13" t="str">
        <f aca="true">IF(OR(J25="",D25=""),"",IF(J25&lt;=IFERROR(VLOOKUP(CONCATENATE(D25,YEAR(TODAY())-YEAR(C25),"lin20m"),_viitearvot!$I$2:$M$205,2,FALSE()),99),5,IF(J25&lt;=IFERROR(VLOOKUP(CONCATENATE(D25,YEAR(TODAY())-YEAR(C25),"lin20m"),_viitearvot!$I$2:$M$205,3,FALSE()),99),4,IF(J25&lt;=IFERROR(VLOOKUP(CONCATENATE(D25,YEAR(TODAY())-YEAR(C25),"lin20m"),_viitearvot!$I$2:$M$205,4,FALSE()),99),3,IF(J25&lt;=IFERROR(VLOOKUP(CONCATENATE(D25,YEAR(TODAY())-YEAR(C25),"lin20m"),_viitearvot!$I$2:$M$205,5,FALSE()),99),2,1)))))</f>
        <v/>
      </c>
      <c r="V25" s="13" t="str">
        <f aca="true">IF(OR(K25="",D25=""),"",IF(K25&lt;=IFERROR(VLOOKUP(CONCATENATE(D25,YEAR(TODAY())-YEAR(C25),"lin30m"),_viitearvot!$I$2:$M$205,2,FALSE()),99),5,IF(K25&lt;=IFERROR(VLOOKUP(CONCATENATE(D25,YEAR(TODAY())-YEAR(C25),"lin30m"),_viitearvot!$I$2:$M$205,3,FALSE()),99),4,IF(K25&lt;=IFERROR(VLOOKUP(CONCATENATE(D25,YEAR(TODAY())-YEAR(C25),"lin30m"),_viitearvot!$I$2:$M$205,4,FALSE()),99),3,IF(K25&lt;=IFERROR(VLOOKUP(CONCATENATE(D25,YEAR(TODAY())-YEAR(C25),"lin30m"),_viitearvot!$I$2:$M$205,5,FALSE()),99),2,1)))))</f>
        <v/>
      </c>
      <c r="W25" s="13" t="str">
        <f aca="true">IF(OR(L25="",D25=""),"",IF(L25&lt;=IFERROR(VLOOKUP(CONCATENATE(D25,YEAR(TODAY())-YEAR(C25),"kasirata"),_viitearvot!$I$2:$M$205,2,FALSE()),99),5,IF(L25&lt;=IFERROR(VLOOKUP(CONCATENATE(D25,YEAR(TODAY())-YEAR(C25),"kasirata"),_viitearvot!$I$2:$M$205,3,FALSE()),99),4,IF(L25&lt;=IFERROR(VLOOKUP(CONCATENATE(D25,YEAR(TODAY())-YEAR(C25),"kasirata"),_viitearvot!$I$2:$M$205,4,FALSE()),99),3,IF(L25&lt;=IFERROR(VLOOKUP(CONCATENATE(D25,YEAR(TODAY())-YEAR(C25),"kasirata"),_viitearvot!$I$2:$M$205,5,FALSE()),99),2,1)))))</f>
        <v/>
      </c>
      <c r="X25" s="13" t="str">
        <f aca="true">IF(OR(M25="",D25=""),"",IF(M25&lt;=IFERROR(VLOOKUP(CONCATENATE(D25,YEAR(TODAY())-YEAR(C25),"smjuoksu"),_viitearvot!$I$2:$M$205,2,FALSE()),99),5,IF(M25&lt;=IFERROR(VLOOKUP(CONCATENATE(D25,YEAR(TODAY())-YEAR(C25),"smjuoksu"),_viitearvot!$I$2:$M$205,3,FALSE()),99),4,IF(M25&lt;=IFERROR(VLOOKUP(CONCATENATE(D25,YEAR(TODAY())-YEAR(C25),"smjuoksu"),_viitearvot!$I$2:$M$205,4,FALSE()),99),3,IF(M25&lt;=IFERROR(VLOOKUP(CONCATENATE(D25,YEAR(TODAY())-YEAR(C25),"smjuoksu"),_viitearvot!$I$2:$M$205,5,FALSE()),99),2,1)))))</f>
        <v/>
      </c>
      <c r="Y25" s="13" t="str">
        <f aca="true">IF(OR(N25="",D25=""),"",IF(N25&lt;=IFERROR(VLOOKUP(CONCATENATE(D25,YEAR(TODAY())-YEAR(C25),"smpallo"),_viitearvot!$I$2:$M$205,2,FALSE()),99),5,IF(N25&lt;=IFERROR(VLOOKUP(CONCATENATE(D25,YEAR(TODAY())-YEAR(C25),"smpallo"),_viitearvot!$I$2:$M$205,3,FALSE()),99),4,IF(N25&lt;=IFERROR(VLOOKUP(CONCATENATE(D25,YEAR(TODAY())-YEAR(C25),"smpallo"),_viitearvot!$I$2:$M$205,4,FALSE()),99),3,IF(N25&lt;=IFERROR(VLOOKUP(CONCATENATE(D25,YEAR(TODAY())-YEAR(C25),"smpallo"),_viitearvot!$I$2:$M$205,5,FALSE()),99),2,1)))))</f>
        <v/>
      </c>
      <c r="Z25" s="13" t="str">
        <f aca="true">IF(OR(O25="",D25=""),"",IF(O25&gt;=IFERROR(VLOOKUP(CONCATENATE(D25,YEAR(TODAY())-YEAR(C25),"cmj"),_viitearvot!$I$2:$M$205,2,FALSE()),0),5,IF(O25&gt;=IFERROR(VLOOKUP(CONCATENATE(D25,YEAR(TODAY())-YEAR(C25),"cmj"),_viitearvot!$I$2:$M$205,3,FALSE()),0),4,IF(O25&gt;=IFERROR(VLOOKUP(CONCATENATE(D25,YEAR(TODAY())-YEAR(C25),"cmj"),_viitearvot!$I$2:$M$205,4,FALSE()),0),3,IF(O25&gt;=IFERROR(VLOOKUP(CONCATENATE(D25,YEAR(TODAY())-YEAR(C25),"cmj"),_viitearvot!$I$2:$M$205,5,FALSE()),0),2,1)))))</f>
        <v/>
      </c>
      <c r="AA25" s="13" t="str">
        <f aca="true">IF(OR(P25="",D25=""),"",IF(P25&gt;=IFERROR(VLOOKUP(CONCATENATE(D25,YEAR(TODAY())-YEAR(C25),"bronco"),_viitearvot!$I$2:$M$205,2,FALSE()),0),5,IF(P25&gt;=IFERROR(VLOOKUP(CONCATENATE(D25,YEAR(TODAY())-YEAR(C25),"bronco"),_viitearvot!$I$2:$M$205,3,FALSE()),0),4,IF(P25&gt;=IFERROR(VLOOKUP(CONCATENATE(D25,YEAR(TODAY())-YEAR(C25),"bronco"),_viitearvot!$I$2:$M$205,4,FALSE()),0),3,IF(P25&gt;=IFERROR(VLOOKUP(CONCATENATE(D25,YEAR(TODAY())-YEAR(C25),"bronco"),_viitearvot!$I$2:$M$205,5,FALSE()),0),2,1)))))</f>
        <v/>
      </c>
      <c r="AB25" s="11"/>
      <c r="AC25" s="14"/>
      <c r="AD25" s="15" t="str">
        <f aca="false">IF(OR(AC25="",H25=""),"",(IF(D25="P",IF(H25&lt;=IFERROR(VLOOKUP(CONCATENATE("P",ROUND(AC25,0),"lin5m"),_viitearvot!$A:$H,4,FALSE()),99),5,IF(H25&lt;=IFERROR(VLOOKUP(CONCATENATE("P",ROUND(AC25,0),"lin5m"),_viitearvot!$A:$H,5,FALSE()),99),4,IF(H25&lt;=IFERROR(VLOOKUP(CONCATENATE("P",ROUND(AC25,0),"lin5m"),_viitearvot!$A:$H,6,FALSE()),99),3,IF(H25&lt;=IFERROR(VLOOKUP(CONCATENATE("P",ROUND(AC25,0),"lin5m"),_viitearvot!$A:$H,7,FALSE()),99),2,1)))),IF(H25&lt;=IFERROR(VLOOKUP(CONCATENATE("T",ROUND(AC25,0),"lin5m"),_viitearvot!$A:$H,4,FALSE()),99),5,IF(H25&lt;=IFERROR(VLOOKUP(CONCATENATE("T",ROUND(AC25,0),"lin5m"),_viitearvot!$A:$H,5,FALSE()),99),4,IF(H25&lt;=IFERROR(VLOOKUP(CONCATENATE("T",ROUND(AC25,0),"lin5m"),_viitearvot!$A:$H,6,FALSE()),99),3,IF(H25&lt;=IFERROR(VLOOKUP(CONCATENATE("T",ROUND(AC25,0),"lin5m"),_viitearvot!$A:$H,7,FALSE()),99),2,1)))))-S25))</f>
        <v/>
      </c>
    </row>
    <row r="26" customFormat="false" ht="15" hidden="false" customHeight="true" outlineLevel="0" collapsed="false">
      <c r="A26" s="10"/>
      <c r="B26" s="10"/>
      <c r="C26" s="10"/>
      <c r="D26" s="10"/>
      <c r="E26" s="10"/>
      <c r="F26" s="10"/>
      <c r="G26" s="11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6" t="str">
        <f aca="true">IF(OR(H26="",D26=""),"",IF(H26&lt;=IFERROR(VLOOKUP(CONCATENATE(D26,YEAR(TODAY())-YEAR(C26),"lin5m"),_viitearvot!$I$2:$M$205,2,FALSE()),99),5,IF(H26&lt;=IFERROR(VLOOKUP(CONCATENATE(D26,YEAR(TODAY())-YEAR(C26),"lin5m"),_viitearvot!$I$2:$M$205,3,FALSE()),99),4,IF(H26&lt;=IFERROR(VLOOKUP(CONCATENATE(D26,YEAR(TODAY())-YEAR(C26),"lin5m"),_viitearvot!$I$2:$M$205,4,FALSE()),99),3,IF(H26&lt;=IFERROR(VLOOKUP(CONCATENATE(D26,YEAR(TODAY())-YEAR(C26),"lin5m"),_viitearvot!$I$2:$M$205,5,FALSE()),99),2,1)))))</f>
        <v/>
      </c>
      <c r="T26" s="16" t="str">
        <f aca="true">IF(OR(I26="",D26=""),"",IF(I26&lt;=IFERROR(VLOOKUP(CONCATENATE(D26,YEAR(TODAY())-YEAR(C26),"lin10m"),_viitearvot!$I$2:$M$205,2,FALSE()),99),5,IF(I26&lt;=IFERROR(VLOOKUP(CONCATENATE(D26,YEAR(TODAY())-YEAR(C26),"lin10m"),_viitearvot!$I$2:$M$205,3,FALSE()),99),4,IF(I26&lt;=IFERROR(VLOOKUP(CONCATENATE(D26,YEAR(TODAY())-YEAR(C26),"lin10m"),_viitearvot!$I$2:$M$205,4,FALSE()),99),3,IF(I26&lt;=IFERROR(VLOOKUP(CONCATENATE(D26,YEAR(TODAY())-YEAR(C26),"lin10m"),_viitearvot!$I$2:$M$205,5,FALSE()),99),2,1)))))</f>
        <v/>
      </c>
      <c r="U26" s="16" t="str">
        <f aca="true">IF(OR(J26="",D26=""),"",IF(J26&lt;=IFERROR(VLOOKUP(CONCATENATE(D26,YEAR(TODAY())-YEAR(C26),"lin20m"),_viitearvot!$I$2:$M$205,2,FALSE()),99),5,IF(J26&lt;=IFERROR(VLOOKUP(CONCATENATE(D26,YEAR(TODAY())-YEAR(C26),"lin20m"),_viitearvot!$I$2:$M$205,3,FALSE()),99),4,IF(J26&lt;=IFERROR(VLOOKUP(CONCATENATE(D26,YEAR(TODAY())-YEAR(C26),"lin20m"),_viitearvot!$I$2:$M$205,4,FALSE()),99),3,IF(J26&lt;=IFERROR(VLOOKUP(CONCATENATE(D26,YEAR(TODAY())-YEAR(C26),"lin20m"),_viitearvot!$I$2:$M$205,5,FALSE()),99),2,1)))))</f>
        <v/>
      </c>
      <c r="V26" s="16" t="str">
        <f aca="true">IF(OR(K26="",D26=""),"",IF(K26&lt;=IFERROR(VLOOKUP(CONCATENATE(D26,YEAR(TODAY())-YEAR(C26),"lin30m"),_viitearvot!$I$2:$M$205,2,FALSE()),99),5,IF(K26&lt;=IFERROR(VLOOKUP(CONCATENATE(D26,YEAR(TODAY())-YEAR(C26),"lin30m"),_viitearvot!$I$2:$M$205,3,FALSE()),99),4,IF(K26&lt;=IFERROR(VLOOKUP(CONCATENATE(D26,YEAR(TODAY())-YEAR(C26),"lin30m"),_viitearvot!$I$2:$M$205,4,FALSE()),99),3,IF(K26&lt;=IFERROR(VLOOKUP(CONCATENATE(D26,YEAR(TODAY())-YEAR(C26),"lin30m"),_viitearvot!$I$2:$M$205,5,FALSE()),99),2,1)))))</f>
        <v/>
      </c>
      <c r="W26" s="16" t="str">
        <f aca="true">IF(OR(L26="",D26=""),"",IF(L26&lt;=IFERROR(VLOOKUP(CONCATENATE(D26,YEAR(TODAY())-YEAR(C26),"kasirata"),_viitearvot!$I$2:$M$205,2,FALSE()),99),5,IF(L26&lt;=IFERROR(VLOOKUP(CONCATENATE(D26,YEAR(TODAY())-YEAR(C26),"kasirata"),_viitearvot!$I$2:$M$205,3,FALSE()),99),4,IF(L26&lt;=IFERROR(VLOOKUP(CONCATENATE(D26,YEAR(TODAY())-YEAR(C26),"kasirata"),_viitearvot!$I$2:$M$205,4,FALSE()),99),3,IF(L26&lt;=IFERROR(VLOOKUP(CONCATENATE(D26,YEAR(TODAY())-YEAR(C26),"kasirata"),_viitearvot!$I$2:$M$205,5,FALSE()),99),2,1)))))</f>
        <v/>
      </c>
      <c r="X26" s="16" t="str">
        <f aca="true">IF(OR(M26="",D26=""),"",IF(M26&lt;=IFERROR(VLOOKUP(CONCATENATE(D26,YEAR(TODAY())-YEAR(C26),"smjuoksu"),_viitearvot!$I$2:$M$205,2,FALSE()),99),5,IF(M26&lt;=IFERROR(VLOOKUP(CONCATENATE(D26,YEAR(TODAY())-YEAR(C26),"smjuoksu"),_viitearvot!$I$2:$M$205,3,FALSE()),99),4,IF(M26&lt;=IFERROR(VLOOKUP(CONCATENATE(D26,YEAR(TODAY())-YEAR(C26),"smjuoksu"),_viitearvot!$I$2:$M$205,4,FALSE()),99),3,IF(M26&lt;=IFERROR(VLOOKUP(CONCATENATE(D26,YEAR(TODAY())-YEAR(C26),"smjuoksu"),_viitearvot!$I$2:$M$205,5,FALSE()),99),2,1)))))</f>
        <v/>
      </c>
      <c r="Y26" s="16" t="str">
        <f aca="true">IF(OR(N26="",D26=""),"",IF(N26&lt;=IFERROR(VLOOKUP(CONCATENATE(D26,YEAR(TODAY())-YEAR(C26),"smpallo"),_viitearvot!$I$2:$M$205,2,FALSE()),99),5,IF(N26&lt;=IFERROR(VLOOKUP(CONCATENATE(D26,YEAR(TODAY())-YEAR(C26),"smpallo"),_viitearvot!$I$2:$M$205,3,FALSE()),99),4,IF(N26&lt;=IFERROR(VLOOKUP(CONCATENATE(D26,YEAR(TODAY())-YEAR(C26),"smpallo"),_viitearvot!$I$2:$M$205,4,FALSE()),99),3,IF(N26&lt;=IFERROR(VLOOKUP(CONCATENATE(D26,YEAR(TODAY())-YEAR(C26),"smpallo"),_viitearvot!$I$2:$M$205,5,FALSE()),99),2,1)))))</f>
        <v/>
      </c>
      <c r="Z26" s="16" t="str">
        <f aca="true">IF(OR(O26="",D26=""),"",IF(O26&gt;=IFERROR(VLOOKUP(CONCATENATE(D26,YEAR(TODAY())-YEAR(C26),"cmj"),_viitearvot!$I$2:$M$205,2,FALSE()),0),5,IF(O26&gt;=IFERROR(VLOOKUP(CONCATENATE(D26,YEAR(TODAY())-YEAR(C26),"cmj"),_viitearvot!$I$2:$M$205,3,FALSE()),0),4,IF(O26&gt;=IFERROR(VLOOKUP(CONCATENATE(D26,YEAR(TODAY())-YEAR(C26),"cmj"),_viitearvot!$I$2:$M$205,4,FALSE()),0),3,IF(O26&gt;=IFERROR(VLOOKUP(CONCATENATE(D26,YEAR(TODAY())-YEAR(C26),"cmj"),_viitearvot!$I$2:$M$205,5,FALSE()),0),2,1)))))</f>
        <v/>
      </c>
      <c r="AA26" s="16" t="str">
        <f aca="true">IF(OR(P26="",D26=""),"",IF(P26&gt;=IFERROR(VLOOKUP(CONCATENATE(D26,YEAR(TODAY())-YEAR(C26),"bronco"),_viitearvot!$I$2:$M$205,2,FALSE()),0),5,IF(P26&gt;=IFERROR(VLOOKUP(CONCATENATE(D26,YEAR(TODAY())-YEAR(C26),"bronco"),_viitearvot!$I$2:$M$205,3,FALSE()),0),4,IF(P26&gt;=IFERROR(VLOOKUP(CONCATENATE(D26,YEAR(TODAY())-YEAR(C26),"bronco"),_viitearvot!$I$2:$M$205,4,FALSE()),0),3,IF(P26&gt;=IFERROR(VLOOKUP(CONCATENATE(D26,YEAR(TODAY())-YEAR(C26),"bronco"),_viitearvot!$I$2:$M$205,5,FALSE()),0),2,1)))))</f>
        <v/>
      </c>
      <c r="AB26" s="11"/>
      <c r="AC26" s="17"/>
      <c r="AD26" s="18" t="str">
        <f aca="false">IF(OR(AC26="",H26=""),"",(IF(D26="P",IF(H26&lt;=IFERROR(VLOOKUP(CONCATENATE("P",ROUND(AC26,0),"lin5m"),_viitearvot!$A:$H,4,FALSE()),99),5,IF(H26&lt;=IFERROR(VLOOKUP(CONCATENATE("P",ROUND(AC26,0),"lin5m"),_viitearvot!$A:$H,5,FALSE()),99),4,IF(H26&lt;=IFERROR(VLOOKUP(CONCATENATE("P",ROUND(AC26,0),"lin5m"),_viitearvot!$A:$H,6,FALSE()),99),3,IF(H26&lt;=IFERROR(VLOOKUP(CONCATENATE("P",ROUND(AC26,0),"lin5m"),_viitearvot!$A:$H,7,FALSE()),99),2,1)))),IF(H26&lt;=IFERROR(VLOOKUP(CONCATENATE("T",ROUND(AC26,0),"lin5m"),_viitearvot!$A:$H,4,FALSE()),99),5,IF(H26&lt;=IFERROR(VLOOKUP(CONCATENATE("T",ROUND(AC26,0),"lin5m"),_viitearvot!$A:$H,5,FALSE()),99),4,IF(H26&lt;=IFERROR(VLOOKUP(CONCATENATE("T",ROUND(AC26,0),"lin5m"),_viitearvot!$A:$H,6,FALSE()),99),3,IF(H26&lt;=IFERROR(VLOOKUP(CONCATENATE("T",ROUND(AC26,0),"lin5m"),_viitearvot!$A:$H,7,FALSE()),99),2,1)))))-S26))</f>
        <v/>
      </c>
    </row>
    <row r="27" customFormat="false" ht="15" hidden="false" customHeight="true" outlineLevel="0" collapsed="false">
      <c r="A27" s="10"/>
      <c r="B27" s="10"/>
      <c r="C27" s="10"/>
      <c r="D27" s="10"/>
      <c r="E27" s="10"/>
      <c r="F27" s="10"/>
      <c r="G27" s="11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 t="str">
        <f aca="true">IF(OR(H27="",D27=""),"",IF(H27&lt;=IFERROR(VLOOKUP(CONCATENATE(D27,YEAR(TODAY())-YEAR(C27),"lin5m"),_viitearvot!$I$2:$M$205,2,FALSE()),99),5,IF(H27&lt;=IFERROR(VLOOKUP(CONCATENATE(D27,YEAR(TODAY())-YEAR(C27),"lin5m"),_viitearvot!$I$2:$M$205,3,FALSE()),99),4,IF(H27&lt;=IFERROR(VLOOKUP(CONCATENATE(D27,YEAR(TODAY())-YEAR(C27),"lin5m"),_viitearvot!$I$2:$M$205,4,FALSE()),99),3,IF(H27&lt;=IFERROR(VLOOKUP(CONCATENATE(D27,YEAR(TODAY())-YEAR(C27),"lin5m"),_viitearvot!$I$2:$M$205,5,FALSE()),99),2,1)))))</f>
        <v/>
      </c>
      <c r="T27" s="13" t="str">
        <f aca="true">IF(OR(I27="",D27=""),"",IF(I27&lt;=IFERROR(VLOOKUP(CONCATENATE(D27,YEAR(TODAY())-YEAR(C27),"lin10m"),_viitearvot!$I$2:$M$205,2,FALSE()),99),5,IF(I27&lt;=IFERROR(VLOOKUP(CONCATENATE(D27,YEAR(TODAY())-YEAR(C27),"lin10m"),_viitearvot!$I$2:$M$205,3,FALSE()),99),4,IF(I27&lt;=IFERROR(VLOOKUP(CONCATENATE(D27,YEAR(TODAY())-YEAR(C27),"lin10m"),_viitearvot!$I$2:$M$205,4,FALSE()),99),3,IF(I27&lt;=IFERROR(VLOOKUP(CONCATENATE(D27,YEAR(TODAY())-YEAR(C27),"lin10m"),_viitearvot!$I$2:$M$205,5,FALSE()),99),2,1)))))</f>
        <v/>
      </c>
      <c r="U27" s="13" t="str">
        <f aca="true">IF(OR(J27="",D27=""),"",IF(J27&lt;=IFERROR(VLOOKUP(CONCATENATE(D27,YEAR(TODAY())-YEAR(C27),"lin20m"),_viitearvot!$I$2:$M$205,2,FALSE()),99),5,IF(J27&lt;=IFERROR(VLOOKUP(CONCATENATE(D27,YEAR(TODAY())-YEAR(C27),"lin20m"),_viitearvot!$I$2:$M$205,3,FALSE()),99),4,IF(J27&lt;=IFERROR(VLOOKUP(CONCATENATE(D27,YEAR(TODAY())-YEAR(C27),"lin20m"),_viitearvot!$I$2:$M$205,4,FALSE()),99),3,IF(J27&lt;=IFERROR(VLOOKUP(CONCATENATE(D27,YEAR(TODAY())-YEAR(C27),"lin20m"),_viitearvot!$I$2:$M$205,5,FALSE()),99),2,1)))))</f>
        <v/>
      </c>
      <c r="V27" s="13" t="str">
        <f aca="true">IF(OR(K27="",D27=""),"",IF(K27&lt;=IFERROR(VLOOKUP(CONCATENATE(D27,YEAR(TODAY())-YEAR(C27),"lin30m"),_viitearvot!$I$2:$M$205,2,FALSE()),99),5,IF(K27&lt;=IFERROR(VLOOKUP(CONCATENATE(D27,YEAR(TODAY())-YEAR(C27),"lin30m"),_viitearvot!$I$2:$M$205,3,FALSE()),99),4,IF(K27&lt;=IFERROR(VLOOKUP(CONCATENATE(D27,YEAR(TODAY())-YEAR(C27),"lin30m"),_viitearvot!$I$2:$M$205,4,FALSE()),99),3,IF(K27&lt;=IFERROR(VLOOKUP(CONCATENATE(D27,YEAR(TODAY())-YEAR(C27),"lin30m"),_viitearvot!$I$2:$M$205,5,FALSE()),99),2,1)))))</f>
        <v/>
      </c>
      <c r="W27" s="13" t="str">
        <f aca="true">IF(OR(L27="",D27=""),"",IF(L27&lt;=IFERROR(VLOOKUP(CONCATENATE(D27,YEAR(TODAY())-YEAR(C27),"kasirata"),_viitearvot!$I$2:$M$205,2,FALSE()),99),5,IF(L27&lt;=IFERROR(VLOOKUP(CONCATENATE(D27,YEAR(TODAY())-YEAR(C27),"kasirata"),_viitearvot!$I$2:$M$205,3,FALSE()),99),4,IF(L27&lt;=IFERROR(VLOOKUP(CONCATENATE(D27,YEAR(TODAY())-YEAR(C27),"kasirata"),_viitearvot!$I$2:$M$205,4,FALSE()),99),3,IF(L27&lt;=IFERROR(VLOOKUP(CONCATENATE(D27,YEAR(TODAY())-YEAR(C27),"kasirata"),_viitearvot!$I$2:$M$205,5,FALSE()),99),2,1)))))</f>
        <v/>
      </c>
      <c r="X27" s="13" t="str">
        <f aca="true">IF(OR(M27="",D27=""),"",IF(M27&lt;=IFERROR(VLOOKUP(CONCATENATE(D27,YEAR(TODAY())-YEAR(C27),"smjuoksu"),_viitearvot!$I$2:$M$205,2,FALSE()),99),5,IF(M27&lt;=IFERROR(VLOOKUP(CONCATENATE(D27,YEAR(TODAY())-YEAR(C27),"smjuoksu"),_viitearvot!$I$2:$M$205,3,FALSE()),99),4,IF(M27&lt;=IFERROR(VLOOKUP(CONCATENATE(D27,YEAR(TODAY())-YEAR(C27),"smjuoksu"),_viitearvot!$I$2:$M$205,4,FALSE()),99),3,IF(M27&lt;=IFERROR(VLOOKUP(CONCATENATE(D27,YEAR(TODAY())-YEAR(C27),"smjuoksu"),_viitearvot!$I$2:$M$205,5,FALSE()),99),2,1)))))</f>
        <v/>
      </c>
      <c r="Y27" s="13" t="str">
        <f aca="true">IF(OR(N27="",D27=""),"",IF(N27&lt;=IFERROR(VLOOKUP(CONCATENATE(D27,YEAR(TODAY())-YEAR(C27),"smpallo"),_viitearvot!$I$2:$M$205,2,FALSE()),99),5,IF(N27&lt;=IFERROR(VLOOKUP(CONCATENATE(D27,YEAR(TODAY())-YEAR(C27),"smpallo"),_viitearvot!$I$2:$M$205,3,FALSE()),99),4,IF(N27&lt;=IFERROR(VLOOKUP(CONCATENATE(D27,YEAR(TODAY())-YEAR(C27),"smpallo"),_viitearvot!$I$2:$M$205,4,FALSE()),99),3,IF(N27&lt;=IFERROR(VLOOKUP(CONCATENATE(D27,YEAR(TODAY())-YEAR(C27),"smpallo"),_viitearvot!$I$2:$M$205,5,FALSE()),99),2,1)))))</f>
        <v/>
      </c>
      <c r="Z27" s="13" t="str">
        <f aca="true">IF(OR(O27="",D27=""),"",IF(O27&gt;=IFERROR(VLOOKUP(CONCATENATE(D27,YEAR(TODAY())-YEAR(C27),"cmj"),_viitearvot!$I$2:$M$205,2,FALSE()),0),5,IF(O27&gt;=IFERROR(VLOOKUP(CONCATENATE(D27,YEAR(TODAY())-YEAR(C27),"cmj"),_viitearvot!$I$2:$M$205,3,FALSE()),0),4,IF(O27&gt;=IFERROR(VLOOKUP(CONCATENATE(D27,YEAR(TODAY())-YEAR(C27),"cmj"),_viitearvot!$I$2:$M$205,4,FALSE()),0),3,IF(O27&gt;=IFERROR(VLOOKUP(CONCATENATE(D27,YEAR(TODAY())-YEAR(C27),"cmj"),_viitearvot!$I$2:$M$205,5,FALSE()),0),2,1)))))</f>
        <v/>
      </c>
      <c r="AA27" s="13" t="str">
        <f aca="true">IF(OR(P27="",D27=""),"",IF(P27&gt;=IFERROR(VLOOKUP(CONCATENATE(D27,YEAR(TODAY())-YEAR(C27),"bronco"),_viitearvot!$I$2:$M$205,2,FALSE()),0),5,IF(P27&gt;=IFERROR(VLOOKUP(CONCATENATE(D27,YEAR(TODAY())-YEAR(C27),"bronco"),_viitearvot!$I$2:$M$205,3,FALSE()),0),4,IF(P27&gt;=IFERROR(VLOOKUP(CONCATENATE(D27,YEAR(TODAY())-YEAR(C27),"bronco"),_viitearvot!$I$2:$M$205,4,FALSE()),0),3,IF(P27&gt;=IFERROR(VLOOKUP(CONCATENATE(D27,YEAR(TODAY())-YEAR(C27),"bronco"),_viitearvot!$I$2:$M$205,5,FALSE()),0),2,1)))))</f>
        <v/>
      </c>
      <c r="AB27" s="11"/>
      <c r="AC27" s="14"/>
      <c r="AD27" s="15" t="str">
        <f aca="false">IF(OR(AC27="",H27=""),"",(IF(D27="P",IF(H27&lt;=IFERROR(VLOOKUP(CONCATENATE("P",ROUND(AC27,0),"lin5m"),_viitearvot!$A:$H,4,FALSE()),99),5,IF(H27&lt;=IFERROR(VLOOKUP(CONCATENATE("P",ROUND(AC27,0),"lin5m"),_viitearvot!$A:$H,5,FALSE()),99),4,IF(H27&lt;=IFERROR(VLOOKUP(CONCATENATE("P",ROUND(AC27,0),"lin5m"),_viitearvot!$A:$H,6,FALSE()),99),3,IF(H27&lt;=IFERROR(VLOOKUP(CONCATENATE("P",ROUND(AC27,0),"lin5m"),_viitearvot!$A:$H,7,FALSE()),99),2,1)))),IF(H27&lt;=IFERROR(VLOOKUP(CONCATENATE("T",ROUND(AC27,0),"lin5m"),_viitearvot!$A:$H,4,FALSE()),99),5,IF(H27&lt;=IFERROR(VLOOKUP(CONCATENATE("T",ROUND(AC27,0),"lin5m"),_viitearvot!$A:$H,5,FALSE()),99),4,IF(H27&lt;=IFERROR(VLOOKUP(CONCATENATE("T",ROUND(AC27,0),"lin5m"),_viitearvot!$A:$H,6,FALSE()),99),3,IF(H27&lt;=IFERROR(VLOOKUP(CONCATENATE("T",ROUND(AC27,0),"lin5m"),_viitearvot!$A:$H,7,FALSE()),99),2,1)))))-S27))</f>
        <v/>
      </c>
    </row>
    <row r="28" customFormat="false" ht="15" hidden="false" customHeight="true" outlineLevel="0" collapsed="false">
      <c r="A28" s="10"/>
      <c r="B28" s="10"/>
      <c r="C28" s="10"/>
      <c r="D28" s="10"/>
      <c r="E28" s="10"/>
      <c r="F28" s="10"/>
      <c r="G28" s="11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6" t="str">
        <f aca="true">IF(OR(H28="",D28=""),"",IF(H28&lt;=IFERROR(VLOOKUP(CONCATENATE(D28,YEAR(TODAY())-YEAR(C28),"lin5m"),_viitearvot!$I$2:$M$205,2,FALSE()),99),5,IF(H28&lt;=IFERROR(VLOOKUP(CONCATENATE(D28,YEAR(TODAY())-YEAR(C28),"lin5m"),_viitearvot!$I$2:$M$205,3,FALSE()),99),4,IF(H28&lt;=IFERROR(VLOOKUP(CONCATENATE(D28,YEAR(TODAY())-YEAR(C28),"lin5m"),_viitearvot!$I$2:$M$205,4,FALSE()),99),3,IF(H28&lt;=IFERROR(VLOOKUP(CONCATENATE(D28,YEAR(TODAY())-YEAR(C28),"lin5m"),_viitearvot!$I$2:$M$205,5,FALSE()),99),2,1)))))</f>
        <v/>
      </c>
      <c r="T28" s="16" t="str">
        <f aca="true">IF(OR(I28="",D28=""),"",IF(I28&lt;=IFERROR(VLOOKUP(CONCATENATE(D28,YEAR(TODAY())-YEAR(C28),"lin10m"),_viitearvot!$I$2:$M$205,2,FALSE()),99),5,IF(I28&lt;=IFERROR(VLOOKUP(CONCATENATE(D28,YEAR(TODAY())-YEAR(C28),"lin10m"),_viitearvot!$I$2:$M$205,3,FALSE()),99),4,IF(I28&lt;=IFERROR(VLOOKUP(CONCATENATE(D28,YEAR(TODAY())-YEAR(C28),"lin10m"),_viitearvot!$I$2:$M$205,4,FALSE()),99),3,IF(I28&lt;=IFERROR(VLOOKUP(CONCATENATE(D28,YEAR(TODAY())-YEAR(C28),"lin10m"),_viitearvot!$I$2:$M$205,5,FALSE()),99),2,1)))))</f>
        <v/>
      </c>
      <c r="U28" s="16" t="str">
        <f aca="true">IF(OR(J28="",D28=""),"",IF(J28&lt;=IFERROR(VLOOKUP(CONCATENATE(D28,YEAR(TODAY())-YEAR(C28),"lin20m"),_viitearvot!$I$2:$M$205,2,FALSE()),99),5,IF(J28&lt;=IFERROR(VLOOKUP(CONCATENATE(D28,YEAR(TODAY())-YEAR(C28),"lin20m"),_viitearvot!$I$2:$M$205,3,FALSE()),99),4,IF(J28&lt;=IFERROR(VLOOKUP(CONCATENATE(D28,YEAR(TODAY())-YEAR(C28),"lin20m"),_viitearvot!$I$2:$M$205,4,FALSE()),99),3,IF(J28&lt;=IFERROR(VLOOKUP(CONCATENATE(D28,YEAR(TODAY())-YEAR(C28),"lin20m"),_viitearvot!$I$2:$M$205,5,FALSE()),99),2,1)))))</f>
        <v/>
      </c>
      <c r="V28" s="16" t="str">
        <f aca="true">IF(OR(K28="",D28=""),"",IF(K28&lt;=IFERROR(VLOOKUP(CONCATENATE(D28,YEAR(TODAY())-YEAR(C28),"lin30m"),_viitearvot!$I$2:$M$205,2,FALSE()),99),5,IF(K28&lt;=IFERROR(VLOOKUP(CONCATENATE(D28,YEAR(TODAY())-YEAR(C28),"lin30m"),_viitearvot!$I$2:$M$205,3,FALSE()),99),4,IF(K28&lt;=IFERROR(VLOOKUP(CONCATENATE(D28,YEAR(TODAY())-YEAR(C28),"lin30m"),_viitearvot!$I$2:$M$205,4,FALSE()),99),3,IF(K28&lt;=IFERROR(VLOOKUP(CONCATENATE(D28,YEAR(TODAY())-YEAR(C28),"lin30m"),_viitearvot!$I$2:$M$205,5,FALSE()),99),2,1)))))</f>
        <v/>
      </c>
      <c r="W28" s="16" t="str">
        <f aca="true">IF(OR(L28="",D28=""),"",IF(L28&lt;=IFERROR(VLOOKUP(CONCATENATE(D28,YEAR(TODAY())-YEAR(C28),"kasirata"),_viitearvot!$I$2:$M$205,2,FALSE()),99),5,IF(L28&lt;=IFERROR(VLOOKUP(CONCATENATE(D28,YEAR(TODAY())-YEAR(C28),"kasirata"),_viitearvot!$I$2:$M$205,3,FALSE()),99),4,IF(L28&lt;=IFERROR(VLOOKUP(CONCATENATE(D28,YEAR(TODAY())-YEAR(C28),"kasirata"),_viitearvot!$I$2:$M$205,4,FALSE()),99),3,IF(L28&lt;=IFERROR(VLOOKUP(CONCATENATE(D28,YEAR(TODAY())-YEAR(C28),"kasirata"),_viitearvot!$I$2:$M$205,5,FALSE()),99),2,1)))))</f>
        <v/>
      </c>
      <c r="X28" s="16" t="str">
        <f aca="true">IF(OR(M28="",D28=""),"",IF(M28&lt;=IFERROR(VLOOKUP(CONCATENATE(D28,YEAR(TODAY())-YEAR(C28),"smjuoksu"),_viitearvot!$I$2:$M$205,2,FALSE()),99),5,IF(M28&lt;=IFERROR(VLOOKUP(CONCATENATE(D28,YEAR(TODAY())-YEAR(C28),"smjuoksu"),_viitearvot!$I$2:$M$205,3,FALSE()),99),4,IF(M28&lt;=IFERROR(VLOOKUP(CONCATENATE(D28,YEAR(TODAY())-YEAR(C28),"smjuoksu"),_viitearvot!$I$2:$M$205,4,FALSE()),99),3,IF(M28&lt;=IFERROR(VLOOKUP(CONCATENATE(D28,YEAR(TODAY())-YEAR(C28),"smjuoksu"),_viitearvot!$I$2:$M$205,5,FALSE()),99),2,1)))))</f>
        <v/>
      </c>
      <c r="Y28" s="16" t="str">
        <f aca="true">IF(OR(N28="",D28=""),"",IF(N28&lt;=IFERROR(VLOOKUP(CONCATENATE(D28,YEAR(TODAY())-YEAR(C28),"smpallo"),_viitearvot!$I$2:$M$205,2,FALSE()),99),5,IF(N28&lt;=IFERROR(VLOOKUP(CONCATENATE(D28,YEAR(TODAY())-YEAR(C28),"smpallo"),_viitearvot!$I$2:$M$205,3,FALSE()),99),4,IF(N28&lt;=IFERROR(VLOOKUP(CONCATENATE(D28,YEAR(TODAY())-YEAR(C28),"smpallo"),_viitearvot!$I$2:$M$205,4,FALSE()),99),3,IF(N28&lt;=IFERROR(VLOOKUP(CONCATENATE(D28,YEAR(TODAY())-YEAR(C28),"smpallo"),_viitearvot!$I$2:$M$205,5,FALSE()),99),2,1)))))</f>
        <v/>
      </c>
      <c r="Z28" s="16" t="str">
        <f aca="true">IF(OR(O28="",D28=""),"",IF(O28&gt;=IFERROR(VLOOKUP(CONCATENATE(D28,YEAR(TODAY())-YEAR(C28),"cmj"),_viitearvot!$I$2:$M$205,2,FALSE()),0),5,IF(O28&gt;=IFERROR(VLOOKUP(CONCATENATE(D28,YEAR(TODAY())-YEAR(C28),"cmj"),_viitearvot!$I$2:$M$205,3,FALSE()),0),4,IF(O28&gt;=IFERROR(VLOOKUP(CONCATENATE(D28,YEAR(TODAY())-YEAR(C28),"cmj"),_viitearvot!$I$2:$M$205,4,FALSE()),0),3,IF(O28&gt;=IFERROR(VLOOKUP(CONCATENATE(D28,YEAR(TODAY())-YEAR(C28),"cmj"),_viitearvot!$I$2:$M$205,5,FALSE()),0),2,1)))))</f>
        <v/>
      </c>
      <c r="AA28" s="16" t="str">
        <f aca="true">IF(OR(P28="",D28=""),"",IF(P28&gt;=IFERROR(VLOOKUP(CONCATENATE(D28,YEAR(TODAY())-YEAR(C28),"bronco"),_viitearvot!$I$2:$M$205,2,FALSE()),0),5,IF(P28&gt;=IFERROR(VLOOKUP(CONCATENATE(D28,YEAR(TODAY())-YEAR(C28),"bronco"),_viitearvot!$I$2:$M$205,3,FALSE()),0),4,IF(P28&gt;=IFERROR(VLOOKUP(CONCATENATE(D28,YEAR(TODAY())-YEAR(C28),"bronco"),_viitearvot!$I$2:$M$205,4,FALSE()),0),3,IF(P28&gt;=IFERROR(VLOOKUP(CONCATENATE(D28,YEAR(TODAY())-YEAR(C28),"bronco"),_viitearvot!$I$2:$M$205,5,FALSE()),0),2,1)))))</f>
        <v/>
      </c>
      <c r="AB28" s="11"/>
      <c r="AC28" s="17"/>
      <c r="AD28" s="18" t="str">
        <f aca="false">IF(OR(AC28="",H28=""),"",(IF(D28="P",IF(H28&lt;=IFERROR(VLOOKUP(CONCATENATE("P",ROUND(AC28,0),"lin5m"),_viitearvot!$A:$H,4,FALSE()),99),5,IF(H28&lt;=IFERROR(VLOOKUP(CONCATENATE("P",ROUND(AC28,0),"lin5m"),_viitearvot!$A:$H,5,FALSE()),99),4,IF(H28&lt;=IFERROR(VLOOKUP(CONCATENATE("P",ROUND(AC28,0),"lin5m"),_viitearvot!$A:$H,6,FALSE()),99),3,IF(H28&lt;=IFERROR(VLOOKUP(CONCATENATE("P",ROUND(AC28,0),"lin5m"),_viitearvot!$A:$H,7,FALSE()),99),2,1)))),IF(H28&lt;=IFERROR(VLOOKUP(CONCATENATE("T",ROUND(AC28,0),"lin5m"),_viitearvot!$A:$H,4,FALSE()),99),5,IF(H28&lt;=IFERROR(VLOOKUP(CONCATENATE("T",ROUND(AC28,0),"lin5m"),_viitearvot!$A:$H,5,FALSE()),99),4,IF(H28&lt;=IFERROR(VLOOKUP(CONCATENATE("T",ROUND(AC28,0),"lin5m"),_viitearvot!$A:$H,6,FALSE()),99),3,IF(H28&lt;=IFERROR(VLOOKUP(CONCATENATE("T",ROUND(AC28,0),"lin5m"),_viitearvot!$A:$H,7,FALSE()),99),2,1)))))-S28))</f>
        <v/>
      </c>
    </row>
    <row r="29" customFormat="false" ht="15" hidden="false" customHeight="true" outlineLevel="0" collapsed="false">
      <c r="A29" s="10"/>
      <c r="B29" s="10"/>
      <c r="C29" s="10"/>
      <c r="D29" s="10"/>
      <c r="E29" s="10"/>
      <c r="F29" s="10"/>
      <c r="G29" s="11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 t="str">
        <f aca="true">IF(OR(H29="",D29=""),"",IF(H29&lt;=IFERROR(VLOOKUP(CONCATENATE(D29,YEAR(TODAY())-YEAR(C29),"lin5m"),_viitearvot!$I$2:$M$205,2,FALSE()),99),5,IF(H29&lt;=IFERROR(VLOOKUP(CONCATENATE(D29,YEAR(TODAY())-YEAR(C29),"lin5m"),_viitearvot!$I$2:$M$205,3,FALSE()),99),4,IF(H29&lt;=IFERROR(VLOOKUP(CONCATENATE(D29,YEAR(TODAY())-YEAR(C29),"lin5m"),_viitearvot!$I$2:$M$205,4,FALSE()),99),3,IF(H29&lt;=IFERROR(VLOOKUP(CONCATENATE(D29,YEAR(TODAY())-YEAR(C29),"lin5m"),_viitearvot!$I$2:$M$205,5,FALSE()),99),2,1)))))</f>
        <v/>
      </c>
      <c r="T29" s="13" t="str">
        <f aca="true">IF(OR(I29="",D29=""),"",IF(I29&lt;=IFERROR(VLOOKUP(CONCATENATE(D29,YEAR(TODAY())-YEAR(C29),"lin10m"),_viitearvot!$I$2:$M$205,2,FALSE()),99),5,IF(I29&lt;=IFERROR(VLOOKUP(CONCATENATE(D29,YEAR(TODAY())-YEAR(C29),"lin10m"),_viitearvot!$I$2:$M$205,3,FALSE()),99),4,IF(I29&lt;=IFERROR(VLOOKUP(CONCATENATE(D29,YEAR(TODAY())-YEAR(C29),"lin10m"),_viitearvot!$I$2:$M$205,4,FALSE()),99),3,IF(I29&lt;=IFERROR(VLOOKUP(CONCATENATE(D29,YEAR(TODAY())-YEAR(C29),"lin10m"),_viitearvot!$I$2:$M$205,5,FALSE()),99),2,1)))))</f>
        <v/>
      </c>
      <c r="U29" s="13" t="str">
        <f aca="true">IF(OR(J29="",D29=""),"",IF(J29&lt;=IFERROR(VLOOKUP(CONCATENATE(D29,YEAR(TODAY())-YEAR(C29),"lin20m"),_viitearvot!$I$2:$M$205,2,FALSE()),99),5,IF(J29&lt;=IFERROR(VLOOKUP(CONCATENATE(D29,YEAR(TODAY())-YEAR(C29),"lin20m"),_viitearvot!$I$2:$M$205,3,FALSE()),99),4,IF(J29&lt;=IFERROR(VLOOKUP(CONCATENATE(D29,YEAR(TODAY())-YEAR(C29),"lin20m"),_viitearvot!$I$2:$M$205,4,FALSE()),99),3,IF(J29&lt;=IFERROR(VLOOKUP(CONCATENATE(D29,YEAR(TODAY())-YEAR(C29),"lin20m"),_viitearvot!$I$2:$M$205,5,FALSE()),99),2,1)))))</f>
        <v/>
      </c>
      <c r="V29" s="13" t="str">
        <f aca="true">IF(OR(K29="",D29=""),"",IF(K29&lt;=IFERROR(VLOOKUP(CONCATENATE(D29,YEAR(TODAY())-YEAR(C29),"lin30m"),_viitearvot!$I$2:$M$205,2,FALSE()),99),5,IF(K29&lt;=IFERROR(VLOOKUP(CONCATENATE(D29,YEAR(TODAY())-YEAR(C29),"lin30m"),_viitearvot!$I$2:$M$205,3,FALSE()),99),4,IF(K29&lt;=IFERROR(VLOOKUP(CONCATENATE(D29,YEAR(TODAY())-YEAR(C29),"lin30m"),_viitearvot!$I$2:$M$205,4,FALSE()),99),3,IF(K29&lt;=IFERROR(VLOOKUP(CONCATENATE(D29,YEAR(TODAY())-YEAR(C29),"lin30m"),_viitearvot!$I$2:$M$205,5,FALSE()),99),2,1)))))</f>
        <v/>
      </c>
      <c r="W29" s="13" t="str">
        <f aca="true">IF(OR(L29="",D29=""),"",IF(L29&lt;=IFERROR(VLOOKUP(CONCATENATE(D29,YEAR(TODAY())-YEAR(C29),"kasirata"),_viitearvot!$I$2:$M$205,2,FALSE()),99),5,IF(L29&lt;=IFERROR(VLOOKUP(CONCATENATE(D29,YEAR(TODAY())-YEAR(C29),"kasirata"),_viitearvot!$I$2:$M$205,3,FALSE()),99),4,IF(L29&lt;=IFERROR(VLOOKUP(CONCATENATE(D29,YEAR(TODAY())-YEAR(C29),"kasirata"),_viitearvot!$I$2:$M$205,4,FALSE()),99),3,IF(L29&lt;=IFERROR(VLOOKUP(CONCATENATE(D29,YEAR(TODAY())-YEAR(C29),"kasirata"),_viitearvot!$I$2:$M$205,5,FALSE()),99),2,1)))))</f>
        <v/>
      </c>
      <c r="X29" s="13" t="str">
        <f aca="true">IF(OR(M29="",D29=""),"",IF(M29&lt;=IFERROR(VLOOKUP(CONCATENATE(D29,YEAR(TODAY())-YEAR(C29),"smjuoksu"),_viitearvot!$I$2:$M$205,2,FALSE()),99),5,IF(M29&lt;=IFERROR(VLOOKUP(CONCATENATE(D29,YEAR(TODAY())-YEAR(C29),"smjuoksu"),_viitearvot!$I$2:$M$205,3,FALSE()),99),4,IF(M29&lt;=IFERROR(VLOOKUP(CONCATENATE(D29,YEAR(TODAY())-YEAR(C29),"smjuoksu"),_viitearvot!$I$2:$M$205,4,FALSE()),99),3,IF(M29&lt;=IFERROR(VLOOKUP(CONCATENATE(D29,YEAR(TODAY())-YEAR(C29),"smjuoksu"),_viitearvot!$I$2:$M$205,5,FALSE()),99),2,1)))))</f>
        <v/>
      </c>
      <c r="Y29" s="13" t="str">
        <f aca="true">IF(OR(N29="",D29=""),"",IF(N29&lt;=IFERROR(VLOOKUP(CONCATENATE(D29,YEAR(TODAY())-YEAR(C29),"smpallo"),_viitearvot!$I$2:$M$205,2,FALSE()),99),5,IF(N29&lt;=IFERROR(VLOOKUP(CONCATENATE(D29,YEAR(TODAY())-YEAR(C29),"smpallo"),_viitearvot!$I$2:$M$205,3,FALSE()),99),4,IF(N29&lt;=IFERROR(VLOOKUP(CONCATENATE(D29,YEAR(TODAY())-YEAR(C29),"smpallo"),_viitearvot!$I$2:$M$205,4,FALSE()),99),3,IF(N29&lt;=IFERROR(VLOOKUP(CONCATENATE(D29,YEAR(TODAY())-YEAR(C29),"smpallo"),_viitearvot!$I$2:$M$205,5,FALSE()),99),2,1)))))</f>
        <v/>
      </c>
      <c r="Z29" s="13" t="str">
        <f aca="true">IF(OR(O29="",D29=""),"",IF(O29&gt;=IFERROR(VLOOKUP(CONCATENATE(D29,YEAR(TODAY())-YEAR(C29),"cmj"),_viitearvot!$I$2:$M$205,2,FALSE()),0),5,IF(O29&gt;=IFERROR(VLOOKUP(CONCATENATE(D29,YEAR(TODAY())-YEAR(C29),"cmj"),_viitearvot!$I$2:$M$205,3,FALSE()),0),4,IF(O29&gt;=IFERROR(VLOOKUP(CONCATENATE(D29,YEAR(TODAY())-YEAR(C29),"cmj"),_viitearvot!$I$2:$M$205,4,FALSE()),0),3,IF(O29&gt;=IFERROR(VLOOKUP(CONCATENATE(D29,YEAR(TODAY())-YEAR(C29),"cmj"),_viitearvot!$I$2:$M$205,5,FALSE()),0),2,1)))))</f>
        <v/>
      </c>
      <c r="AA29" s="13" t="str">
        <f aca="true">IF(OR(P29="",D29=""),"",IF(P29&gt;=IFERROR(VLOOKUP(CONCATENATE(D29,YEAR(TODAY())-YEAR(C29),"bronco"),_viitearvot!$I$2:$M$205,2,FALSE()),0),5,IF(P29&gt;=IFERROR(VLOOKUP(CONCATENATE(D29,YEAR(TODAY())-YEAR(C29),"bronco"),_viitearvot!$I$2:$M$205,3,FALSE()),0),4,IF(P29&gt;=IFERROR(VLOOKUP(CONCATENATE(D29,YEAR(TODAY())-YEAR(C29),"bronco"),_viitearvot!$I$2:$M$205,4,FALSE()),0),3,IF(P29&gt;=IFERROR(VLOOKUP(CONCATENATE(D29,YEAR(TODAY())-YEAR(C29),"bronco"),_viitearvot!$I$2:$M$205,5,FALSE()),0),2,1)))))</f>
        <v/>
      </c>
      <c r="AB29" s="11"/>
      <c r="AC29" s="14"/>
      <c r="AD29" s="15" t="str">
        <f aca="false">IF(OR(AC29="",H29=""),"",(IF(D29="P",IF(H29&lt;=IFERROR(VLOOKUP(CONCATENATE("P",ROUND(AC29,0),"lin5m"),_viitearvot!$A:$H,4,FALSE()),99),5,IF(H29&lt;=IFERROR(VLOOKUP(CONCATENATE("P",ROUND(AC29,0),"lin5m"),_viitearvot!$A:$H,5,FALSE()),99),4,IF(H29&lt;=IFERROR(VLOOKUP(CONCATENATE("P",ROUND(AC29,0),"lin5m"),_viitearvot!$A:$H,6,FALSE()),99),3,IF(H29&lt;=IFERROR(VLOOKUP(CONCATENATE("P",ROUND(AC29,0),"lin5m"),_viitearvot!$A:$H,7,FALSE()),99),2,1)))),IF(H29&lt;=IFERROR(VLOOKUP(CONCATENATE("T",ROUND(AC29,0),"lin5m"),_viitearvot!$A:$H,4,FALSE()),99),5,IF(H29&lt;=IFERROR(VLOOKUP(CONCATENATE("T",ROUND(AC29,0),"lin5m"),_viitearvot!$A:$H,5,FALSE()),99),4,IF(H29&lt;=IFERROR(VLOOKUP(CONCATENATE("T",ROUND(AC29,0),"lin5m"),_viitearvot!$A:$H,6,FALSE()),99),3,IF(H29&lt;=IFERROR(VLOOKUP(CONCATENATE("T",ROUND(AC29,0),"lin5m"),_viitearvot!$A:$H,7,FALSE()),99),2,1)))))-S29))</f>
        <v/>
      </c>
    </row>
    <row r="30" customFormat="false" ht="15" hidden="false" customHeight="true" outlineLevel="0" collapsed="false">
      <c r="A30" s="10"/>
      <c r="B30" s="10"/>
      <c r="C30" s="10"/>
      <c r="D30" s="10"/>
      <c r="E30" s="10"/>
      <c r="F30" s="10"/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6" t="str">
        <f aca="true">IF(OR(H30="",D30=""),"",IF(H30&lt;=IFERROR(VLOOKUP(CONCATENATE(D30,YEAR(TODAY())-YEAR(C30),"lin5m"),_viitearvot!$I$2:$M$205,2,FALSE()),99),5,IF(H30&lt;=IFERROR(VLOOKUP(CONCATENATE(D30,YEAR(TODAY())-YEAR(C30),"lin5m"),_viitearvot!$I$2:$M$205,3,FALSE()),99),4,IF(H30&lt;=IFERROR(VLOOKUP(CONCATENATE(D30,YEAR(TODAY())-YEAR(C30),"lin5m"),_viitearvot!$I$2:$M$205,4,FALSE()),99),3,IF(H30&lt;=IFERROR(VLOOKUP(CONCATENATE(D30,YEAR(TODAY())-YEAR(C30),"lin5m"),_viitearvot!$I$2:$M$205,5,FALSE()),99),2,1)))))</f>
        <v/>
      </c>
      <c r="T30" s="16" t="str">
        <f aca="true">IF(OR(I30="",D30=""),"",IF(I30&lt;=IFERROR(VLOOKUP(CONCATENATE(D30,YEAR(TODAY())-YEAR(C30),"lin10m"),_viitearvot!$I$2:$M$205,2,FALSE()),99),5,IF(I30&lt;=IFERROR(VLOOKUP(CONCATENATE(D30,YEAR(TODAY())-YEAR(C30),"lin10m"),_viitearvot!$I$2:$M$205,3,FALSE()),99),4,IF(I30&lt;=IFERROR(VLOOKUP(CONCATENATE(D30,YEAR(TODAY())-YEAR(C30),"lin10m"),_viitearvot!$I$2:$M$205,4,FALSE()),99),3,IF(I30&lt;=IFERROR(VLOOKUP(CONCATENATE(D30,YEAR(TODAY())-YEAR(C30),"lin10m"),_viitearvot!$I$2:$M$205,5,FALSE()),99),2,1)))))</f>
        <v/>
      </c>
      <c r="U30" s="16" t="str">
        <f aca="true">IF(OR(J30="",D30=""),"",IF(J30&lt;=IFERROR(VLOOKUP(CONCATENATE(D30,YEAR(TODAY())-YEAR(C30),"lin20m"),_viitearvot!$I$2:$M$205,2,FALSE()),99),5,IF(J30&lt;=IFERROR(VLOOKUP(CONCATENATE(D30,YEAR(TODAY())-YEAR(C30),"lin20m"),_viitearvot!$I$2:$M$205,3,FALSE()),99),4,IF(J30&lt;=IFERROR(VLOOKUP(CONCATENATE(D30,YEAR(TODAY())-YEAR(C30),"lin20m"),_viitearvot!$I$2:$M$205,4,FALSE()),99),3,IF(J30&lt;=IFERROR(VLOOKUP(CONCATENATE(D30,YEAR(TODAY())-YEAR(C30),"lin20m"),_viitearvot!$I$2:$M$205,5,FALSE()),99),2,1)))))</f>
        <v/>
      </c>
      <c r="V30" s="16" t="str">
        <f aca="true">IF(OR(K30="",D30=""),"",IF(K30&lt;=IFERROR(VLOOKUP(CONCATENATE(D30,YEAR(TODAY())-YEAR(C30),"lin30m"),_viitearvot!$I$2:$M$205,2,FALSE()),99),5,IF(K30&lt;=IFERROR(VLOOKUP(CONCATENATE(D30,YEAR(TODAY())-YEAR(C30),"lin30m"),_viitearvot!$I$2:$M$205,3,FALSE()),99),4,IF(K30&lt;=IFERROR(VLOOKUP(CONCATENATE(D30,YEAR(TODAY())-YEAR(C30),"lin30m"),_viitearvot!$I$2:$M$205,4,FALSE()),99),3,IF(K30&lt;=IFERROR(VLOOKUP(CONCATENATE(D30,YEAR(TODAY())-YEAR(C30),"lin30m"),_viitearvot!$I$2:$M$205,5,FALSE()),99),2,1)))))</f>
        <v/>
      </c>
      <c r="W30" s="16" t="str">
        <f aca="true">IF(OR(L30="",D30=""),"",IF(L30&lt;=IFERROR(VLOOKUP(CONCATENATE(D30,YEAR(TODAY())-YEAR(C30),"kasirata"),_viitearvot!$I$2:$M$205,2,FALSE()),99),5,IF(L30&lt;=IFERROR(VLOOKUP(CONCATENATE(D30,YEAR(TODAY())-YEAR(C30),"kasirata"),_viitearvot!$I$2:$M$205,3,FALSE()),99),4,IF(L30&lt;=IFERROR(VLOOKUP(CONCATENATE(D30,YEAR(TODAY())-YEAR(C30),"kasirata"),_viitearvot!$I$2:$M$205,4,FALSE()),99),3,IF(L30&lt;=IFERROR(VLOOKUP(CONCATENATE(D30,YEAR(TODAY())-YEAR(C30),"kasirata"),_viitearvot!$I$2:$M$205,5,FALSE()),99),2,1)))))</f>
        <v/>
      </c>
      <c r="X30" s="16" t="str">
        <f aca="true">IF(OR(M30="",D30=""),"",IF(M30&lt;=IFERROR(VLOOKUP(CONCATENATE(D30,YEAR(TODAY())-YEAR(C30),"smjuoksu"),_viitearvot!$I$2:$M$205,2,FALSE()),99),5,IF(M30&lt;=IFERROR(VLOOKUP(CONCATENATE(D30,YEAR(TODAY())-YEAR(C30),"smjuoksu"),_viitearvot!$I$2:$M$205,3,FALSE()),99),4,IF(M30&lt;=IFERROR(VLOOKUP(CONCATENATE(D30,YEAR(TODAY())-YEAR(C30),"smjuoksu"),_viitearvot!$I$2:$M$205,4,FALSE()),99),3,IF(M30&lt;=IFERROR(VLOOKUP(CONCATENATE(D30,YEAR(TODAY())-YEAR(C30),"smjuoksu"),_viitearvot!$I$2:$M$205,5,FALSE()),99),2,1)))))</f>
        <v/>
      </c>
      <c r="Y30" s="16" t="str">
        <f aca="true">IF(OR(N30="",D30=""),"",IF(N30&lt;=IFERROR(VLOOKUP(CONCATENATE(D30,YEAR(TODAY())-YEAR(C30),"smpallo"),_viitearvot!$I$2:$M$205,2,FALSE()),99),5,IF(N30&lt;=IFERROR(VLOOKUP(CONCATENATE(D30,YEAR(TODAY())-YEAR(C30),"smpallo"),_viitearvot!$I$2:$M$205,3,FALSE()),99),4,IF(N30&lt;=IFERROR(VLOOKUP(CONCATENATE(D30,YEAR(TODAY())-YEAR(C30),"smpallo"),_viitearvot!$I$2:$M$205,4,FALSE()),99),3,IF(N30&lt;=IFERROR(VLOOKUP(CONCATENATE(D30,YEAR(TODAY())-YEAR(C30),"smpallo"),_viitearvot!$I$2:$M$205,5,FALSE()),99),2,1)))))</f>
        <v/>
      </c>
      <c r="Z30" s="16" t="str">
        <f aca="true">IF(OR(O30="",D30=""),"",IF(O30&gt;=IFERROR(VLOOKUP(CONCATENATE(D30,YEAR(TODAY())-YEAR(C30),"cmj"),_viitearvot!$I$2:$M$205,2,FALSE()),0),5,IF(O30&gt;=IFERROR(VLOOKUP(CONCATENATE(D30,YEAR(TODAY())-YEAR(C30),"cmj"),_viitearvot!$I$2:$M$205,3,FALSE()),0),4,IF(O30&gt;=IFERROR(VLOOKUP(CONCATENATE(D30,YEAR(TODAY())-YEAR(C30),"cmj"),_viitearvot!$I$2:$M$205,4,FALSE()),0),3,IF(O30&gt;=IFERROR(VLOOKUP(CONCATENATE(D30,YEAR(TODAY())-YEAR(C30),"cmj"),_viitearvot!$I$2:$M$205,5,FALSE()),0),2,1)))))</f>
        <v/>
      </c>
      <c r="AA30" s="16" t="str">
        <f aca="true">IF(OR(P30="",D30=""),"",IF(P30&gt;=IFERROR(VLOOKUP(CONCATENATE(D30,YEAR(TODAY())-YEAR(C30),"bronco"),_viitearvot!$I$2:$M$205,2,FALSE()),0),5,IF(P30&gt;=IFERROR(VLOOKUP(CONCATENATE(D30,YEAR(TODAY())-YEAR(C30),"bronco"),_viitearvot!$I$2:$M$205,3,FALSE()),0),4,IF(P30&gt;=IFERROR(VLOOKUP(CONCATENATE(D30,YEAR(TODAY())-YEAR(C30),"bronco"),_viitearvot!$I$2:$M$205,4,FALSE()),0),3,IF(P30&gt;=IFERROR(VLOOKUP(CONCATENATE(D30,YEAR(TODAY())-YEAR(C30),"bronco"),_viitearvot!$I$2:$M$205,5,FALSE()),0),2,1)))))</f>
        <v/>
      </c>
      <c r="AB30" s="11"/>
      <c r="AC30" s="17"/>
      <c r="AD30" s="18" t="str">
        <f aca="false">IF(OR(AC30="",H30=""),"",(IF(D30="P",IF(H30&lt;=IFERROR(VLOOKUP(CONCATENATE("P",ROUND(AC30,0),"lin5m"),_viitearvot!$A:$H,4,FALSE()),99),5,IF(H30&lt;=IFERROR(VLOOKUP(CONCATENATE("P",ROUND(AC30,0),"lin5m"),_viitearvot!$A:$H,5,FALSE()),99),4,IF(H30&lt;=IFERROR(VLOOKUP(CONCATENATE("P",ROUND(AC30,0),"lin5m"),_viitearvot!$A:$H,6,FALSE()),99),3,IF(H30&lt;=IFERROR(VLOOKUP(CONCATENATE("P",ROUND(AC30,0),"lin5m"),_viitearvot!$A:$H,7,FALSE()),99),2,1)))),IF(H30&lt;=IFERROR(VLOOKUP(CONCATENATE("T",ROUND(AC30,0),"lin5m"),_viitearvot!$A:$H,4,FALSE()),99),5,IF(H30&lt;=IFERROR(VLOOKUP(CONCATENATE("T",ROUND(AC30,0),"lin5m"),_viitearvot!$A:$H,5,FALSE()),99),4,IF(H30&lt;=IFERROR(VLOOKUP(CONCATENATE("T",ROUND(AC30,0),"lin5m"),_viitearvot!$A:$H,6,FALSE()),99),3,IF(H30&lt;=IFERROR(VLOOKUP(CONCATENATE("T",ROUND(AC30,0),"lin5m"),_viitearvot!$A:$H,7,FALSE()),99),2,1)))))-S30))</f>
        <v/>
      </c>
    </row>
    <row r="31" customFormat="false" ht="15" hidden="false" customHeight="true" outlineLevel="0" collapsed="false">
      <c r="A31" s="10"/>
      <c r="B31" s="10"/>
      <c r="C31" s="10"/>
      <c r="D31" s="10"/>
      <c r="E31" s="10"/>
      <c r="F31" s="10"/>
      <c r="G31" s="11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 t="str">
        <f aca="true">IF(OR(H31="",D31=""),"",IF(H31&lt;=IFERROR(VLOOKUP(CONCATENATE(D31,YEAR(TODAY())-YEAR(C31),"lin5m"),_viitearvot!$I$2:$M$205,2,FALSE()),99),5,IF(H31&lt;=IFERROR(VLOOKUP(CONCATENATE(D31,YEAR(TODAY())-YEAR(C31),"lin5m"),_viitearvot!$I$2:$M$205,3,FALSE()),99),4,IF(H31&lt;=IFERROR(VLOOKUP(CONCATENATE(D31,YEAR(TODAY())-YEAR(C31),"lin5m"),_viitearvot!$I$2:$M$205,4,FALSE()),99),3,IF(H31&lt;=IFERROR(VLOOKUP(CONCATENATE(D31,YEAR(TODAY())-YEAR(C31),"lin5m"),_viitearvot!$I$2:$M$205,5,FALSE()),99),2,1)))))</f>
        <v/>
      </c>
      <c r="T31" s="13" t="str">
        <f aca="true">IF(OR(I31="",D31=""),"",IF(I31&lt;=IFERROR(VLOOKUP(CONCATENATE(D31,YEAR(TODAY())-YEAR(C31),"lin10m"),_viitearvot!$I$2:$M$205,2,FALSE()),99),5,IF(I31&lt;=IFERROR(VLOOKUP(CONCATENATE(D31,YEAR(TODAY())-YEAR(C31),"lin10m"),_viitearvot!$I$2:$M$205,3,FALSE()),99),4,IF(I31&lt;=IFERROR(VLOOKUP(CONCATENATE(D31,YEAR(TODAY())-YEAR(C31),"lin10m"),_viitearvot!$I$2:$M$205,4,FALSE()),99),3,IF(I31&lt;=IFERROR(VLOOKUP(CONCATENATE(D31,YEAR(TODAY())-YEAR(C31),"lin10m"),_viitearvot!$I$2:$M$205,5,FALSE()),99),2,1)))))</f>
        <v/>
      </c>
      <c r="U31" s="13" t="str">
        <f aca="true">IF(OR(J31="",D31=""),"",IF(J31&lt;=IFERROR(VLOOKUP(CONCATENATE(D31,YEAR(TODAY())-YEAR(C31),"lin20m"),_viitearvot!$I$2:$M$205,2,FALSE()),99),5,IF(J31&lt;=IFERROR(VLOOKUP(CONCATENATE(D31,YEAR(TODAY())-YEAR(C31),"lin20m"),_viitearvot!$I$2:$M$205,3,FALSE()),99),4,IF(J31&lt;=IFERROR(VLOOKUP(CONCATENATE(D31,YEAR(TODAY())-YEAR(C31),"lin20m"),_viitearvot!$I$2:$M$205,4,FALSE()),99),3,IF(J31&lt;=IFERROR(VLOOKUP(CONCATENATE(D31,YEAR(TODAY())-YEAR(C31),"lin20m"),_viitearvot!$I$2:$M$205,5,FALSE()),99),2,1)))))</f>
        <v/>
      </c>
      <c r="V31" s="13" t="str">
        <f aca="true">IF(OR(K31="",D31=""),"",IF(K31&lt;=IFERROR(VLOOKUP(CONCATENATE(D31,YEAR(TODAY())-YEAR(C31),"lin30m"),_viitearvot!$I$2:$M$205,2,FALSE()),99),5,IF(K31&lt;=IFERROR(VLOOKUP(CONCATENATE(D31,YEAR(TODAY())-YEAR(C31),"lin30m"),_viitearvot!$I$2:$M$205,3,FALSE()),99),4,IF(K31&lt;=IFERROR(VLOOKUP(CONCATENATE(D31,YEAR(TODAY())-YEAR(C31),"lin30m"),_viitearvot!$I$2:$M$205,4,FALSE()),99),3,IF(K31&lt;=IFERROR(VLOOKUP(CONCATENATE(D31,YEAR(TODAY())-YEAR(C31),"lin30m"),_viitearvot!$I$2:$M$205,5,FALSE()),99),2,1)))))</f>
        <v/>
      </c>
      <c r="W31" s="13" t="str">
        <f aca="true">IF(OR(L31="",D31=""),"",IF(L31&lt;=IFERROR(VLOOKUP(CONCATENATE(D31,YEAR(TODAY())-YEAR(C31),"kasirata"),_viitearvot!$I$2:$M$205,2,FALSE()),99),5,IF(L31&lt;=IFERROR(VLOOKUP(CONCATENATE(D31,YEAR(TODAY())-YEAR(C31),"kasirata"),_viitearvot!$I$2:$M$205,3,FALSE()),99),4,IF(L31&lt;=IFERROR(VLOOKUP(CONCATENATE(D31,YEAR(TODAY())-YEAR(C31),"kasirata"),_viitearvot!$I$2:$M$205,4,FALSE()),99),3,IF(L31&lt;=IFERROR(VLOOKUP(CONCATENATE(D31,YEAR(TODAY())-YEAR(C31),"kasirata"),_viitearvot!$I$2:$M$205,5,FALSE()),99),2,1)))))</f>
        <v/>
      </c>
      <c r="X31" s="13" t="str">
        <f aca="true">IF(OR(M31="",D31=""),"",IF(M31&lt;=IFERROR(VLOOKUP(CONCATENATE(D31,YEAR(TODAY())-YEAR(C31),"smjuoksu"),_viitearvot!$I$2:$M$205,2,FALSE()),99),5,IF(M31&lt;=IFERROR(VLOOKUP(CONCATENATE(D31,YEAR(TODAY())-YEAR(C31),"smjuoksu"),_viitearvot!$I$2:$M$205,3,FALSE()),99),4,IF(M31&lt;=IFERROR(VLOOKUP(CONCATENATE(D31,YEAR(TODAY())-YEAR(C31),"smjuoksu"),_viitearvot!$I$2:$M$205,4,FALSE()),99),3,IF(M31&lt;=IFERROR(VLOOKUP(CONCATENATE(D31,YEAR(TODAY())-YEAR(C31),"smjuoksu"),_viitearvot!$I$2:$M$205,5,FALSE()),99),2,1)))))</f>
        <v/>
      </c>
      <c r="Y31" s="13" t="str">
        <f aca="true">IF(OR(N31="",D31=""),"",IF(N31&lt;=IFERROR(VLOOKUP(CONCATENATE(D31,YEAR(TODAY())-YEAR(C31),"smpallo"),_viitearvot!$I$2:$M$205,2,FALSE()),99),5,IF(N31&lt;=IFERROR(VLOOKUP(CONCATENATE(D31,YEAR(TODAY())-YEAR(C31),"smpallo"),_viitearvot!$I$2:$M$205,3,FALSE()),99),4,IF(N31&lt;=IFERROR(VLOOKUP(CONCATENATE(D31,YEAR(TODAY())-YEAR(C31),"smpallo"),_viitearvot!$I$2:$M$205,4,FALSE()),99),3,IF(N31&lt;=IFERROR(VLOOKUP(CONCATENATE(D31,YEAR(TODAY())-YEAR(C31),"smpallo"),_viitearvot!$I$2:$M$205,5,FALSE()),99),2,1)))))</f>
        <v/>
      </c>
      <c r="Z31" s="13" t="str">
        <f aca="true">IF(OR(O31="",D31=""),"",IF(O31&gt;=IFERROR(VLOOKUP(CONCATENATE(D31,YEAR(TODAY())-YEAR(C31),"cmj"),_viitearvot!$I$2:$M$205,2,FALSE()),0),5,IF(O31&gt;=IFERROR(VLOOKUP(CONCATENATE(D31,YEAR(TODAY())-YEAR(C31),"cmj"),_viitearvot!$I$2:$M$205,3,FALSE()),0),4,IF(O31&gt;=IFERROR(VLOOKUP(CONCATENATE(D31,YEAR(TODAY())-YEAR(C31),"cmj"),_viitearvot!$I$2:$M$205,4,FALSE()),0),3,IF(O31&gt;=IFERROR(VLOOKUP(CONCATENATE(D31,YEAR(TODAY())-YEAR(C31),"cmj"),_viitearvot!$I$2:$M$205,5,FALSE()),0),2,1)))))</f>
        <v/>
      </c>
      <c r="AA31" s="13" t="str">
        <f aca="true">IF(OR(P31="",D31=""),"",IF(P31&gt;=IFERROR(VLOOKUP(CONCATENATE(D31,YEAR(TODAY())-YEAR(C31),"bronco"),_viitearvot!$I$2:$M$205,2,FALSE()),0),5,IF(P31&gt;=IFERROR(VLOOKUP(CONCATENATE(D31,YEAR(TODAY())-YEAR(C31),"bronco"),_viitearvot!$I$2:$M$205,3,FALSE()),0),4,IF(P31&gt;=IFERROR(VLOOKUP(CONCATENATE(D31,YEAR(TODAY())-YEAR(C31),"bronco"),_viitearvot!$I$2:$M$205,4,FALSE()),0),3,IF(P31&gt;=IFERROR(VLOOKUP(CONCATENATE(D31,YEAR(TODAY())-YEAR(C31),"bronco"),_viitearvot!$I$2:$M$205,5,FALSE()),0),2,1)))))</f>
        <v/>
      </c>
      <c r="AB31" s="11"/>
      <c r="AC31" s="14"/>
      <c r="AD31" s="15" t="str">
        <f aca="false">IF(OR(AC31="",H31=""),"",(IF(D31="P",IF(H31&lt;=IFERROR(VLOOKUP(CONCATENATE("P",ROUND(AC31,0),"lin5m"),_viitearvot!$A:$H,4,FALSE()),99),5,IF(H31&lt;=IFERROR(VLOOKUP(CONCATENATE("P",ROUND(AC31,0),"lin5m"),_viitearvot!$A:$H,5,FALSE()),99),4,IF(H31&lt;=IFERROR(VLOOKUP(CONCATENATE("P",ROUND(AC31,0),"lin5m"),_viitearvot!$A:$H,6,FALSE()),99),3,IF(H31&lt;=IFERROR(VLOOKUP(CONCATENATE("P",ROUND(AC31,0),"lin5m"),_viitearvot!$A:$H,7,FALSE()),99),2,1)))),IF(H31&lt;=IFERROR(VLOOKUP(CONCATENATE("T",ROUND(AC31,0),"lin5m"),_viitearvot!$A:$H,4,FALSE()),99),5,IF(H31&lt;=IFERROR(VLOOKUP(CONCATENATE("T",ROUND(AC31,0),"lin5m"),_viitearvot!$A:$H,5,FALSE()),99),4,IF(H31&lt;=IFERROR(VLOOKUP(CONCATENATE("T",ROUND(AC31,0),"lin5m"),_viitearvot!$A:$H,6,FALSE()),99),3,IF(H31&lt;=IFERROR(VLOOKUP(CONCATENATE("T",ROUND(AC31,0),"lin5m"),_viitearvot!$A:$H,7,FALSE()),99),2,1)))))-S31))</f>
        <v/>
      </c>
    </row>
    <row r="32" customFormat="false" ht="15" hidden="false" customHeight="true" outlineLevel="0" collapsed="false">
      <c r="A32" s="10"/>
      <c r="B32" s="10"/>
      <c r="C32" s="10"/>
      <c r="D32" s="10"/>
      <c r="E32" s="10"/>
      <c r="F32" s="10"/>
      <c r="G32" s="11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6" t="str">
        <f aca="true">IF(OR(H32="",D32=""),"",IF(H32&lt;=IFERROR(VLOOKUP(CONCATENATE(D32,YEAR(TODAY())-YEAR(C32),"lin5m"),_viitearvot!$I$2:$M$205,2,FALSE()),99),5,IF(H32&lt;=IFERROR(VLOOKUP(CONCATENATE(D32,YEAR(TODAY())-YEAR(C32),"lin5m"),_viitearvot!$I$2:$M$205,3,FALSE()),99),4,IF(H32&lt;=IFERROR(VLOOKUP(CONCATENATE(D32,YEAR(TODAY())-YEAR(C32),"lin5m"),_viitearvot!$I$2:$M$205,4,FALSE()),99),3,IF(H32&lt;=IFERROR(VLOOKUP(CONCATENATE(D32,YEAR(TODAY())-YEAR(C32),"lin5m"),_viitearvot!$I$2:$M$205,5,FALSE()),99),2,1)))))</f>
        <v/>
      </c>
      <c r="T32" s="16" t="str">
        <f aca="true">IF(OR(I32="",D32=""),"",IF(I32&lt;=IFERROR(VLOOKUP(CONCATENATE(D32,YEAR(TODAY())-YEAR(C32),"lin10m"),_viitearvot!$I$2:$M$205,2,FALSE()),99),5,IF(I32&lt;=IFERROR(VLOOKUP(CONCATENATE(D32,YEAR(TODAY())-YEAR(C32),"lin10m"),_viitearvot!$I$2:$M$205,3,FALSE()),99),4,IF(I32&lt;=IFERROR(VLOOKUP(CONCATENATE(D32,YEAR(TODAY())-YEAR(C32),"lin10m"),_viitearvot!$I$2:$M$205,4,FALSE()),99),3,IF(I32&lt;=IFERROR(VLOOKUP(CONCATENATE(D32,YEAR(TODAY())-YEAR(C32),"lin10m"),_viitearvot!$I$2:$M$205,5,FALSE()),99),2,1)))))</f>
        <v/>
      </c>
      <c r="U32" s="16" t="str">
        <f aca="true">IF(OR(J32="",D32=""),"",IF(J32&lt;=IFERROR(VLOOKUP(CONCATENATE(D32,YEAR(TODAY())-YEAR(C32),"lin20m"),_viitearvot!$I$2:$M$205,2,FALSE()),99),5,IF(J32&lt;=IFERROR(VLOOKUP(CONCATENATE(D32,YEAR(TODAY())-YEAR(C32),"lin20m"),_viitearvot!$I$2:$M$205,3,FALSE()),99),4,IF(J32&lt;=IFERROR(VLOOKUP(CONCATENATE(D32,YEAR(TODAY())-YEAR(C32),"lin20m"),_viitearvot!$I$2:$M$205,4,FALSE()),99),3,IF(J32&lt;=IFERROR(VLOOKUP(CONCATENATE(D32,YEAR(TODAY())-YEAR(C32),"lin20m"),_viitearvot!$I$2:$M$205,5,FALSE()),99),2,1)))))</f>
        <v/>
      </c>
      <c r="V32" s="16" t="str">
        <f aca="true">IF(OR(K32="",D32=""),"",IF(K32&lt;=IFERROR(VLOOKUP(CONCATENATE(D32,YEAR(TODAY())-YEAR(C32),"lin30m"),_viitearvot!$I$2:$M$205,2,FALSE()),99),5,IF(K32&lt;=IFERROR(VLOOKUP(CONCATENATE(D32,YEAR(TODAY())-YEAR(C32),"lin30m"),_viitearvot!$I$2:$M$205,3,FALSE()),99),4,IF(K32&lt;=IFERROR(VLOOKUP(CONCATENATE(D32,YEAR(TODAY())-YEAR(C32),"lin30m"),_viitearvot!$I$2:$M$205,4,FALSE()),99),3,IF(K32&lt;=IFERROR(VLOOKUP(CONCATENATE(D32,YEAR(TODAY())-YEAR(C32),"lin30m"),_viitearvot!$I$2:$M$205,5,FALSE()),99),2,1)))))</f>
        <v/>
      </c>
      <c r="W32" s="16" t="str">
        <f aca="true">IF(OR(L32="",D32=""),"",IF(L32&lt;=IFERROR(VLOOKUP(CONCATENATE(D32,YEAR(TODAY())-YEAR(C32),"kasirata"),_viitearvot!$I$2:$M$205,2,FALSE()),99),5,IF(L32&lt;=IFERROR(VLOOKUP(CONCATENATE(D32,YEAR(TODAY())-YEAR(C32),"kasirata"),_viitearvot!$I$2:$M$205,3,FALSE()),99),4,IF(L32&lt;=IFERROR(VLOOKUP(CONCATENATE(D32,YEAR(TODAY())-YEAR(C32),"kasirata"),_viitearvot!$I$2:$M$205,4,FALSE()),99),3,IF(L32&lt;=IFERROR(VLOOKUP(CONCATENATE(D32,YEAR(TODAY())-YEAR(C32),"kasirata"),_viitearvot!$I$2:$M$205,5,FALSE()),99),2,1)))))</f>
        <v/>
      </c>
      <c r="X32" s="16" t="str">
        <f aca="true">IF(OR(M32="",D32=""),"",IF(M32&lt;=IFERROR(VLOOKUP(CONCATENATE(D32,YEAR(TODAY())-YEAR(C32),"smjuoksu"),_viitearvot!$I$2:$M$205,2,FALSE()),99),5,IF(M32&lt;=IFERROR(VLOOKUP(CONCATENATE(D32,YEAR(TODAY())-YEAR(C32),"smjuoksu"),_viitearvot!$I$2:$M$205,3,FALSE()),99),4,IF(M32&lt;=IFERROR(VLOOKUP(CONCATENATE(D32,YEAR(TODAY())-YEAR(C32),"smjuoksu"),_viitearvot!$I$2:$M$205,4,FALSE()),99),3,IF(M32&lt;=IFERROR(VLOOKUP(CONCATENATE(D32,YEAR(TODAY())-YEAR(C32),"smjuoksu"),_viitearvot!$I$2:$M$205,5,FALSE()),99),2,1)))))</f>
        <v/>
      </c>
      <c r="Y32" s="16" t="str">
        <f aca="true">IF(OR(N32="",D32=""),"",IF(N32&lt;=IFERROR(VLOOKUP(CONCATENATE(D32,YEAR(TODAY())-YEAR(C32),"smpallo"),_viitearvot!$I$2:$M$205,2,FALSE()),99),5,IF(N32&lt;=IFERROR(VLOOKUP(CONCATENATE(D32,YEAR(TODAY())-YEAR(C32),"smpallo"),_viitearvot!$I$2:$M$205,3,FALSE()),99),4,IF(N32&lt;=IFERROR(VLOOKUP(CONCATENATE(D32,YEAR(TODAY())-YEAR(C32),"smpallo"),_viitearvot!$I$2:$M$205,4,FALSE()),99),3,IF(N32&lt;=IFERROR(VLOOKUP(CONCATENATE(D32,YEAR(TODAY())-YEAR(C32),"smpallo"),_viitearvot!$I$2:$M$205,5,FALSE()),99),2,1)))))</f>
        <v/>
      </c>
      <c r="Z32" s="16" t="str">
        <f aca="true">IF(OR(O32="",D32=""),"",IF(O32&gt;=IFERROR(VLOOKUP(CONCATENATE(D32,YEAR(TODAY())-YEAR(C32),"cmj"),_viitearvot!$I$2:$M$205,2,FALSE()),0),5,IF(O32&gt;=IFERROR(VLOOKUP(CONCATENATE(D32,YEAR(TODAY())-YEAR(C32),"cmj"),_viitearvot!$I$2:$M$205,3,FALSE()),0),4,IF(O32&gt;=IFERROR(VLOOKUP(CONCATENATE(D32,YEAR(TODAY())-YEAR(C32),"cmj"),_viitearvot!$I$2:$M$205,4,FALSE()),0),3,IF(O32&gt;=IFERROR(VLOOKUP(CONCATENATE(D32,YEAR(TODAY())-YEAR(C32),"cmj"),_viitearvot!$I$2:$M$205,5,FALSE()),0),2,1)))))</f>
        <v/>
      </c>
      <c r="AA32" s="16" t="str">
        <f aca="true">IF(OR(P32="",D32=""),"",IF(P32&gt;=IFERROR(VLOOKUP(CONCATENATE(D32,YEAR(TODAY())-YEAR(C32),"bronco"),_viitearvot!$I$2:$M$205,2,FALSE()),0),5,IF(P32&gt;=IFERROR(VLOOKUP(CONCATENATE(D32,YEAR(TODAY())-YEAR(C32),"bronco"),_viitearvot!$I$2:$M$205,3,FALSE()),0),4,IF(P32&gt;=IFERROR(VLOOKUP(CONCATENATE(D32,YEAR(TODAY())-YEAR(C32),"bronco"),_viitearvot!$I$2:$M$205,4,FALSE()),0),3,IF(P32&gt;=IFERROR(VLOOKUP(CONCATENATE(D32,YEAR(TODAY())-YEAR(C32),"bronco"),_viitearvot!$I$2:$M$205,5,FALSE()),0),2,1)))))</f>
        <v/>
      </c>
      <c r="AB32" s="11"/>
      <c r="AC32" s="17"/>
      <c r="AD32" s="18" t="str">
        <f aca="false">IF(OR(AC32="",H32=""),"",(IF(D32="P",IF(H32&lt;=IFERROR(VLOOKUP(CONCATENATE("P",ROUND(AC32,0),"lin5m"),_viitearvot!$A:$H,4,FALSE()),99),5,IF(H32&lt;=IFERROR(VLOOKUP(CONCATENATE("P",ROUND(AC32,0),"lin5m"),_viitearvot!$A:$H,5,FALSE()),99),4,IF(H32&lt;=IFERROR(VLOOKUP(CONCATENATE("P",ROUND(AC32,0),"lin5m"),_viitearvot!$A:$H,6,FALSE()),99),3,IF(H32&lt;=IFERROR(VLOOKUP(CONCATENATE("P",ROUND(AC32,0),"lin5m"),_viitearvot!$A:$H,7,FALSE()),99),2,1)))),IF(H32&lt;=IFERROR(VLOOKUP(CONCATENATE("T",ROUND(AC32,0),"lin5m"),_viitearvot!$A:$H,4,FALSE()),99),5,IF(H32&lt;=IFERROR(VLOOKUP(CONCATENATE("T",ROUND(AC32,0),"lin5m"),_viitearvot!$A:$H,5,FALSE()),99),4,IF(H32&lt;=IFERROR(VLOOKUP(CONCATENATE("T",ROUND(AC32,0),"lin5m"),_viitearvot!$A:$H,6,FALSE()),99),3,IF(H32&lt;=IFERROR(VLOOKUP(CONCATENATE("T",ROUND(AC32,0),"lin5m"),_viitearvot!$A:$H,7,FALSE()),99),2,1)))))-S32))</f>
        <v/>
      </c>
    </row>
    <row r="33" customFormat="false" ht="15" hidden="false" customHeight="true" outlineLevel="0" collapsed="false">
      <c r="A33" s="10"/>
      <c r="B33" s="10"/>
      <c r="C33" s="10"/>
      <c r="D33" s="10"/>
      <c r="E33" s="10"/>
      <c r="F33" s="10"/>
      <c r="G33" s="11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 t="str">
        <f aca="true">IF(OR(H33="",D33=""),"",IF(H33&lt;=IFERROR(VLOOKUP(CONCATENATE(D33,YEAR(TODAY())-YEAR(C33),"lin5m"),_viitearvot!$I$2:$M$205,2,FALSE()),99),5,IF(H33&lt;=IFERROR(VLOOKUP(CONCATENATE(D33,YEAR(TODAY())-YEAR(C33),"lin5m"),_viitearvot!$I$2:$M$205,3,FALSE()),99),4,IF(H33&lt;=IFERROR(VLOOKUP(CONCATENATE(D33,YEAR(TODAY())-YEAR(C33),"lin5m"),_viitearvot!$I$2:$M$205,4,FALSE()),99),3,IF(H33&lt;=IFERROR(VLOOKUP(CONCATENATE(D33,YEAR(TODAY())-YEAR(C33),"lin5m"),_viitearvot!$I$2:$M$205,5,FALSE()),99),2,1)))))</f>
        <v/>
      </c>
      <c r="T33" s="13" t="str">
        <f aca="true">IF(OR(I33="",D33=""),"",IF(I33&lt;=IFERROR(VLOOKUP(CONCATENATE(D33,YEAR(TODAY())-YEAR(C33),"lin10m"),_viitearvot!$I$2:$M$205,2,FALSE()),99),5,IF(I33&lt;=IFERROR(VLOOKUP(CONCATENATE(D33,YEAR(TODAY())-YEAR(C33),"lin10m"),_viitearvot!$I$2:$M$205,3,FALSE()),99),4,IF(I33&lt;=IFERROR(VLOOKUP(CONCATENATE(D33,YEAR(TODAY())-YEAR(C33),"lin10m"),_viitearvot!$I$2:$M$205,4,FALSE()),99),3,IF(I33&lt;=IFERROR(VLOOKUP(CONCATENATE(D33,YEAR(TODAY())-YEAR(C33),"lin10m"),_viitearvot!$I$2:$M$205,5,FALSE()),99),2,1)))))</f>
        <v/>
      </c>
      <c r="U33" s="13" t="str">
        <f aca="true">IF(OR(J33="",D33=""),"",IF(J33&lt;=IFERROR(VLOOKUP(CONCATENATE(D33,YEAR(TODAY())-YEAR(C33),"lin20m"),_viitearvot!$I$2:$M$205,2,FALSE()),99),5,IF(J33&lt;=IFERROR(VLOOKUP(CONCATENATE(D33,YEAR(TODAY())-YEAR(C33),"lin20m"),_viitearvot!$I$2:$M$205,3,FALSE()),99),4,IF(J33&lt;=IFERROR(VLOOKUP(CONCATENATE(D33,YEAR(TODAY())-YEAR(C33),"lin20m"),_viitearvot!$I$2:$M$205,4,FALSE()),99),3,IF(J33&lt;=IFERROR(VLOOKUP(CONCATENATE(D33,YEAR(TODAY())-YEAR(C33),"lin20m"),_viitearvot!$I$2:$M$205,5,FALSE()),99),2,1)))))</f>
        <v/>
      </c>
      <c r="V33" s="13" t="str">
        <f aca="true">IF(OR(K33="",D33=""),"",IF(K33&lt;=IFERROR(VLOOKUP(CONCATENATE(D33,YEAR(TODAY())-YEAR(C33),"lin30m"),_viitearvot!$I$2:$M$205,2,FALSE()),99),5,IF(K33&lt;=IFERROR(VLOOKUP(CONCATENATE(D33,YEAR(TODAY())-YEAR(C33),"lin30m"),_viitearvot!$I$2:$M$205,3,FALSE()),99),4,IF(K33&lt;=IFERROR(VLOOKUP(CONCATENATE(D33,YEAR(TODAY())-YEAR(C33),"lin30m"),_viitearvot!$I$2:$M$205,4,FALSE()),99),3,IF(K33&lt;=IFERROR(VLOOKUP(CONCATENATE(D33,YEAR(TODAY())-YEAR(C33),"lin30m"),_viitearvot!$I$2:$M$205,5,FALSE()),99),2,1)))))</f>
        <v/>
      </c>
      <c r="W33" s="13" t="str">
        <f aca="true">IF(OR(L33="",D33=""),"",IF(L33&lt;=IFERROR(VLOOKUP(CONCATENATE(D33,YEAR(TODAY())-YEAR(C33),"kasirata"),_viitearvot!$I$2:$M$205,2,FALSE()),99),5,IF(L33&lt;=IFERROR(VLOOKUP(CONCATENATE(D33,YEAR(TODAY())-YEAR(C33),"kasirata"),_viitearvot!$I$2:$M$205,3,FALSE()),99),4,IF(L33&lt;=IFERROR(VLOOKUP(CONCATENATE(D33,YEAR(TODAY())-YEAR(C33),"kasirata"),_viitearvot!$I$2:$M$205,4,FALSE()),99),3,IF(L33&lt;=IFERROR(VLOOKUP(CONCATENATE(D33,YEAR(TODAY())-YEAR(C33),"kasirata"),_viitearvot!$I$2:$M$205,5,FALSE()),99),2,1)))))</f>
        <v/>
      </c>
      <c r="X33" s="13" t="str">
        <f aca="true">IF(OR(M33="",D33=""),"",IF(M33&lt;=IFERROR(VLOOKUP(CONCATENATE(D33,YEAR(TODAY())-YEAR(C33),"smjuoksu"),_viitearvot!$I$2:$M$205,2,FALSE()),99),5,IF(M33&lt;=IFERROR(VLOOKUP(CONCATENATE(D33,YEAR(TODAY())-YEAR(C33),"smjuoksu"),_viitearvot!$I$2:$M$205,3,FALSE()),99),4,IF(M33&lt;=IFERROR(VLOOKUP(CONCATENATE(D33,YEAR(TODAY())-YEAR(C33),"smjuoksu"),_viitearvot!$I$2:$M$205,4,FALSE()),99),3,IF(M33&lt;=IFERROR(VLOOKUP(CONCATENATE(D33,YEAR(TODAY())-YEAR(C33),"smjuoksu"),_viitearvot!$I$2:$M$205,5,FALSE()),99),2,1)))))</f>
        <v/>
      </c>
      <c r="Y33" s="13" t="str">
        <f aca="true">IF(OR(N33="",D33=""),"",IF(N33&lt;=IFERROR(VLOOKUP(CONCATENATE(D33,YEAR(TODAY())-YEAR(C33),"smpallo"),_viitearvot!$I$2:$M$205,2,FALSE()),99),5,IF(N33&lt;=IFERROR(VLOOKUP(CONCATENATE(D33,YEAR(TODAY())-YEAR(C33),"smpallo"),_viitearvot!$I$2:$M$205,3,FALSE()),99),4,IF(N33&lt;=IFERROR(VLOOKUP(CONCATENATE(D33,YEAR(TODAY())-YEAR(C33),"smpallo"),_viitearvot!$I$2:$M$205,4,FALSE()),99),3,IF(N33&lt;=IFERROR(VLOOKUP(CONCATENATE(D33,YEAR(TODAY())-YEAR(C33),"smpallo"),_viitearvot!$I$2:$M$205,5,FALSE()),99),2,1)))))</f>
        <v/>
      </c>
      <c r="Z33" s="13" t="str">
        <f aca="true">IF(OR(O33="",D33=""),"",IF(O33&gt;=IFERROR(VLOOKUP(CONCATENATE(D33,YEAR(TODAY())-YEAR(C33),"cmj"),_viitearvot!$I$2:$M$205,2,FALSE()),0),5,IF(O33&gt;=IFERROR(VLOOKUP(CONCATENATE(D33,YEAR(TODAY())-YEAR(C33),"cmj"),_viitearvot!$I$2:$M$205,3,FALSE()),0),4,IF(O33&gt;=IFERROR(VLOOKUP(CONCATENATE(D33,YEAR(TODAY())-YEAR(C33),"cmj"),_viitearvot!$I$2:$M$205,4,FALSE()),0),3,IF(O33&gt;=IFERROR(VLOOKUP(CONCATENATE(D33,YEAR(TODAY())-YEAR(C33),"cmj"),_viitearvot!$I$2:$M$205,5,FALSE()),0),2,1)))))</f>
        <v/>
      </c>
      <c r="AA33" s="13" t="str">
        <f aca="true">IF(OR(P33="",D33=""),"",IF(P33&gt;=IFERROR(VLOOKUP(CONCATENATE(D33,YEAR(TODAY())-YEAR(C33),"bronco"),_viitearvot!$I$2:$M$205,2,FALSE()),0),5,IF(P33&gt;=IFERROR(VLOOKUP(CONCATENATE(D33,YEAR(TODAY())-YEAR(C33),"bronco"),_viitearvot!$I$2:$M$205,3,FALSE()),0),4,IF(P33&gt;=IFERROR(VLOOKUP(CONCATENATE(D33,YEAR(TODAY())-YEAR(C33),"bronco"),_viitearvot!$I$2:$M$205,4,FALSE()),0),3,IF(P33&gt;=IFERROR(VLOOKUP(CONCATENATE(D33,YEAR(TODAY())-YEAR(C33),"bronco"),_viitearvot!$I$2:$M$205,5,FALSE()),0),2,1)))))</f>
        <v/>
      </c>
      <c r="AB33" s="11"/>
      <c r="AC33" s="14"/>
      <c r="AD33" s="15" t="str">
        <f aca="false">IF(OR(AC33="",H33=""),"",(IF(D33="P",IF(H33&lt;=IFERROR(VLOOKUP(CONCATENATE("P",ROUND(AC33,0),"lin5m"),_viitearvot!$A:$H,4,FALSE()),99),5,IF(H33&lt;=IFERROR(VLOOKUP(CONCATENATE("P",ROUND(AC33,0),"lin5m"),_viitearvot!$A:$H,5,FALSE()),99),4,IF(H33&lt;=IFERROR(VLOOKUP(CONCATENATE("P",ROUND(AC33,0),"lin5m"),_viitearvot!$A:$H,6,FALSE()),99),3,IF(H33&lt;=IFERROR(VLOOKUP(CONCATENATE("P",ROUND(AC33,0),"lin5m"),_viitearvot!$A:$H,7,FALSE()),99),2,1)))),IF(H33&lt;=IFERROR(VLOOKUP(CONCATENATE("T",ROUND(AC33,0),"lin5m"),_viitearvot!$A:$H,4,FALSE()),99),5,IF(H33&lt;=IFERROR(VLOOKUP(CONCATENATE("T",ROUND(AC33,0),"lin5m"),_viitearvot!$A:$H,5,FALSE()),99),4,IF(H33&lt;=IFERROR(VLOOKUP(CONCATENATE("T",ROUND(AC33,0),"lin5m"),_viitearvot!$A:$H,6,FALSE()),99),3,IF(H33&lt;=IFERROR(VLOOKUP(CONCATENATE("T",ROUND(AC33,0),"lin5m"),_viitearvot!$A:$H,7,FALSE()),99),2,1)))))-S33))</f>
        <v/>
      </c>
    </row>
    <row r="34" customFormat="false" ht="15" hidden="false" customHeight="true" outlineLevel="0" collapsed="false">
      <c r="A34" s="10"/>
      <c r="B34" s="10"/>
      <c r="C34" s="10"/>
      <c r="D34" s="10"/>
      <c r="E34" s="10"/>
      <c r="F34" s="10"/>
      <c r="G34" s="11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6" t="str">
        <f aca="true">IF(OR(H34="",D34=""),"",IF(H34&lt;=IFERROR(VLOOKUP(CONCATENATE(D34,YEAR(TODAY())-YEAR(C34),"lin5m"),_viitearvot!$I$2:$M$205,2,FALSE()),99),5,IF(H34&lt;=IFERROR(VLOOKUP(CONCATENATE(D34,YEAR(TODAY())-YEAR(C34),"lin5m"),_viitearvot!$I$2:$M$205,3,FALSE()),99),4,IF(H34&lt;=IFERROR(VLOOKUP(CONCATENATE(D34,YEAR(TODAY())-YEAR(C34),"lin5m"),_viitearvot!$I$2:$M$205,4,FALSE()),99),3,IF(H34&lt;=IFERROR(VLOOKUP(CONCATENATE(D34,YEAR(TODAY())-YEAR(C34),"lin5m"),_viitearvot!$I$2:$M$205,5,FALSE()),99),2,1)))))</f>
        <v/>
      </c>
      <c r="T34" s="16" t="str">
        <f aca="true">IF(OR(I34="",D34=""),"",IF(I34&lt;=IFERROR(VLOOKUP(CONCATENATE(D34,YEAR(TODAY())-YEAR(C34),"lin10m"),_viitearvot!$I$2:$M$205,2,FALSE()),99),5,IF(I34&lt;=IFERROR(VLOOKUP(CONCATENATE(D34,YEAR(TODAY())-YEAR(C34),"lin10m"),_viitearvot!$I$2:$M$205,3,FALSE()),99),4,IF(I34&lt;=IFERROR(VLOOKUP(CONCATENATE(D34,YEAR(TODAY())-YEAR(C34),"lin10m"),_viitearvot!$I$2:$M$205,4,FALSE()),99),3,IF(I34&lt;=IFERROR(VLOOKUP(CONCATENATE(D34,YEAR(TODAY())-YEAR(C34),"lin10m"),_viitearvot!$I$2:$M$205,5,FALSE()),99),2,1)))))</f>
        <v/>
      </c>
      <c r="U34" s="16" t="str">
        <f aca="true">IF(OR(J34="",D34=""),"",IF(J34&lt;=IFERROR(VLOOKUP(CONCATENATE(D34,YEAR(TODAY())-YEAR(C34),"lin20m"),_viitearvot!$I$2:$M$205,2,FALSE()),99),5,IF(J34&lt;=IFERROR(VLOOKUP(CONCATENATE(D34,YEAR(TODAY())-YEAR(C34),"lin20m"),_viitearvot!$I$2:$M$205,3,FALSE()),99),4,IF(J34&lt;=IFERROR(VLOOKUP(CONCATENATE(D34,YEAR(TODAY())-YEAR(C34),"lin20m"),_viitearvot!$I$2:$M$205,4,FALSE()),99),3,IF(J34&lt;=IFERROR(VLOOKUP(CONCATENATE(D34,YEAR(TODAY())-YEAR(C34),"lin20m"),_viitearvot!$I$2:$M$205,5,FALSE()),99),2,1)))))</f>
        <v/>
      </c>
      <c r="V34" s="16" t="str">
        <f aca="true">IF(OR(K34="",D34=""),"",IF(K34&lt;=IFERROR(VLOOKUP(CONCATENATE(D34,YEAR(TODAY())-YEAR(C34),"lin30m"),_viitearvot!$I$2:$M$205,2,FALSE()),99),5,IF(K34&lt;=IFERROR(VLOOKUP(CONCATENATE(D34,YEAR(TODAY())-YEAR(C34),"lin30m"),_viitearvot!$I$2:$M$205,3,FALSE()),99),4,IF(K34&lt;=IFERROR(VLOOKUP(CONCATENATE(D34,YEAR(TODAY())-YEAR(C34),"lin30m"),_viitearvot!$I$2:$M$205,4,FALSE()),99),3,IF(K34&lt;=IFERROR(VLOOKUP(CONCATENATE(D34,YEAR(TODAY())-YEAR(C34),"lin30m"),_viitearvot!$I$2:$M$205,5,FALSE()),99),2,1)))))</f>
        <v/>
      </c>
      <c r="W34" s="16" t="str">
        <f aca="true">IF(OR(L34="",D34=""),"",IF(L34&lt;=IFERROR(VLOOKUP(CONCATENATE(D34,YEAR(TODAY())-YEAR(C34),"kasirata"),_viitearvot!$I$2:$M$205,2,FALSE()),99),5,IF(L34&lt;=IFERROR(VLOOKUP(CONCATENATE(D34,YEAR(TODAY())-YEAR(C34),"kasirata"),_viitearvot!$I$2:$M$205,3,FALSE()),99),4,IF(L34&lt;=IFERROR(VLOOKUP(CONCATENATE(D34,YEAR(TODAY())-YEAR(C34),"kasirata"),_viitearvot!$I$2:$M$205,4,FALSE()),99),3,IF(L34&lt;=IFERROR(VLOOKUP(CONCATENATE(D34,YEAR(TODAY())-YEAR(C34),"kasirata"),_viitearvot!$I$2:$M$205,5,FALSE()),99),2,1)))))</f>
        <v/>
      </c>
      <c r="X34" s="16" t="str">
        <f aca="true">IF(OR(M34="",D34=""),"",IF(M34&lt;=IFERROR(VLOOKUP(CONCATENATE(D34,YEAR(TODAY())-YEAR(C34),"smjuoksu"),_viitearvot!$I$2:$M$205,2,FALSE()),99),5,IF(M34&lt;=IFERROR(VLOOKUP(CONCATENATE(D34,YEAR(TODAY())-YEAR(C34),"smjuoksu"),_viitearvot!$I$2:$M$205,3,FALSE()),99),4,IF(M34&lt;=IFERROR(VLOOKUP(CONCATENATE(D34,YEAR(TODAY())-YEAR(C34),"smjuoksu"),_viitearvot!$I$2:$M$205,4,FALSE()),99),3,IF(M34&lt;=IFERROR(VLOOKUP(CONCATENATE(D34,YEAR(TODAY())-YEAR(C34),"smjuoksu"),_viitearvot!$I$2:$M$205,5,FALSE()),99),2,1)))))</f>
        <v/>
      </c>
      <c r="Y34" s="16" t="str">
        <f aca="true">IF(OR(N34="",D34=""),"",IF(N34&lt;=IFERROR(VLOOKUP(CONCATENATE(D34,YEAR(TODAY())-YEAR(C34),"smpallo"),_viitearvot!$I$2:$M$205,2,FALSE()),99),5,IF(N34&lt;=IFERROR(VLOOKUP(CONCATENATE(D34,YEAR(TODAY())-YEAR(C34),"smpallo"),_viitearvot!$I$2:$M$205,3,FALSE()),99),4,IF(N34&lt;=IFERROR(VLOOKUP(CONCATENATE(D34,YEAR(TODAY())-YEAR(C34),"smpallo"),_viitearvot!$I$2:$M$205,4,FALSE()),99),3,IF(N34&lt;=IFERROR(VLOOKUP(CONCATENATE(D34,YEAR(TODAY())-YEAR(C34),"smpallo"),_viitearvot!$I$2:$M$205,5,FALSE()),99),2,1)))))</f>
        <v/>
      </c>
      <c r="Z34" s="16" t="str">
        <f aca="true">IF(OR(O34="",D34=""),"",IF(O34&gt;=IFERROR(VLOOKUP(CONCATENATE(D34,YEAR(TODAY())-YEAR(C34),"cmj"),_viitearvot!$I$2:$M$205,2,FALSE()),0),5,IF(O34&gt;=IFERROR(VLOOKUP(CONCATENATE(D34,YEAR(TODAY())-YEAR(C34),"cmj"),_viitearvot!$I$2:$M$205,3,FALSE()),0),4,IF(O34&gt;=IFERROR(VLOOKUP(CONCATENATE(D34,YEAR(TODAY())-YEAR(C34),"cmj"),_viitearvot!$I$2:$M$205,4,FALSE()),0),3,IF(O34&gt;=IFERROR(VLOOKUP(CONCATENATE(D34,YEAR(TODAY())-YEAR(C34),"cmj"),_viitearvot!$I$2:$M$205,5,FALSE()),0),2,1)))))</f>
        <v/>
      </c>
      <c r="AA34" s="16" t="str">
        <f aca="true">IF(OR(P34="",D34=""),"",IF(P34&gt;=IFERROR(VLOOKUP(CONCATENATE(D34,YEAR(TODAY())-YEAR(C34),"bronco"),_viitearvot!$I$2:$M$205,2,FALSE()),0),5,IF(P34&gt;=IFERROR(VLOOKUP(CONCATENATE(D34,YEAR(TODAY())-YEAR(C34),"bronco"),_viitearvot!$I$2:$M$205,3,FALSE()),0),4,IF(P34&gt;=IFERROR(VLOOKUP(CONCATENATE(D34,YEAR(TODAY())-YEAR(C34),"bronco"),_viitearvot!$I$2:$M$205,4,FALSE()),0),3,IF(P34&gt;=IFERROR(VLOOKUP(CONCATENATE(D34,YEAR(TODAY())-YEAR(C34),"bronco"),_viitearvot!$I$2:$M$205,5,FALSE()),0),2,1)))))</f>
        <v/>
      </c>
      <c r="AB34" s="11"/>
      <c r="AC34" s="17"/>
      <c r="AD34" s="18" t="str">
        <f aca="false">IF(OR(AC34="",H34=""),"",(IF(D34="P",IF(H34&lt;=IFERROR(VLOOKUP(CONCATENATE("P",ROUND(AC34,0),"lin5m"),_viitearvot!$A:$H,4,FALSE()),99),5,IF(H34&lt;=IFERROR(VLOOKUP(CONCATENATE("P",ROUND(AC34,0),"lin5m"),_viitearvot!$A:$H,5,FALSE()),99),4,IF(H34&lt;=IFERROR(VLOOKUP(CONCATENATE("P",ROUND(AC34,0),"lin5m"),_viitearvot!$A:$H,6,FALSE()),99),3,IF(H34&lt;=IFERROR(VLOOKUP(CONCATENATE("P",ROUND(AC34,0),"lin5m"),_viitearvot!$A:$H,7,FALSE()),99),2,1)))),IF(H34&lt;=IFERROR(VLOOKUP(CONCATENATE("T",ROUND(AC34,0),"lin5m"),_viitearvot!$A:$H,4,FALSE()),99),5,IF(H34&lt;=IFERROR(VLOOKUP(CONCATENATE("T",ROUND(AC34,0),"lin5m"),_viitearvot!$A:$H,5,FALSE()),99),4,IF(H34&lt;=IFERROR(VLOOKUP(CONCATENATE("T",ROUND(AC34,0),"lin5m"),_viitearvot!$A:$H,6,FALSE()),99),3,IF(H34&lt;=IFERROR(VLOOKUP(CONCATENATE("T",ROUND(AC34,0),"lin5m"),_viitearvot!$A:$H,7,FALSE()),99),2,1)))))-S34))</f>
        <v/>
      </c>
    </row>
    <row r="35" customFormat="false" ht="15" hidden="false" customHeight="true" outlineLevel="0" collapsed="false">
      <c r="A35" s="10"/>
      <c r="B35" s="10"/>
      <c r="C35" s="10"/>
      <c r="D35" s="10"/>
      <c r="E35" s="10"/>
      <c r="F35" s="10"/>
      <c r="G35" s="11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 t="str">
        <f aca="true">IF(OR(H35="",D35=""),"",IF(H35&lt;=IFERROR(VLOOKUP(CONCATENATE(D35,YEAR(TODAY())-YEAR(C35),"lin5m"),_viitearvot!$I$2:$M$205,2,FALSE()),99),5,IF(H35&lt;=IFERROR(VLOOKUP(CONCATENATE(D35,YEAR(TODAY())-YEAR(C35),"lin5m"),_viitearvot!$I$2:$M$205,3,FALSE()),99),4,IF(H35&lt;=IFERROR(VLOOKUP(CONCATENATE(D35,YEAR(TODAY())-YEAR(C35),"lin5m"),_viitearvot!$I$2:$M$205,4,FALSE()),99),3,IF(H35&lt;=IFERROR(VLOOKUP(CONCATENATE(D35,YEAR(TODAY())-YEAR(C35),"lin5m"),_viitearvot!$I$2:$M$205,5,FALSE()),99),2,1)))))</f>
        <v/>
      </c>
      <c r="T35" s="13" t="str">
        <f aca="true">IF(OR(I35="",D35=""),"",IF(I35&lt;=IFERROR(VLOOKUP(CONCATENATE(D35,YEAR(TODAY())-YEAR(C35),"lin10m"),_viitearvot!$I$2:$M$205,2,FALSE()),99),5,IF(I35&lt;=IFERROR(VLOOKUP(CONCATENATE(D35,YEAR(TODAY())-YEAR(C35),"lin10m"),_viitearvot!$I$2:$M$205,3,FALSE()),99),4,IF(I35&lt;=IFERROR(VLOOKUP(CONCATENATE(D35,YEAR(TODAY())-YEAR(C35),"lin10m"),_viitearvot!$I$2:$M$205,4,FALSE()),99),3,IF(I35&lt;=IFERROR(VLOOKUP(CONCATENATE(D35,YEAR(TODAY())-YEAR(C35),"lin10m"),_viitearvot!$I$2:$M$205,5,FALSE()),99),2,1)))))</f>
        <v/>
      </c>
      <c r="U35" s="13" t="str">
        <f aca="true">IF(OR(J35="",D35=""),"",IF(J35&lt;=IFERROR(VLOOKUP(CONCATENATE(D35,YEAR(TODAY())-YEAR(C35),"lin20m"),_viitearvot!$I$2:$M$205,2,FALSE()),99),5,IF(J35&lt;=IFERROR(VLOOKUP(CONCATENATE(D35,YEAR(TODAY())-YEAR(C35),"lin20m"),_viitearvot!$I$2:$M$205,3,FALSE()),99),4,IF(J35&lt;=IFERROR(VLOOKUP(CONCATENATE(D35,YEAR(TODAY())-YEAR(C35),"lin20m"),_viitearvot!$I$2:$M$205,4,FALSE()),99),3,IF(J35&lt;=IFERROR(VLOOKUP(CONCATENATE(D35,YEAR(TODAY())-YEAR(C35),"lin20m"),_viitearvot!$I$2:$M$205,5,FALSE()),99),2,1)))))</f>
        <v/>
      </c>
      <c r="V35" s="13" t="str">
        <f aca="true">IF(OR(K35="",D35=""),"",IF(K35&lt;=IFERROR(VLOOKUP(CONCATENATE(D35,YEAR(TODAY())-YEAR(C35),"lin30m"),_viitearvot!$I$2:$M$205,2,FALSE()),99),5,IF(K35&lt;=IFERROR(VLOOKUP(CONCATENATE(D35,YEAR(TODAY())-YEAR(C35),"lin30m"),_viitearvot!$I$2:$M$205,3,FALSE()),99),4,IF(K35&lt;=IFERROR(VLOOKUP(CONCATENATE(D35,YEAR(TODAY())-YEAR(C35),"lin30m"),_viitearvot!$I$2:$M$205,4,FALSE()),99),3,IF(K35&lt;=IFERROR(VLOOKUP(CONCATENATE(D35,YEAR(TODAY())-YEAR(C35),"lin30m"),_viitearvot!$I$2:$M$205,5,FALSE()),99),2,1)))))</f>
        <v/>
      </c>
      <c r="W35" s="13" t="str">
        <f aca="true">IF(OR(L35="",D35=""),"",IF(L35&lt;=IFERROR(VLOOKUP(CONCATENATE(D35,YEAR(TODAY())-YEAR(C35),"kasirata"),_viitearvot!$I$2:$M$205,2,FALSE()),99),5,IF(L35&lt;=IFERROR(VLOOKUP(CONCATENATE(D35,YEAR(TODAY())-YEAR(C35),"kasirata"),_viitearvot!$I$2:$M$205,3,FALSE()),99),4,IF(L35&lt;=IFERROR(VLOOKUP(CONCATENATE(D35,YEAR(TODAY())-YEAR(C35),"kasirata"),_viitearvot!$I$2:$M$205,4,FALSE()),99),3,IF(L35&lt;=IFERROR(VLOOKUP(CONCATENATE(D35,YEAR(TODAY())-YEAR(C35),"kasirata"),_viitearvot!$I$2:$M$205,5,FALSE()),99),2,1)))))</f>
        <v/>
      </c>
      <c r="X35" s="13" t="str">
        <f aca="true">IF(OR(M35="",D35=""),"",IF(M35&lt;=IFERROR(VLOOKUP(CONCATENATE(D35,YEAR(TODAY())-YEAR(C35),"smjuoksu"),_viitearvot!$I$2:$M$205,2,FALSE()),99),5,IF(M35&lt;=IFERROR(VLOOKUP(CONCATENATE(D35,YEAR(TODAY())-YEAR(C35),"smjuoksu"),_viitearvot!$I$2:$M$205,3,FALSE()),99),4,IF(M35&lt;=IFERROR(VLOOKUP(CONCATENATE(D35,YEAR(TODAY())-YEAR(C35),"smjuoksu"),_viitearvot!$I$2:$M$205,4,FALSE()),99),3,IF(M35&lt;=IFERROR(VLOOKUP(CONCATENATE(D35,YEAR(TODAY())-YEAR(C35),"smjuoksu"),_viitearvot!$I$2:$M$205,5,FALSE()),99),2,1)))))</f>
        <v/>
      </c>
      <c r="Y35" s="13" t="str">
        <f aca="true">IF(OR(N35="",D35=""),"",IF(N35&lt;=IFERROR(VLOOKUP(CONCATENATE(D35,YEAR(TODAY())-YEAR(C35),"smpallo"),_viitearvot!$I$2:$M$205,2,FALSE()),99),5,IF(N35&lt;=IFERROR(VLOOKUP(CONCATENATE(D35,YEAR(TODAY())-YEAR(C35),"smpallo"),_viitearvot!$I$2:$M$205,3,FALSE()),99),4,IF(N35&lt;=IFERROR(VLOOKUP(CONCATENATE(D35,YEAR(TODAY())-YEAR(C35),"smpallo"),_viitearvot!$I$2:$M$205,4,FALSE()),99),3,IF(N35&lt;=IFERROR(VLOOKUP(CONCATENATE(D35,YEAR(TODAY())-YEAR(C35),"smpallo"),_viitearvot!$I$2:$M$205,5,FALSE()),99),2,1)))))</f>
        <v/>
      </c>
      <c r="Z35" s="13" t="str">
        <f aca="true">IF(OR(O35="",D35=""),"",IF(O35&gt;=IFERROR(VLOOKUP(CONCATENATE(D35,YEAR(TODAY())-YEAR(C35),"cmj"),_viitearvot!$I$2:$M$205,2,FALSE()),0),5,IF(O35&gt;=IFERROR(VLOOKUP(CONCATENATE(D35,YEAR(TODAY())-YEAR(C35),"cmj"),_viitearvot!$I$2:$M$205,3,FALSE()),0),4,IF(O35&gt;=IFERROR(VLOOKUP(CONCATENATE(D35,YEAR(TODAY())-YEAR(C35),"cmj"),_viitearvot!$I$2:$M$205,4,FALSE()),0),3,IF(O35&gt;=IFERROR(VLOOKUP(CONCATENATE(D35,YEAR(TODAY())-YEAR(C35),"cmj"),_viitearvot!$I$2:$M$205,5,FALSE()),0),2,1)))))</f>
        <v/>
      </c>
      <c r="AA35" s="13" t="str">
        <f aca="true">IF(OR(P35="",D35=""),"",IF(P35&gt;=IFERROR(VLOOKUP(CONCATENATE(D35,YEAR(TODAY())-YEAR(C35),"bronco"),_viitearvot!$I$2:$M$205,2,FALSE()),0),5,IF(P35&gt;=IFERROR(VLOOKUP(CONCATENATE(D35,YEAR(TODAY())-YEAR(C35),"bronco"),_viitearvot!$I$2:$M$205,3,FALSE()),0),4,IF(P35&gt;=IFERROR(VLOOKUP(CONCATENATE(D35,YEAR(TODAY())-YEAR(C35),"bronco"),_viitearvot!$I$2:$M$205,4,FALSE()),0),3,IF(P35&gt;=IFERROR(VLOOKUP(CONCATENATE(D35,YEAR(TODAY())-YEAR(C35),"bronco"),_viitearvot!$I$2:$M$205,5,FALSE()),0),2,1)))))</f>
        <v/>
      </c>
      <c r="AB35" s="11"/>
      <c r="AC35" s="14"/>
      <c r="AD35" s="15" t="str">
        <f aca="false">IF(OR(AC35="",H35=""),"",(IF(D35="P",IF(H35&lt;=IFERROR(VLOOKUP(CONCATENATE("P",ROUND(AC35,0),"lin5m"),_viitearvot!$A:$H,4,FALSE()),99),5,IF(H35&lt;=IFERROR(VLOOKUP(CONCATENATE("P",ROUND(AC35,0),"lin5m"),_viitearvot!$A:$H,5,FALSE()),99),4,IF(H35&lt;=IFERROR(VLOOKUP(CONCATENATE("P",ROUND(AC35,0),"lin5m"),_viitearvot!$A:$H,6,FALSE()),99),3,IF(H35&lt;=IFERROR(VLOOKUP(CONCATENATE("P",ROUND(AC35,0),"lin5m"),_viitearvot!$A:$H,7,FALSE()),99),2,1)))),IF(H35&lt;=IFERROR(VLOOKUP(CONCATENATE("T",ROUND(AC35,0),"lin5m"),_viitearvot!$A:$H,4,FALSE()),99),5,IF(H35&lt;=IFERROR(VLOOKUP(CONCATENATE("T",ROUND(AC35,0),"lin5m"),_viitearvot!$A:$H,5,FALSE()),99),4,IF(H35&lt;=IFERROR(VLOOKUP(CONCATENATE("T",ROUND(AC35,0),"lin5m"),_viitearvot!$A:$H,6,FALSE()),99),3,IF(H35&lt;=IFERROR(VLOOKUP(CONCATENATE("T",ROUND(AC35,0),"lin5m"),_viitearvot!$A:$H,7,FALSE()),99),2,1)))))-S35))</f>
        <v/>
      </c>
    </row>
    <row r="36" customFormat="false" ht="15" hidden="false" customHeight="true" outlineLevel="0" collapsed="false">
      <c r="A36" s="10"/>
      <c r="B36" s="10"/>
      <c r="C36" s="10"/>
      <c r="D36" s="10"/>
      <c r="E36" s="10"/>
      <c r="F36" s="10"/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6" t="str">
        <f aca="true">IF(OR(H36="",D36=""),"",IF(H36&lt;=IFERROR(VLOOKUP(CONCATENATE(D36,YEAR(TODAY())-YEAR(C36),"lin5m"),_viitearvot!$I$2:$M$205,2,FALSE()),99),5,IF(H36&lt;=IFERROR(VLOOKUP(CONCATENATE(D36,YEAR(TODAY())-YEAR(C36),"lin5m"),_viitearvot!$I$2:$M$205,3,FALSE()),99),4,IF(H36&lt;=IFERROR(VLOOKUP(CONCATENATE(D36,YEAR(TODAY())-YEAR(C36),"lin5m"),_viitearvot!$I$2:$M$205,4,FALSE()),99),3,IF(H36&lt;=IFERROR(VLOOKUP(CONCATENATE(D36,YEAR(TODAY())-YEAR(C36),"lin5m"),_viitearvot!$I$2:$M$205,5,FALSE()),99),2,1)))))</f>
        <v/>
      </c>
      <c r="T36" s="16" t="str">
        <f aca="true">IF(OR(I36="",D36=""),"",IF(I36&lt;=IFERROR(VLOOKUP(CONCATENATE(D36,YEAR(TODAY())-YEAR(C36),"lin10m"),_viitearvot!$I$2:$M$205,2,FALSE()),99),5,IF(I36&lt;=IFERROR(VLOOKUP(CONCATENATE(D36,YEAR(TODAY())-YEAR(C36),"lin10m"),_viitearvot!$I$2:$M$205,3,FALSE()),99),4,IF(I36&lt;=IFERROR(VLOOKUP(CONCATENATE(D36,YEAR(TODAY())-YEAR(C36),"lin10m"),_viitearvot!$I$2:$M$205,4,FALSE()),99),3,IF(I36&lt;=IFERROR(VLOOKUP(CONCATENATE(D36,YEAR(TODAY())-YEAR(C36),"lin10m"),_viitearvot!$I$2:$M$205,5,FALSE()),99),2,1)))))</f>
        <v/>
      </c>
      <c r="U36" s="16" t="str">
        <f aca="true">IF(OR(J36="",D36=""),"",IF(J36&lt;=IFERROR(VLOOKUP(CONCATENATE(D36,YEAR(TODAY())-YEAR(C36),"lin20m"),_viitearvot!$I$2:$M$205,2,FALSE()),99),5,IF(J36&lt;=IFERROR(VLOOKUP(CONCATENATE(D36,YEAR(TODAY())-YEAR(C36),"lin20m"),_viitearvot!$I$2:$M$205,3,FALSE()),99),4,IF(J36&lt;=IFERROR(VLOOKUP(CONCATENATE(D36,YEAR(TODAY())-YEAR(C36),"lin20m"),_viitearvot!$I$2:$M$205,4,FALSE()),99),3,IF(J36&lt;=IFERROR(VLOOKUP(CONCATENATE(D36,YEAR(TODAY())-YEAR(C36),"lin20m"),_viitearvot!$I$2:$M$205,5,FALSE()),99),2,1)))))</f>
        <v/>
      </c>
      <c r="V36" s="16" t="str">
        <f aca="true">IF(OR(K36="",D36=""),"",IF(K36&lt;=IFERROR(VLOOKUP(CONCATENATE(D36,YEAR(TODAY())-YEAR(C36),"lin30m"),_viitearvot!$I$2:$M$205,2,FALSE()),99),5,IF(K36&lt;=IFERROR(VLOOKUP(CONCATENATE(D36,YEAR(TODAY())-YEAR(C36),"lin30m"),_viitearvot!$I$2:$M$205,3,FALSE()),99),4,IF(K36&lt;=IFERROR(VLOOKUP(CONCATENATE(D36,YEAR(TODAY())-YEAR(C36),"lin30m"),_viitearvot!$I$2:$M$205,4,FALSE()),99),3,IF(K36&lt;=IFERROR(VLOOKUP(CONCATENATE(D36,YEAR(TODAY())-YEAR(C36),"lin30m"),_viitearvot!$I$2:$M$205,5,FALSE()),99),2,1)))))</f>
        <v/>
      </c>
      <c r="W36" s="16" t="str">
        <f aca="true">IF(OR(L36="",D36=""),"",IF(L36&lt;=IFERROR(VLOOKUP(CONCATENATE(D36,YEAR(TODAY())-YEAR(C36),"kasirata"),_viitearvot!$I$2:$M$205,2,FALSE()),99),5,IF(L36&lt;=IFERROR(VLOOKUP(CONCATENATE(D36,YEAR(TODAY())-YEAR(C36),"kasirata"),_viitearvot!$I$2:$M$205,3,FALSE()),99),4,IF(L36&lt;=IFERROR(VLOOKUP(CONCATENATE(D36,YEAR(TODAY())-YEAR(C36),"kasirata"),_viitearvot!$I$2:$M$205,4,FALSE()),99),3,IF(L36&lt;=IFERROR(VLOOKUP(CONCATENATE(D36,YEAR(TODAY())-YEAR(C36),"kasirata"),_viitearvot!$I$2:$M$205,5,FALSE()),99),2,1)))))</f>
        <v/>
      </c>
      <c r="X36" s="16" t="str">
        <f aca="true">IF(OR(M36="",D36=""),"",IF(M36&lt;=IFERROR(VLOOKUP(CONCATENATE(D36,YEAR(TODAY())-YEAR(C36),"smjuoksu"),_viitearvot!$I$2:$M$205,2,FALSE()),99),5,IF(M36&lt;=IFERROR(VLOOKUP(CONCATENATE(D36,YEAR(TODAY())-YEAR(C36),"smjuoksu"),_viitearvot!$I$2:$M$205,3,FALSE()),99),4,IF(M36&lt;=IFERROR(VLOOKUP(CONCATENATE(D36,YEAR(TODAY())-YEAR(C36),"smjuoksu"),_viitearvot!$I$2:$M$205,4,FALSE()),99),3,IF(M36&lt;=IFERROR(VLOOKUP(CONCATENATE(D36,YEAR(TODAY())-YEAR(C36),"smjuoksu"),_viitearvot!$I$2:$M$205,5,FALSE()),99),2,1)))))</f>
        <v/>
      </c>
      <c r="Y36" s="16" t="str">
        <f aca="true">IF(OR(N36="",D36=""),"",IF(N36&lt;=IFERROR(VLOOKUP(CONCATENATE(D36,YEAR(TODAY())-YEAR(C36),"smpallo"),_viitearvot!$I$2:$M$205,2,FALSE()),99),5,IF(N36&lt;=IFERROR(VLOOKUP(CONCATENATE(D36,YEAR(TODAY())-YEAR(C36),"smpallo"),_viitearvot!$I$2:$M$205,3,FALSE()),99),4,IF(N36&lt;=IFERROR(VLOOKUP(CONCATENATE(D36,YEAR(TODAY())-YEAR(C36),"smpallo"),_viitearvot!$I$2:$M$205,4,FALSE()),99),3,IF(N36&lt;=IFERROR(VLOOKUP(CONCATENATE(D36,YEAR(TODAY())-YEAR(C36),"smpallo"),_viitearvot!$I$2:$M$205,5,FALSE()),99),2,1)))))</f>
        <v/>
      </c>
      <c r="Z36" s="16" t="str">
        <f aca="true">IF(OR(O36="",D36=""),"",IF(O36&gt;=IFERROR(VLOOKUP(CONCATENATE(D36,YEAR(TODAY())-YEAR(C36),"cmj"),_viitearvot!$I$2:$M$205,2,FALSE()),0),5,IF(O36&gt;=IFERROR(VLOOKUP(CONCATENATE(D36,YEAR(TODAY())-YEAR(C36),"cmj"),_viitearvot!$I$2:$M$205,3,FALSE()),0),4,IF(O36&gt;=IFERROR(VLOOKUP(CONCATENATE(D36,YEAR(TODAY())-YEAR(C36),"cmj"),_viitearvot!$I$2:$M$205,4,FALSE()),0),3,IF(O36&gt;=IFERROR(VLOOKUP(CONCATENATE(D36,YEAR(TODAY())-YEAR(C36),"cmj"),_viitearvot!$I$2:$M$205,5,FALSE()),0),2,1)))))</f>
        <v/>
      </c>
      <c r="AA36" s="16" t="str">
        <f aca="true">IF(OR(P36="",D36=""),"",IF(P36&gt;=IFERROR(VLOOKUP(CONCATENATE(D36,YEAR(TODAY())-YEAR(C36),"bronco"),_viitearvot!$I$2:$M$205,2,FALSE()),0),5,IF(P36&gt;=IFERROR(VLOOKUP(CONCATENATE(D36,YEAR(TODAY())-YEAR(C36),"bronco"),_viitearvot!$I$2:$M$205,3,FALSE()),0),4,IF(P36&gt;=IFERROR(VLOOKUP(CONCATENATE(D36,YEAR(TODAY())-YEAR(C36),"bronco"),_viitearvot!$I$2:$M$205,4,FALSE()),0),3,IF(P36&gt;=IFERROR(VLOOKUP(CONCATENATE(D36,YEAR(TODAY())-YEAR(C36),"bronco"),_viitearvot!$I$2:$M$205,5,FALSE()),0),2,1)))))</f>
        <v/>
      </c>
      <c r="AB36" s="11"/>
      <c r="AC36" s="17"/>
      <c r="AD36" s="18" t="str">
        <f aca="false">IF(OR(AC36="",H36=""),"",(IF(D36="P",IF(H36&lt;=IFERROR(VLOOKUP(CONCATENATE("P",ROUND(AC36,0),"lin5m"),_viitearvot!$A:$H,4,FALSE()),99),5,IF(H36&lt;=IFERROR(VLOOKUP(CONCATENATE("P",ROUND(AC36,0),"lin5m"),_viitearvot!$A:$H,5,FALSE()),99),4,IF(H36&lt;=IFERROR(VLOOKUP(CONCATENATE("P",ROUND(AC36,0),"lin5m"),_viitearvot!$A:$H,6,FALSE()),99),3,IF(H36&lt;=IFERROR(VLOOKUP(CONCATENATE("P",ROUND(AC36,0),"lin5m"),_viitearvot!$A:$H,7,FALSE()),99),2,1)))),IF(H36&lt;=IFERROR(VLOOKUP(CONCATENATE("T",ROUND(AC36,0),"lin5m"),_viitearvot!$A:$H,4,FALSE()),99),5,IF(H36&lt;=IFERROR(VLOOKUP(CONCATENATE("T",ROUND(AC36,0),"lin5m"),_viitearvot!$A:$H,5,FALSE()),99),4,IF(H36&lt;=IFERROR(VLOOKUP(CONCATENATE("T",ROUND(AC36,0),"lin5m"),_viitearvot!$A:$H,6,FALSE()),99),3,IF(H36&lt;=IFERROR(VLOOKUP(CONCATENATE("T",ROUND(AC36,0),"lin5m"),_viitearvot!$A:$H,7,FALSE()),99),2,1)))))-S36))</f>
        <v/>
      </c>
    </row>
    <row r="37" customFormat="false" ht="15" hidden="false" customHeight="true" outlineLevel="0" collapsed="false">
      <c r="A37" s="10"/>
      <c r="B37" s="10"/>
      <c r="C37" s="10"/>
      <c r="D37" s="10"/>
      <c r="E37" s="10"/>
      <c r="F37" s="10"/>
      <c r="G37" s="11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 t="str">
        <f aca="true">IF(OR(H37="",D37=""),"",IF(H37&lt;=IFERROR(VLOOKUP(CONCATENATE(D37,YEAR(TODAY())-YEAR(C37),"lin5m"),_viitearvot!$I$2:$M$205,2,FALSE()),99),5,IF(H37&lt;=IFERROR(VLOOKUP(CONCATENATE(D37,YEAR(TODAY())-YEAR(C37),"lin5m"),_viitearvot!$I$2:$M$205,3,FALSE()),99),4,IF(H37&lt;=IFERROR(VLOOKUP(CONCATENATE(D37,YEAR(TODAY())-YEAR(C37),"lin5m"),_viitearvot!$I$2:$M$205,4,FALSE()),99),3,IF(H37&lt;=IFERROR(VLOOKUP(CONCATENATE(D37,YEAR(TODAY())-YEAR(C37),"lin5m"),_viitearvot!$I$2:$M$205,5,FALSE()),99),2,1)))))</f>
        <v/>
      </c>
      <c r="T37" s="13" t="str">
        <f aca="true">IF(OR(I37="",D37=""),"",IF(I37&lt;=IFERROR(VLOOKUP(CONCATENATE(D37,YEAR(TODAY())-YEAR(C37),"lin10m"),_viitearvot!$I$2:$M$205,2,FALSE()),99),5,IF(I37&lt;=IFERROR(VLOOKUP(CONCATENATE(D37,YEAR(TODAY())-YEAR(C37),"lin10m"),_viitearvot!$I$2:$M$205,3,FALSE()),99),4,IF(I37&lt;=IFERROR(VLOOKUP(CONCATENATE(D37,YEAR(TODAY())-YEAR(C37),"lin10m"),_viitearvot!$I$2:$M$205,4,FALSE()),99),3,IF(I37&lt;=IFERROR(VLOOKUP(CONCATENATE(D37,YEAR(TODAY())-YEAR(C37),"lin10m"),_viitearvot!$I$2:$M$205,5,FALSE()),99),2,1)))))</f>
        <v/>
      </c>
      <c r="U37" s="13" t="str">
        <f aca="true">IF(OR(J37="",D37=""),"",IF(J37&lt;=IFERROR(VLOOKUP(CONCATENATE(D37,YEAR(TODAY())-YEAR(C37),"lin20m"),_viitearvot!$I$2:$M$205,2,FALSE()),99),5,IF(J37&lt;=IFERROR(VLOOKUP(CONCATENATE(D37,YEAR(TODAY())-YEAR(C37),"lin20m"),_viitearvot!$I$2:$M$205,3,FALSE()),99),4,IF(J37&lt;=IFERROR(VLOOKUP(CONCATENATE(D37,YEAR(TODAY())-YEAR(C37),"lin20m"),_viitearvot!$I$2:$M$205,4,FALSE()),99),3,IF(J37&lt;=IFERROR(VLOOKUP(CONCATENATE(D37,YEAR(TODAY())-YEAR(C37),"lin20m"),_viitearvot!$I$2:$M$205,5,FALSE()),99),2,1)))))</f>
        <v/>
      </c>
      <c r="V37" s="13" t="str">
        <f aca="true">IF(OR(K37="",D37=""),"",IF(K37&lt;=IFERROR(VLOOKUP(CONCATENATE(D37,YEAR(TODAY())-YEAR(C37),"lin30m"),_viitearvot!$I$2:$M$205,2,FALSE()),99),5,IF(K37&lt;=IFERROR(VLOOKUP(CONCATENATE(D37,YEAR(TODAY())-YEAR(C37),"lin30m"),_viitearvot!$I$2:$M$205,3,FALSE()),99),4,IF(K37&lt;=IFERROR(VLOOKUP(CONCATENATE(D37,YEAR(TODAY())-YEAR(C37),"lin30m"),_viitearvot!$I$2:$M$205,4,FALSE()),99),3,IF(K37&lt;=IFERROR(VLOOKUP(CONCATENATE(D37,YEAR(TODAY())-YEAR(C37),"lin30m"),_viitearvot!$I$2:$M$205,5,FALSE()),99),2,1)))))</f>
        <v/>
      </c>
      <c r="W37" s="13" t="str">
        <f aca="true">IF(OR(L37="",D37=""),"",IF(L37&lt;=IFERROR(VLOOKUP(CONCATENATE(D37,YEAR(TODAY())-YEAR(C37),"kasirata"),_viitearvot!$I$2:$M$205,2,FALSE()),99),5,IF(L37&lt;=IFERROR(VLOOKUP(CONCATENATE(D37,YEAR(TODAY())-YEAR(C37),"kasirata"),_viitearvot!$I$2:$M$205,3,FALSE()),99),4,IF(L37&lt;=IFERROR(VLOOKUP(CONCATENATE(D37,YEAR(TODAY())-YEAR(C37),"kasirata"),_viitearvot!$I$2:$M$205,4,FALSE()),99),3,IF(L37&lt;=IFERROR(VLOOKUP(CONCATENATE(D37,YEAR(TODAY())-YEAR(C37),"kasirata"),_viitearvot!$I$2:$M$205,5,FALSE()),99),2,1)))))</f>
        <v/>
      </c>
      <c r="X37" s="13" t="str">
        <f aca="true">IF(OR(M37="",D37=""),"",IF(M37&lt;=IFERROR(VLOOKUP(CONCATENATE(D37,YEAR(TODAY())-YEAR(C37),"smjuoksu"),_viitearvot!$I$2:$M$205,2,FALSE()),99),5,IF(M37&lt;=IFERROR(VLOOKUP(CONCATENATE(D37,YEAR(TODAY())-YEAR(C37),"smjuoksu"),_viitearvot!$I$2:$M$205,3,FALSE()),99),4,IF(M37&lt;=IFERROR(VLOOKUP(CONCATENATE(D37,YEAR(TODAY())-YEAR(C37),"smjuoksu"),_viitearvot!$I$2:$M$205,4,FALSE()),99),3,IF(M37&lt;=IFERROR(VLOOKUP(CONCATENATE(D37,YEAR(TODAY())-YEAR(C37),"smjuoksu"),_viitearvot!$I$2:$M$205,5,FALSE()),99),2,1)))))</f>
        <v/>
      </c>
      <c r="Y37" s="13" t="str">
        <f aca="true">IF(OR(N37="",D37=""),"",IF(N37&lt;=IFERROR(VLOOKUP(CONCATENATE(D37,YEAR(TODAY())-YEAR(C37),"smpallo"),_viitearvot!$I$2:$M$205,2,FALSE()),99),5,IF(N37&lt;=IFERROR(VLOOKUP(CONCATENATE(D37,YEAR(TODAY())-YEAR(C37),"smpallo"),_viitearvot!$I$2:$M$205,3,FALSE()),99),4,IF(N37&lt;=IFERROR(VLOOKUP(CONCATENATE(D37,YEAR(TODAY())-YEAR(C37),"smpallo"),_viitearvot!$I$2:$M$205,4,FALSE()),99),3,IF(N37&lt;=IFERROR(VLOOKUP(CONCATENATE(D37,YEAR(TODAY())-YEAR(C37),"smpallo"),_viitearvot!$I$2:$M$205,5,FALSE()),99),2,1)))))</f>
        <v/>
      </c>
      <c r="Z37" s="13" t="str">
        <f aca="true">IF(OR(O37="",D37=""),"",IF(O37&gt;=IFERROR(VLOOKUP(CONCATENATE(D37,YEAR(TODAY())-YEAR(C37),"cmj"),_viitearvot!$I$2:$M$205,2,FALSE()),0),5,IF(O37&gt;=IFERROR(VLOOKUP(CONCATENATE(D37,YEAR(TODAY())-YEAR(C37),"cmj"),_viitearvot!$I$2:$M$205,3,FALSE()),0),4,IF(O37&gt;=IFERROR(VLOOKUP(CONCATENATE(D37,YEAR(TODAY())-YEAR(C37),"cmj"),_viitearvot!$I$2:$M$205,4,FALSE()),0),3,IF(O37&gt;=IFERROR(VLOOKUP(CONCATENATE(D37,YEAR(TODAY())-YEAR(C37),"cmj"),_viitearvot!$I$2:$M$205,5,FALSE()),0),2,1)))))</f>
        <v/>
      </c>
      <c r="AA37" s="13" t="str">
        <f aca="true">IF(OR(P37="",D37=""),"",IF(P37&gt;=IFERROR(VLOOKUP(CONCATENATE(D37,YEAR(TODAY())-YEAR(C37),"bronco"),_viitearvot!$I$2:$M$205,2,FALSE()),0),5,IF(P37&gt;=IFERROR(VLOOKUP(CONCATENATE(D37,YEAR(TODAY())-YEAR(C37),"bronco"),_viitearvot!$I$2:$M$205,3,FALSE()),0),4,IF(P37&gt;=IFERROR(VLOOKUP(CONCATENATE(D37,YEAR(TODAY())-YEAR(C37),"bronco"),_viitearvot!$I$2:$M$205,4,FALSE()),0),3,IF(P37&gt;=IFERROR(VLOOKUP(CONCATENATE(D37,YEAR(TODAY())-YEAR(C37),"bronco"),_viitearvot!$I$2:$M$205,5,FALSE()),0),2,1)))))</f>
        <v/>
      </c>
      <c r="AB37" s="11"/>
      <c r="AC37" s="14"/>
      <c r="AD37" s="15" t="str">
        <f aca="false">IF(OR(AC37="",H37=""),"",(IF(D37="P",IF(H37&lt;=IFERROR(VLOOKUP(CONCATENATE("P",ROUND(AC37,0),"lin5m"),_viitearvot!$A:$H,4,FALSE()),99),5,IF(H37&lt;=IFERROR(VLOOKUP(CONCATENATE("P",ROUND(AC37,0),"lin5m"),_viitearvot!$A:$H,5,FALSE()),99),4,IF(H37&lt;=IFERROR(VLOOKUP(CONCATENATE("P",ROUND(AC37,0),"lin5m"),_viitearvot!$A:$H,6,FALSE()),99),3,IF(H37&lt;=IFERROR(VLOOKUP(CONCATENATE("P",ROUND(AC37,0),"lin5m"),_viitearvot!$A:$H,7,FALSE()),99),2,1)))),IF(H37&lt;=IFERROR(VLOOKUP(CONCATENATE("T",ROUND(AC37,0),"lin5m"),_viitearvot!$A:$H,4,FALSE()),99),5,IF(H37&lt;=IFERROR(VLOOKUP(CONCATENATE("T",ROUND(AC37,0),"lin5m"),_viitearvot!$A:$H,5,FALSE()),99),4,IF(H37&lt;=IFERROR(VLOOKUP(CONCATENATE("T",ROUND(AC37,0),"lin5m"),_viitearvot!$A:$H,6,FALSE()),99),3,IF(H37&lt;=IFERROR(VLOOKUP(CONCATENATE("T",ROUND(AC37,0),"lin5m"),_viitearvot!$A:$H,7,FALSE()),99),2,1)))))-S37))</f>
        <v/>
      </c>
    </row>
    <row r="38" customFormat="false" ht="15" hidden="false" customHeight="true" outlineLevel="0" collapsed="false">
      <c r="A38" s="10"/>
      <c r="B38" s="10"/>
      <c r="C38" s="10"/>
      <c r="D38" s="10"/>
      <c r="E38" s="10"/>
      <c r="F38" s="10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6" t="str">
        <f aca="true">IF(OR(H38="",D38=""),"",IF(H38&lt;=IFERROR(VLOOKUP(CONCATENATE(D38,YEAR(TODAY())-YEAR(C38),"lin5m"),_viitearvot!$I$2:$M$205,2,FALSE()),99),5,IF(H38&lt;=IFERROR(VLOOKUP(CONCATENATE(D38,YEAR(TODAY())-YEAR(C38),"lin5m"),_viitearvot!$I$2:$M$205,3,FALSE()),99),4,IF(H38&lt;=IFERROR(VLOOKUP(CONCATENATE(D38,YEAR(TODAY())-YEAR(C38),"lin5m"),_viitearvot!$I$2:$M$205,4,FALSE()),99),3,IF(H38&lt;=IFERROR(VLOOKUP(CONCATENATE(D38,YEAR(TODAY())-YEAR(C38),"lin5m"),_viitearvot!$I$2:$M$205,5,FALSE()),99),2,1)))))</f>
        <v/>
      </c>
      <c r="T38" s="16" t="str">
        <f aca="true">IF(OR(I38="",D38=""),"",IF(I38&lt;=IFERROR(VLOOKUP(CONCATENATE(D38,YEAR(TODAY())-YEAR(C38),"lin10m"),_viitearvot!$I$2:$M$205,2,FALSE()),99),5,IF(I38&lt;=IFERROR(VLOOKUP(CONCATENATE(D38,YEAR(TODAY())-YEAR(C38),"lin10m"),_viitearvot!$I$2:$M$205,3,FALSE()),99),4,IF(I38&lt;=IFERROR(VLOOKUP(CONCATENATE(D38,YEAR(TODAY())-YEAR(C38),"lin10m"),_viitearvot!$I$2:$M$205,4,FALSE()),99),3,IF(I38&lt;=IFERROR(VLOOKUP(CONCATENATE(D38,YEAR(TODAY())-YEAR(C38),"lin10m"),_viitearvot!$I$2:$M$205,5,FALSE()),99),2,1)))))</f>
        <v/>
      </c>
      <c r="U38" s="16" t="str">
        <f aca="true">IF(OR(J38="",D38=""),"",IF(J38&lt;=IFERROR(VLOOKUP(CONCATENATE(D38,YEAR(TODAY())-YEAR(C38),"lin20m"),_viitearvot!$I$2:$M$205,2,FALSE()),99),5,IF(J38&lt;=IFERROR(VLOOKUP(CONCATENATE(D38,YEAR(TODAY())-YEAR(C38),"lin20m"),_viitearvot!$I$2:$M$205,3,FALSE()),99),4,IF(J38&lt;=IFERROR(VLOOKUP(CONCATENATE(D38,YEAR(TODAY())-YEAR(C38),"lin20m"),_viitearvot!$I$2:$M$205,4,FALSE()),99),3,IF(J38&lt;=IFERROR(VLOOKUP(CONCATENATE(D38,YEAR(TODAY())-YEAR(C38),"lin20m"),_viitearvot!$I$2:$M$205,5,FALSE()),99),2,1)))))</f>
        <v/>
      </c>
      <c r="V38" s="16" t="str">
        <f aca="true">IF(OR(K38="",D38=""),"",IF(K38&lt;=IFERROR(VLOOKUP(CONCATENATE(D38,YEAR(TODAY())-YEAR(C38),"lin30m"),_viitearvot!$I$2:$M$205,2,FALSE()),99),5,IF(K38&lt;=IFERROR(VLOOKUP(CONCATENATE(D38,YEAR(TODAY())-YEAR(C38),"lin30m"),_viitearvot!$I$2:$M$205,3,FALSE()),99),4,IF(K38&lt;=IFERROR(VLOOKUP(CONCATENATE(D38,YEAR(TODAY())-YEAR(C38),"lin30m"),_viitearvot!$I$2:$M$205,4,FALSE()),99),3,IF(K38&lt;=IFERROR(VLOOKUP(CONCATENATE(D38,YEAR(TODAY())-YEAR(C38),"lin30m"),_viitearvot!$I$2:$M$205,5,FALSE()),99),2,1)))))</f>
        <v/>
      </c>
      <c r="W38" s="16" t="str">
        <f aca="true">IF(OR(L38="",D38=""),"",IF(L38&lt;=IFERROR(VLOOKUP(CONCATENATE(D38,YEAR(TODAY())-YEAR(C38),"kasirata"),_viitearvot!$I$2:$M$205,2,FALSE()),99),5,IF(L38&lt;=IFERROR(VLOOKUP(CONCATENATE(D38,YEAR(TODAY())-YEAR(C38),"kasirata"),_viitearvot!$I$2:$M$205,3,FALSE()),99),4,IF(L38&lt;=IFERROR(VLOOKUP(CONCATENATE(D38,YEAR(TODAY())-YEAR(C38),"kasirata"),_viitearvot!$I$2:$M$205,4,FALSE()),99),3,IF(L38&lt;=IFERROR(VLOOKUP(CONCATENATE(D38,YEAR(TODAY())-YEAR(C38),"kasirata"),_viitearvot!$I$2:$M$205,5,FALSE()),99),2,1)))))</f>
        <v/>
      </c>
      <c r="X38" s="16" t="str">
        <f aca="true">IF(OR(M38="",D38=""),"",IF(M38&lt;=IFERROR(VLOOKUP(CONCATENATE(D38,YEAR(TODAY())-YEAR(C38),"smjuoksu"),_viitearvot!$I$2:$M$205,2,FALSE()),99),5,IF(M38&lt;=IFERROR(VLOOKUP(CONCATENATE(D38,YEAR(TODAY())-YEAR(C38),"smjuoksu"),_viitearvot!$I$2:$M$205,3,FALSE()),99),4,IF(M38&lt;=IFERROR(VLOOKUP(CONCATENATE(D38,YEAR(TODAY())-YEAR(C38),"smjuoksu"),_viitearvot!$I$2:$M$205,4,FALSE()),99),3,IF(M38&lt;=IFERROR(VLOOKUP(CONCATENATE(D38,YEAR(TODAY())-YEAR(C38),"smjuoksu"),_viitearvot!$I$2:$M$205,5,FALSE()),99),2,1)))))</f>
        <v/>
      </c>
      <c r="Y38" s="16" t="str">
        <f aca="true">IF(OR(N38="",D38=""),"",IF(N38&lt;=IFERROR(VLOOKUP(CONCATENATE(D38,YEAR(TODAY())-YEAR(C38),"smpallo"),_viitearvot!$I$2:$M$205,2,FALSE()),99),5,IF(N38&lt;=IFERROR(VLOOKUP(CONCATENATE(D38,YEAR(TODAY())-YEAR(C38),"smpallo"),_viitearvot!$I$2:$M$205,3,FALSE()),99),4,IF(N38&lt;=IFERROR(VLOOKUP(CONCATENATE(D38,YEAR(TODAY())-YEAR(C38),"smpallo"),_viitearvot!$I$2:$M$205,4,FALSE()),99),3,IF(N38&lt;=IFERROR(VLOOKUP(CONCATENATE(D38,YEAR(TODAY())-YEAR(C38),"smpallo"),_viitearvot!$I$2:$M$205,5,FALSE()),99),2,1)))))</f>
        <v/>
      </c>
      <c r="Z38" s="16" t="str">
        <f aca="true">IF(OR(O38="",D38=""),"",IF(O38&gt;=IFERROR(VLOOKUP(CONCATENATE(D38,YEAR(TODAY())-YEAR(C38),"cmj"),_viitearvot!$I$2:$M$205,2,FALSE()),0),5,IF(O38&gt;=IFERROR(VLOOKUP(CONCATENATE(D38,YEAR(TODAY())-YEAR(C38),"cmj"),_viitearvot!$I$2:$M$205,3,FALSE()),0),4,IF(O38&gt;=IFERROR(VLOOKUP(CONCATENATE(D38,YEAR(TODAY())-YEAR(C38),"cmj"),_viitearvot!$I$2:$M$205,4,FALSE()),0),3,IF(O38&gt;=IFERROR(VLOOKUP(CONCATENATE(D38,YEAR(TODAY())-YEAR(C38),"cmj"),_viitearvot!$I$2:$M$205,5,FALSE()),0),2,1)))))</f>
        <v/>
      </c>
      <c r="AA38" s="16" t="str">
        <f aca="true">IF(OR(P38="",D38=""),"",IF(P38&gt;=IFERROR(VLOOKUP(CONCATENATE(D38,YEAR(TODAY())-YEAR(C38),"bronco"),_viitearvot!$I$2:$M$205,2,FALSE()),0),5,IF(P38&gt;=IFERROR(VLOOKUP(CONCATENATE(D38,YEAR(TODAY())-YEAR(C38),"bronco"),_viitearvot!$I$2:$M$205,3,FALSE()),0),4,IF(P38&gt;=IFERROR(VLOOKUP(CONCATENATE(D38,YEAR(TODAY())-YEAR(C38),"bronco"),_viitearvot!$I$2:$M$205,4,FALSE()),0),3,IF(P38&gt;=IFERROR(VLOOKUP(CONCATENATE(D38,YEAR(TODAY())-YEAR(C38),"bronco"),_viitearvot!$I$2:$M$205,5,FALSE()),0),2,1)))))</f>
        <v/>
      </c>
      <c r="AB38" s="11"/>
      <c r="AC38" s="17"/>
      <c r="AD38" s="18" t="str">
        <f aca="false">IF(OR(AC38="",H38=""),"",(IF(D38="P",IF(H38&lt;=IFERROR(VLOOKUP(CONCATENATE("P",ROUND(AC38,0),"lin5m"),_viitearvot!$A:$H,4,FALSE()),99),5,IF(H38&lt;=IFERROR(VLOOKUP(CONCATENATE("P",ROUND(AC38,0),"lin5m"),_viitearvot!$A:$H,5,FALSE()),99),4,IF(H38&lt;=IFERROR(VLOOKUP(CONCATENATE("P",ROUND(AC38,0),"lin5m"),_viitearvot!$A:$H,6,FALSE()),99),3,IF(H38&lt;=IFERROR(VLOOKUP(CONCATENATE("P",ROUND(AC38,0),"lin5m"),_viitearvot!$A:$H,7,FALSE()),99),2,1)))),IF(H38&lt;=IFERROR(VLOOKUP(CONCATENATE("T",ROUND(AC38,0),"lin5m"),_viitearvot!$A:$H,4,FALSE()),99),5,IF(H38&lt;=IFERROR(VLOOKUP(CONCATENATE("T",ROUND(AC38,0),"lin5m"),_viitearvot!$A:$H,5,FALSE()),99),4,IF(H38&lt;=IFERROR(VLOOKUP(CONCATENATE("T",ROUND(AC38,0),"lin5m"),_viitearvot!$A:$H,6,FALSE()),99),3,IF(H38&lt;=IFERROR(VLOOKUP(CONCATENATE("T",ROUND(AC38,0),"lin5m"),_viitearvot!$A:$H,7,FALSE()),99),2,1)))))-S38))</f>
        <v/>
      </c>
    </row>
    <row r="39" customFormat="false" ht="15" hidden="false" customHeight="true" outlineLevel="0" collapsed="false">
      <c r="A39" s="10"/>
      <c r="B39" s="10"/>
      <c r="C39" s="10"/>
      <c r="D39" s="10"/>
      <c r="E39" s="10"/>
      <c r="F39" s="10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 t="str">
        <f aca="true">IF(OR(H39="",D39=""),"",IF(H39&lt;=IFERROR(VLOOKUP(CONCATENATE(D39,YEAR(TODAY())-YEAR(C39),"lin5m"),_viitearvot!$I$2:$M$205,2,FALSE()),99),5,IF(H39&lt;=IFERROR(VLOOKUP(CONCATENATE(D39,YEAR(TODAY())-YEAR(C39),"lin5m"),_viitearvot!$I$2:$M$205,3,FALSE()),99),4,IF(H39&lt;=IFERROR(VLOOKUP(CONCATENATE(D39,YEAR(TODAY())-YEAR(C39),"lin5m"),_viitearvot!$I$2:$M$205,4,FALSE()),99),3,IF(H39&lt;=IFERROR(VLOOKUP(CONCATENATE(D39,YEAR(TODAY())-YEAR(C39),"lin5m"),_viitearvot!$I$2:$M$205,5,FALSE()),99),2,1)))))</f>
        <v/>
      </c>
      <c r="T39" s="13" t="str">
        <f aca="true">IF(OR(I39="",D39=""),"",IF(I39&lt;=IFERROR(VLOOKUP(CONCATENATE(D39,YEAR(TODAY())-YEAR(C39),"lin10m"),_viitearvot!$I$2:$M$205,2,FALSE()),99),5,IF(I39&lt;=IFERROR(VLOOKUP(CONCATENATE(D39,YEAR(TODAY())-YEAR(C39),"lin10m"),_viitearvot!$I$2:$M$205,3,FALSE()),99),4,IF(I39&lt;=IFERROR(VLOOKUP(CONCATENATE(D39,YEAR(TODAY())-YEAR(C39),"lin10m"),_viitearvot!$I$2:$M$205,4,FALSE()),99),3,IF(I39&lt;=IFERROR(VLOOKUP(CONCATENATE(D39,YEAR(TODAY())-YEAR(C39),"lin10m"),_viitearvot!$I$2:$M$205,5,FALSE()),99),2,1)))))</f>
        <v/>
      </c>
      <c r="U39" s="13" t="str">
        <f aca="true">IF(OR(J39="",D39=""),"",IF(J39&lt;=IFERROR(VLOOKUP(CONCATENATE(D39,YEAR(TODAY())-YEAR(C39),"lin20m"),_viitearvot!$I$2:$M$205,2,FALSE()),99),5,IF(J39&lt;=IFERROR(VLOOKUP(CONCATENATE(D39,YEAR(TODAY())-YEAR(C39),"lin20m"),_viitearvot!$I$2:$M$205,3,FALSE()),99),4,IF(J39&lt;=IFERROR(VLOOKUP(CONCATENATE(D39,YEAR(TODAY())-YEAR(C39),"lin20m"),_viitearvot!$I$2:$M$205,4,FALSE()),99),3,IF(J39&lt;=IFERROR(VLOOKUP(CONCATENATE(D39,YEAR(TODAY())-YEAR(C39),"lin20m"),_viitearvot!$I$2:$M$205,5,FALSE()),99),2,1)))))</f>
        <v/>
      </c>
      <c r="V39" s="13" t="str">
        <f aca="true">IF(OR(K39="",D39=""),"",IF(K39&lt;=IFERROR(VLOOKUP(CONCATENATE(D39,YEAR(TODAY())-YEAR(C39),"lin30m"),_viitearvot!$I$2:$M$205,2,FALSE()),99),5,IF(K39&lt;=IFERROR(VLOOKUP(CONCATENATE(D39,YEAR(TODAY())-YEAR(C39),"lin30m"),_viitearvot!$I$2:$M$205,3,FALSE()),99),4,IF(K39&lt;=IFERROR(VLOOKUP(CONCATENATE(D39,YEAR(TODAY())-YEAR(C39),"lin30m"),_viitearvot!$I$2:$M$205,4,FALSE()),99),3,IF(K39&lt;=IFERROR(VLOOKUP(CONCATENATE(D39,YEAR(TODAY())-YEAR(C39),"lin30m"),_viitearvot!$I$2:$M$205,5,FALSE()),99),2,1)))))</f>
        <v/>
      </c>
      <c r="W39" s="13" t="str">
        <f aca="true">IF(OR(L39="",D39=""),"",IF(L39&lt;=IFERROR(VLOOKUP(CONCATENATE(D39,YEAR(TODAY())-YEAR(C39),"kasirata"),_viitearvot!$I$2:$M$205,2,FALSE()),99),5,IF(L39&lt;=IFERROR(VLOOKUP(CONCATENATE(D39,YEAR(TODAY())-YEAR(C39),"kasirata"),_viitearvot!$I$2:$M$205,3,FALSE()),99),4,IF(L39&lt;=IFERROR(VLOOKUP(CONCATENATE(D39,YEAR(TODAY())-YEAR(C39),"kasirata"),_viitearvot!$I$2:$M$205,4,FALSE()),99),3,IF(L39&lt;=IFERROR(VLOOKUP(CONCATENATE(D39,YEAR(TODAY())-YEAR(C39),"kasirata"),_viitearvot!$I$2:$M$205,5,FALSE()),99),2,1)))))</f>
        <v/>
      </c>
      <c r="X39" s="13" t="str">
        <f aca="true">IF(OR(M39="",D39=""),"",IF(M39&lt;=IFERROR(VLOOKUP(CONCATENATE(D39,YEAR(TODAY())-YEAR(C39),"smjuoksu"),_viitearvot!$I$2:$M$205,2,FALSE()),99),5,IF(M39&lt;=IFERROR(VLOOKUP(CONCATENATE(D39,YEAR(TODAY())-YEAR(C39),"smjuoksu"),_viitearvot!$I$2:$M$205,3,FALSE()),99),4,IF(M39&lt;=IFERROR(VLOOKUP(CONCATENATE(D39,YEAR(TODAY())-YEAR(C39),"smjuoksu"),_viitearvot!$I$2:$M$205,4,FALSE()),99),3,IF(M39&lt;=IFERROR(VLOOKUP(CONCATENATE(D39,YEAR(TODAY())-YEAR(C39),"smjuoksu"),_viitearvot!$I$2:$M$205,5,FALSE()),99),2,1)))))</f>
        <v/>
      </c>
      <c r="Y39" s="13" t="str">
        <f aca="true">IF(OR(N39="",D39=""),"",IF(N39&lt;=IFERROR(VLOOKUP(CONCATENATE(D39,YEAR(TODAY())-YEAR(C39),"smpallo"),_viitearvot!$I$2:$M$205,2,FALSE()),99),5,IF(N39&lt;=IFERROR(VLOOKUP(CONCATENATE(D39,YEAR(TODAY())-YEAR(C39),"smpallo"),_viitearvot!$I$2:$M$205,3,FALSE()),99),4,IF(N39&lt;=IFERROR(VLOOKUP(CONCATENATE(D39,YEAR(TODAY())-YEAR(C39),"smpallo"),_viitearvot!$I$2:$M$205,4,FALSE()),99),3,IF(N39&lt;=IFERROR(VLOOKUP(CONCATENATE(D39,YEAR(TODAY())-YEAR(C39),"smpallo"),_viitearvot!$I$2:$M$205,5,FALSE()),99),2,1)))))</f>
        <v/>
      </c>
      <c r="Z39" s="13" t="str">
        <f aca="true">IF(OR(O39="",D39=""),"",IF(O39&gt;=IFERROR(VLOOKUP(CONCATENATE(D39,YEAR(TODAY())-YEAR(C39),"cmj"),_viitearvot!$I$2:$M$205,2,FALSE()),0),5,IF(O39&gt;=IFERROR(VLOOKUP(CONCATENATE(D39,YEAR(TODAY())-YEAR(C39),"cmj"),_viitearvot!$I$2:$M$205,3,FALSE()),0),4,IF(O39&gt;=IFERROR(VLOOKUP(CONCATENATE(D39,YEAR(TODAY())-YEAR(C39),"cmj"),_viitearvot!$I$2:$M$205,4,FALSE()),0),3,IF(O39&gt;=IFERROR(VLOOKUP(CONCATENATE(D39,YEAR(TODAY())-YEAR(C39),"cmj"),_viitearvot!$I$2:$M$205,5,FALSE()),0),2,1)))))</f>
        <v/>
      </c>
      <c r="AA39" s="13" t="str">
        <f aca="true">IF(OR(P39="",D39=""),"",IF(P39&gt;=IFERROR(VLOOKUP(CONCATENATE(D39,YEAR(TODAY())-YEAR(C39),"bronco"),_viitearvot!$I$2:$M$205,2,FALSE()),0),5,IF(P39&gt;=IFERROR(VLOOKUP(CONCATENATE(D39,YEAR(TODAY())-YEAR(C39),"bronco"),_viitearvot!$I$2:$M$205,3,FALSE()),0),4,IF(P39&gt;=IFERROR(VLOOKUP(CONCATENATE(D39,YEAR(TODAY())-YEAR(C39),"bronco"),_viitearvot!$I$2:$M$205,4,FALSE()),0),3,IF(P39&gt;=IFERROR(VLOOKUP(CONCATENATE(D39,YEAR(TODAY())-YEAR(C39),"bronco"),_viitearvot!$I$2:$M$205,5,FALSE()),0),2,1)))))</f>
        <v/>
      </c>
      <c r="AB39" s="11"/>
      <c r="AC39" s="14"/>
      <c r="AD39" s="15" t="str">
        <f aca="false">IF(OR(AC39="",H39=""),"",(IF(D39="P",IF(H39&lt;=IFERROR(VLOOKUP(CONCATENATE("P",ROUND(AC39,0),"lin5m"),_viitearvot!$A:$H,4,FALSE()),99),5,IF(H39&lt;=IFERROR(VLOOKUP(CONCATENATE("P",ROUND(AC39,0),"lin5m"),_viitearvot!$A:$H,5,FALSE()),99),4,IF(H39&lt;=IFERROR(VLOOKUP(CONCATENATE("P",ROUND(AC39,0),"lin5m"),_viitearvot!$A:$H,6,FALSE()),99),3,IF(H39&lt;=IFERROR(VLOOKUP(CONCATENATE("P",ROUND(AC39,0),"lin5m"),_viitearvot!$A:$H,7,FALSE()),99),2,1)))),IF(H39&lt;=IFERROR(VLOOKUP(CONCATENATE("T",ROUND(AC39,0),"lin5m"),_viitearvot!$A:$H,4,FALSE()),99),5,IF(H39&lt;=IFERROR(VLOOKUP(CONCATENATE("T",ROUND(AC39,0),"lin5m"),_viitearvot!$A:$H,5,FALSE()),99),4,IF(H39&lt;=IFERROR(VLOOKUP(CONCATENATE("T",ROUND(AC39,0),"lin5m"),_viitearvot!$A:$H,6,FALSE()),99),3,IF(H39&lt;=IFERROR(VLOOKUP(CONCATENATE("T",ROUND(AC39,0),"lin5m"),_viitearvot!$A:$H,7,FALSE()),99),2,1)))))-S39))</f>
        <v/>
      </c>
    </row>
    <row r="40" customFormat="false" ht="15" hidden="false" customHeight="true" outlineLevel="0" collapsed="false">
      <c r="A40" s="10"/>
      <c r="B40" s="10"/>
      <c r="C40" s="10"/>
      <c r="D40" s="10"/>
      <c r="E40" s="10"/>
      <c r="F40" s="10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6" t="str">
        <f aca="true">IF(OR(H40="",D40=""),"",IF(H40&lt;=IFERROR(VLOOKUP(CONCATENATE(D40,YEAR(TODAY())-YEAR(C40),"lin5m"),_viitearvot!$I$2:$M$205,2,FALSE()),99),5,IF(H40&lt;=IFERROR(VLOOKUP(CONCATENATE(D40,YEAR(TODAY())-YEAR(C40),"lin5m"),_viitearvot!$I$2:$M$205,3,FALSE()),99),4,IF(H40&lt;=IFERROR(VLOOKUP(CONCATENATE(D40,YEAR(TODAY())-YEAR(C40),"lin5m"),_viitearvot!$I$2:$M$205,4,FALSE()),99),3,IF(H40&lt;=IFERROR(VLOOKUP(CONCATENATE(D40,YEAR(TODAY())-YEAR(C40),"lin5m"),_viitearvot!$I$2:$M$205,5,FALSE()),99),2,1)))))</f>
        <v/>
      </c>
      <c r="T40" s="16" t="str">
        <f aca="true">IF(OR(I40="",D40=""),"",IF(I40&lt;=IFERROR(VLOOKUP(CONCATENATE(D40,YEAR(TODAY())-YEAR(C40),"lin10m"),_viitearvot!$I$2:$M$205,2,FALSE()),99),5,IF(I40&lt;=IFERROR(VLOOKUP(CONCATENATE(D40,YEAR(TODAY())-YEAR(C40),"lin10m"),_viitearvot!$I$2:$M$205,3,FALSE()),99),4,IF(I40&lt;=IFERROR(VLOOKUP(CONCATENATE(D40,YEAR(TODAY())-YEAR(C40),"lin10m"),_viitearvot!$I$2:$M$205,4,FALSE()),99),3,IF(I40&lt;=IFERROR(VLOOKUP(CONCATENATE(D40,YEAR(TODAY())-YEAR(C40),"lin10m"),_viitearvot!$I$2:$M$205,5,FALSE()),99),2,1)))))</f>
        <v/>
      </c>
      <c r="U40" s="16" t="str">
        <f aca="true">IF(OR(J40="",D40=""),"",IF(J40&lt;=IFERROR(VLOOKUP(CONCATENATE(D40,YEAR(TODAY())-YEAR(C40),"lin20m"),_viitearvot!$I$2:$M$205,2,FALSE()),99),5,IF(J40&lt;=IFERROR(VLOOKUP(CONCATENATE(D40,YEAR(TODAY())-YEAR(C40),"lin20m"),_viitearvot!$I$2:$M$205,3,FALSE()),99),4,IF(J40&lt;=IFERROR(VLOOKUP(CONCATENATE(D40,YEAR(TODAY())-YEAR(C40),"lin20m"),_viitearvot!$I$2:$M$205,4,FALSE()),99),3,IF(J40&lt;=IFERROR(VLOOKUP(CONCATENATE(D40,YEAR(TODAY())-YEAR(C40),"lin20m"),_viitearvot!$I$2:$M$205,5,FALSE()),99),2,1)))))</f>
        <v/>
      </c>
      <c r="V40" s="16" t="str">
        <f aca="true">IF(OR(K40="",D40=""),"",IF(K40&lt;=IFERROR(VLOOKUP(CONCATENATE(D40,YEAR(TODAY())-YEAR(C40),"lin30m"),_viitearvot!$I$2:$M$205,2,FALSE()),99),5,IF(K40&lt;=IFERROR(VLOOKUP(CONCATENATE(D40,YEAR(TODAY())-YEAR(C40),"lin30m"),_viitearvot!$I$2:$M$205,3,FALSE()),99),4,IF(K40&lt;=IFERROR(VLOOKUP(CONCATENATE(D40,YEAR(TODAY())-YEAR(C40),"lin30m"),_viitearvot!$I$2:$M$205,4,FALSE()),99),3,IF(K40&lt;=IFERROR(VLOOKUP(CONCATENATE(D40,YEAR(TODAY())-YEAR(C40),"lin30m"),_viitearvot!$I$2:$M$205,5,FALSE()),99),2,1)))))</f>
        <v/>
      </c>
      <c r="W40" s="16" t="str">
        <f aca="true">IF(OR(L40="",D40=""),"",IF(L40&lt;=IFERROR(VLOOKUP(CONCATENATE(D40,YEAR(TODAY())-YEAR(C40),"kasirata"),_viitearvot!$I$2:$M$205,2,FALSE()),99),5,IF(L40&lt;=IFERROR(VLOOKUP(CONCATENATE(D40,YEAR(TODAY())-YEAR(C40),"kasirata"),_viitearvot!$I$2:$M$205,3,FALSE()),99),4,IF(L40&lt;=IFERROR(VLOOKUP(CONCATENATE(D40,YEAR(TODAY())-YEAR(C40),"kasirata"),_viitearvot!$I$2:$M$205,4,FALSE()),99),3,IF(L40&lt;=IFERROR(VLOOKUP(CONCATENATE(D40,YEAR(TODAY())-YEAR(C40),"kasirata"),_viitearvot!$I$2:$M$205,5,FALSE()),99),2,1)))))</f>
        <v/>
      </c>
      <c r="X40" s="16" t="str">
        <f aca="true">IF(OR(M40="",D40=""),"",IF(M40&lt;=IFERROR(VLOOKUP(CONCATENATE(D40,YEAR(TODAY())-YEAR(C40),"smjuoksu"),_viitearvot!$I$2:$M$205,2,FALSE()),99),5,IF(M40&lt;=IFERROR(VLOOKUP(CONCATENATE(D40,YEAR(TODAY())-YEAR(C40),"smjuoksu"),_viitearvot!$I$2:$M$205,3,FALSE()),99),4,IF(M40&lt;=IFERROR(VLOOKUP(CONCATENATE(D40,YEAR(TODAY())-YEAR(C40),"smjuoksu"),_viitearvot!$I$2:$M$205,4,FALSE()),99),3,IF(M40&lt;=IFERROR(VLOOKUP(CONCATENATE(D40,YEAR(TODAY())-YEAR(C40),"smjuoksu"),_viitearvot!$I$2:$M$205,5,FALSE()),99),2,1)))))</f>
        <v/>
      </c>
      <c r="Y40" s="16" t="str">
        <f aca="true">IF(OR(N40="",D40=""),"",IF(N40&lt;=IFERROR(VLOOKUP(CONCATENATE(D40,YEAR(TODAY())-YEAR(C40),"smpallo"),_viitearvot!$I$2:$M$205,2,FALSE()),99),5,IF(N40&lt;=IFERROR(VLOOKUP(CONCATENATE(D40,YEAR(TODAY())-YEAR(C40),"smpallo"),_viitearvot!$I$2:$M$205,3,FALSE()),99),4,IF(N40&lt;=IFERROR(VLOOKUP(CONCATENATE(D40,YEAR(TODAY())-YEAR(C40),"smpallo"),_viitearvot!$I$2:$M$205,4,FALSE()),99),3,IF(N40&lt;=IFERROR(VLOOKUP(CONCATENATE(D40,YEAR(TODAY())-YEAR(C40),"smpallo"),_viitearvot!$I$2:$M$205,5,FALSE()),99),2,1)))))</f>
        <v/>
      </c>
      <c r="Z40" s="16" t="str">
        <f aca="true">IF(OR(O40="",D40=""),"",IF(O40&gt;=IFERROR(VLOOKUP(CONCATENATE(D40,YEAR(TODAY())-YEAR(C40),"cmj"),_viitearvot!$I$2:$M$205,2,FALSE()),0),5,IF(O40&gt;=IFERROR(VLOOKUP(CONCATENATE(D40,YEAR(TODAY())-YEAR(C40),"cmj"),_viitearvot!$I$2:$M$205,3,FALSE()),0),4,IF(O40&gt;=IFERROR(VLOOKUP(CONCATENATE(D40,YEAR(TODAY())-YEAR(C40),"cmj"),_viitearvot!$I$2:$M$205,4,FALSE()),0),3,IF(O40&gt;=IFERROR(VLOOKUP(CONCATENATE(D40,YEAR(TODAY())-YEAR(C40),"cmj"),_viitearvot!$I$2:$M$205,5,FALSE()),0),2,1)))))</f>
        <v/>
      </c>
      <c r="AA40" s="16" t="str">
        <f aca="true">IF(OR(P40="",D40=""),"",IF(P40&gt;=IFERROR(VLOOKUP(CONCATENATE(D40,YEAR(TODAY())-YEAR(C40),"bronco"),_viitearvot!$I$2:$M$205,2,FALSE()),0),5,IF(P40&gt;=IFERROR(VLOOKUP(CONCATENATE(D40,YEAR(TODAY())-YEAR(C40),"bronco"),_viitearvot!$I$2:$M$205,3,FALSE()),0),4,IF(P40&gt;=IFERROR(VLOOKUP(CONCATENATE(D40,YEAR(TODAY())-YEAR(C40),"bronco"),_viitearvot!$I$2:$M$205,4,FALSE()),0),3,IF(P40&gt;=IFERROR(VLOOKUP(CONCATENATE(D40,YEAR(TODAY())-YEAR(C40),"bronco"),_viitearvot!$I$2:$M$205,5,FALSE()),0),2,1)))))</f>
        <v/>
      </c>
      <c r="AB40" s="11"/>
      <c r="AC40" s="17"/>
      <c r="AD40" s="18" t="str">
        <f aca="false">IF(OR(AC40="",H40=""),"",(IF(D40="P",IF(H40&lt;=IFERROR(VLOOKUP(CONCATENATE("P",ROUND(AC40,0),"lin5m"),_viitearvot!$A:$H,4,FALSE()),99),5,IF(H40&lt;=IFERROR(VLOOKUP(CONCATENATE("P",ROUND(AC40,0),"lin5m"),_viitearvot!$A:$H,5,FALSE()),99),4,IF(H40&lt;=IFERROR(VLOOKUP(CONCATENATE("P",ROUND(AC40,0),"lin5m"),_viitearvot!$A:$H,6,FALSE()),99),3,IF(H40&lt;=IFERROR(VLOOKUP(CONCATENATE("P",ROUND(AC40,0),"lin5m"),_viitearvot!$A:$H,7,FALSE()),99),2,1)))),IF(H40&lt;=IFERROR(VLOOKUP(CONCATENATE("T",ROUND(AC40,0),"lin5m"),_viitearvot!$A:$H,4,FALSE()),99),5,IF(H40&lt;=IFERROR(VLOOKUP(CONCATENATE("T",ROUND(AC40,0),"lin5m"),_viitearvot!$A:$H,5,FALSE()),99),4,IF(H40&lt;=IFERROR(VLOOKUP(CONCATENATE("T",ROUND(AC40,0),"lin5m"),_viitearvot!$A:$H,6,FALSE()),99),3,IF(H40&lt;=IFERROR(VLOOKUP(CONCATENATE("T",ROUND(AC40,0),"lin5m"),_viitearvot!$A:$H,7,FALSE()),99),2,1)))))-S40))</f>
        <v/>
      </c>
    </row>
    <row r="41" customFormat="false" ht="15" hidden="false" customHeight="true" outlineLevel="0" collapsed="false">
      <c r="A41" s="10"/>
      <c r="B41" s="10"/>
      <c r="C41" s="10"/>
      <c r="D41" s="10"/>
      <c r="E41" s="10"/>
      <c r="F41" s="10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 t="str">
        <f aca="true">IF(OR(H41="",D41=""),"",IF(H41&lt;=IFERROR(VLOOKUP(CONCATENATE(D41,YEAR(TODAY())-YEAR(C41),"lin5m"),_viitearvot!$I$2:$M$205,2,FALSE()),99),5,IF(H41&lt;=IFERROR(VLOOKUP(CONCATENATE(D41,YEAR(TODAY())-YEAR(C41),"lin5m"),_viitearvot!$I$2:$M$205,3,FALSE()),99),4,IF(H41&lt;=IFERROR(VLOOKUP(CONCATENATE(D41,YEAR(TODAY())-YEAR(C41),"lin5m"),_viitearvot!$I$2:$M$205,4,FALSE()),99),3,IF(H41&lt;=IFERROR(VLOOKUP(CONCATENATE(D41,YEAR(TODAY())-YEAR(C41),"lin5m"),_viitearvot!$I$2:$M$205,5,FALSE()),99),2,1)))))</f>
        <v/>
      </c>
      <c r="T41" s="13" t="str">
        <f aca="true">IF(OR(I41="",D41=""),"",IF(I41&lt;=IFERROR(VLOOKUP(CONCATENATE(D41,YEAR(TODAY())-YEAR(C41),"lin10m"),_viitearvot!$I$2:$M$205,2,FALSE()),99),5,IF(I41&lt;=IFERROR(VLOOKUP(CONCATENATE(D41,YEAR(TODAY())-YEAR(C41),"lin10m"),_viitearvot!$I$2:$M$205,3,FALSE()),99),4,IF(I41&lt;=IFERROR(VLOOKUP(CONCATENATE(D41,YEAR(TODAY())-YEAR(C41),"lin10m"),_viitearvot!$I$2:$M$205,4,FALSE()),99),3,IF(I41&lt;=IFERROR(VLOOKUP(CONCATENATE(D41,YEAR(TODAY())-YEAR(C41),"lin10m"),_viitearvot!$I$2:$M$205,5,FALSE()),99),2,1)))))</f>
        <v/>
      </c>
      <c r="U41" s="13" t="str">
        <f aca="true">IF(OR(J41="",D41=""),"",IF(J41&lt;=IFERROR(VLOOKUP(CONCATENATE(D41,YEAR(TODAY())-YEAR(C41),"lin20m"),_viitearvot!$I$2:$M$205,2,FALSE()),99),5,IF(J41&lt;=IFERROR(VLOOKUP(CONCATENATE(D41,YEAR(TODAY())-YEAR(C41),"lin20m"),_viitearvot!$I$2:$M$205,3,FALSE()),99),4,IF(J41&lt;=IFERROR(VLOOKUP(CONCATENATE(D41,YEAR(TODAY())-YEAR(C41),"lin20m"),_viitearvot!$I$2:$M$205,4,FALSE()),99),3,IF(J41&lt;=IFERROR(VLOOKUP(CONCATENATE(D41,YEAR(TODAY())-YEAR(C41),"lin20m"),_viitearvot!$I$2:$M$205,5,FALSE()),99),2,1)))))</f>
        <v/>
      </c>
      <c r="V41" s="13" t="str">
        <f aca="true">IF(OR(K41="",D41=""),"",IF(K41&lt;=IFERROR(VLOOKUP(CONCATENATE(D41,YEAR(TODAY())-YEAR(C41),"lin30m"),_viitearvot!$I$2:$M$205,2,FALSE()),99),5,IF(K41&lt;=IFERROR(VLOOKUP(CONCATENATE(D41,YEAR(TODAY())-YEAR(C41),"lin30m"),_viitearvot!$I$2:$M$205,3,FALSE()),99),4,IF(K41&lt;=IFERROR(VLOOKUP(CONCATENATE(D41,YEAR(TODAY())-YEAR(C41),"lin30m"),_viitearvot!$I$2:$M$205,4,FALSE()),99),3,IF(K41&lt;=IFERROR(VLOOKUP(CONCATENATE(D41,YEAR(TODAY())-YEAR(C41),"lin30m"),_viitearvot!$I$2:$M$205,5,FALSE()),99),2,1)))))</f>
        <v/>
      </c>
      <c r="W41" s="13" t="str">
        <f aca="true">IF(OR(L41="",D41=""),"",IF(L41&lt;=IFERROR(VLOOKUP(CONCATENATE(D41,YEAR(TODAY())-YEAR(C41),"kasirata"),_viitearvot!$I$2:$M$205,2,FALSE()),99),5,IF(L41&lt;=IFERROR(VLOOKUP(CONCATENATE(D41,YEAR(TODAY())-YEAR(C41),"kasirata"),_viitearvot!$I$2:$M$205,3,FALSE()),99),4,IF(L41&lt;=IFERROR(VLOOKUP(CONCATENATE(D41,YEAR(TODAY())-YEAR(C41),"kasirata"),_viitearvot!$I$2:$M$205,4,FALSE()),99),3,IF(L41&lt;=IFERROR(VLOOKUP(CONCATENATE(D41,YEAR(TODAY())-YEAR(C41),"kasirata"),_viitearvot!$I$2:$M$205,5,FALSE()),99),2,1)))))</f>
        <v/>
      </c>
      <c r="X41" s="13" t="str">
        <f aca="true">IF(OR(M41="",D41=""),"",IF(M41&lt;=IFERROR(VLOOKUP(CONCATENATE(D41,YEAR(TODAY())-YEAR(C41),"smjuoksu"),_viitearvot!$I$2:$M$205,2,FALSE()),99),5,IF(M41&lt;=IFERROR(VLOOKUP(CONCATENATE(D41,YEAR(TODAY())-YEAR(C41),"smjuoksu"),_viitearvot!$I$2:$M$205,3,FALSE()),99),4,IF(M41&lt;=IFERROR(VLOOKUP(CONCATENATE(D41,YEAR(TODAY())-YEAR(C41),"smjuoksu"),_viitearvot!$I$2:$M$205,4,FALSE()),99),3,IF(M41&lt;=IFERROR(VLOOKUP(CONCATENATE(D41,YEAR(TODAY())-YEAR(C41),"smjuoksu"),_viitearvot!$I$2:$M$205,5,FALSE()),99),2,1)))))</f>
        <v/>
      </c>
      <c r="Y41" s="13" t="str">
        <f aca="true">IF(OR(N41="",D41=""),"",IF(N41&lt;=IFERROR(VLOOKUP(CONCATENATE(D41,YEAR(TODAY())-YEAR(C41),"smpallo"),_viitearvot!$I$2:$M$205,2,FALSE()),99),5,IF(N41&lt;=IFERROR(VLOOKUP(CONCATENATE(D41,YEAR(TODAY())-YEAR(C41),"smpallo"),_viitearvot!$I$2:$M$205,3,FALSE()),99),4,IF(N41&lt;=IFERROR(VLOOKUP(CONCATENATE(D41,YEAR(TODAY())-YEAR(C41),"smpallo"),_viitearvot!$I$2:$M$205,4,FALSE()),99),3,IF(N41&lt;=IFERROR(VLOOKUP(CONCATENATE(D41,YEAR(TODAY())-YEAR(C41),"smpallo"),_viitearvot!$I$2:$M$205,5,FALSE()),99),2,1)))))</f>
        <v/>
      </c>
      <c r="Z41" s="13" t="str">
        <f aca="true">IF(OR(O41="",D41=""),"",IF(O41&gt;=IFERROR(VLOOKUP(CONCATENATE(D41,YEAR(TODAY())-YEAR(C41),"cmj"),_viitearvot!$I$2:$M$205,2,FALSE()),0),5,IF(O41&gt;=IFERROR(VLOOKUP(CONCATENATE(D41,YEAR(TODAY())-YEAR(C41),"cmj"),_viitearvot!$I$2:$M$205,3,FALSE()),0),4,IF(O41&gt;=IFERROR(VLOOKUP(CONCATENATE(D41,YEAR(TODAY())-YEAR(C41),"cmj"),_viitearvot!$I$2:$M$205,4,FALSE()),0),3,IF(O41&gt;=IFERROR(VLOOKUP(CONCATENATE(D41,YEAR(TODAY())-YEAR(C41),"cmj"),_viitearvot!$I$2:$M$205,5,FALSE()),0),2,1)))))</f>
        <v/>
      </c>
      <c r="AA41" s="13" t="str">
        <f aca="true">IF(OR(P41="",D41=""),"",IF(P41&gt;=IFERROR(VLOOKUP(CONCATENATE(D41,YEAR(TODAY())-YEAR(C41),"bronco"),_viitearvot!$I$2:$M$205,2,FALSE()),0),5,IF(P41&gt;=IFERROR(VLOOKUP(CONCATENATE(D41,YEAR(TODAY())-YEAR(C41),"bronco"),_viitearvot!$I$2:$M$205,3,FALSE()),0),4,IF(P41&gt;=IFERROR(VLOOKUP(CONCATENATE(D41,YEAR(TODAY())-YEAR(C41),"bronco"),_viitearvot!$I$2:$M$205,4,FALSE()),0),3,IF(P41&gt;=IFERROR(VLOOKUP(CONCATENATE(D41,YEAR(TODAY())-YEAR(C41),"bronco"),_viitearvot!$I$2:$M$205,5,FALSE()),0),2,1)))))</f>
        <v/>
      </c>
      <c r="AB41" s="11"/>
      <c r="AC41" s="14"/>
      <c r="AD41" s="15" t="str">
        <f aca="false">IF(OR(AC41="",H41=""),"",(IF(D41="P",IF(H41&lt;=IFERROR(VLOOKUP(CONCATENATE("P",ROUND(AC41,0),"lin5m"),_viitearvot!$A:$H,4,FALSE()),99),5,IF(H41&lt;=IFERROR(VLOOKUP(CONCATENATE("P",ROUND(AC41,0),"lin5m"),_viitearvot!$A:$H,5,FALSE()),99),4,IF(H41&lt;=IFERROR(VLOOKUP(CONCATENATE("P",ROUND(AC41,0),"lin5m"),_viitearvot!$A:$H,6,FALSE()),99),3,IF(H41&lt;=IFERROR(VLOOKUP(CONCATENATE("P",ROUND(AC41,0),"lin5m"),_viitearvot!$A:$H,7,FALSE()),99),2,1)))),IF(H41&lt;=IFERROR(VLOOKUP(CONCATENATE("T",ROUND(AC41,0),"lin5m"),_viitearvot!$A:$H,4,FALSE()),99),5,IF(H41&lt;=IFERROR(VLOOKUP(CONCATENATE("T",ROUND(AC41,0),"lin5m"),_viitearvot!$A:$H,5,FALSE()),99),4,IF(H41&lt;=IFERROR(VLOOKUP(CONCATENATE("T",ROUND(AC41,0),"lin5m"),_viitearvot!$A:$H,6,FALSE()),99),3,IF(H41&lt;=IFERROR(VLOOKUP(CONCATENATE("T",ROUND(AC41,0),"lin5m"),_viitearvot!$A:$H,7,FALSE()),99),2,1)))))-S41))</f>
        <v/>
      </c>
    </row>
    <row r="42" customFormat="false" ht="15" hidden="false" customHeight="true" outlineLevel="0" collapsed="false">
      <c r="A42" s="10"/>
      <c r="B42" s="10"/>
      <c r="C42" s="10"/>
      <c r="D42" s="10"/>
      <c r="E42" s="10"/>
      <c r="F42" s="10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6" t="str">
        <f aca="true">IF(OR(H42="",D42=""),"",IF(H42&lt;=IFERROR(VLOOKUP(CONCATENATE(D42,YEAR(TODAY())-YEAR(C42),"lin5m"),_viitearvot!$I$2:$M$205,2,FALSE()),99),5,IF(H42&lt;=IFERROR(VLOOKUP(CONCATENATE(D42,YEAR(TODAY())-YEAR(C42),"lin5m"),_viitearvot!$I$2:$M$205,3,FALSE()),99),4,IF(H42&lt;=IFERROR(VLOOKUP(CONCATENATE(D42,YEAR(TODAY())-YEAR(C42),"lin5m"),_viitearvot!$I$2:$M$205,4,FALSE()),99),3,IF(H42&lt;=IFERROR(VLOOKUP(CONCATENATE(D42,YEAR(TODAY())-YEAR(C42),"lin5m"),_viitearvot!$I$2:$M$205,5,FALSE()),99),2,1)))))</f>
        <v/>
      </c>
      <c r="T42" s="16" t="str">
        <f aca="true">IF(OR(I42="",D42=""),"",IF(I42&lt;=IFERROR(VLOOKUP(CONCATENATE(D42,YEAR(TODAY())-YEAR(C42),"lin10m"),_viitearvot!$I$2:$M$205,2,FALSE()),99),5,IF(I42&lt;=IFERROR(VLOOKUP(CONCATENATE(D42,YEAR(TODAY())-YEAR(C42),"lin10m"),_viitearvot!$I$2:$M$205,3,FALSE()),99),4,IF(I42&lt;=IFERROR(VLOOKUP(CONCATENATE(D42,YEAR(TODAY())-YEAR(C42),"lin10m"),_viitearvot!$I$2:$M$205,4,FALSE()),99),3,IF(I42&lt;=IFERROR(VLOOKUP(CONCATENATE(D42,YEAR(TODAY())-YEAR(C42),"lin10m"),_viitearvot!$I$2:$M$205,5,FALSE()),99),2,1)))))</f>
        <v/>
      </c>
      <c r="U42" s="16" t="str">
        <f aca="true">IF(OR(J42="",D42=""),"",IF(J42&lt;=IFERROR(VLOOKUP(CONCATENATE(D42,YEAR(TODAY())-YEAR(C42),"lin20m"),_viitearvot!$I$2:$M$205,2,FALSE()),99),5,IF(J42&lt;=IFERROR(VLOOKUP(CONCATENATE(D42,YEAR(TODAY())-YEAR(C42),"lin20m"),_viitearvot!$I$2:$M$205,3,FALSE()),99),4,IF(J42&lt;=IFERROR(VLOOKUP(CONCATENATE(D42,YEAR(TODAY())-YEAR(C42),"lin20m"),_viitearvot!$I$2:$M$205,4,FALSE()),99),3,IF(J42&lt;=IFERROR(VLOOKUP(CONCATENATE(D42,YEAR(TODAY())-YEAR(C42),"lin20m"),_viitearvot!$I$2:$M$205,5,FALSE()),99),2,1)))))</f>
        <v/>
      </c>
      <c r="V42" s="16" t="str">
        <f aca="true">IF(OR(K42="",D42=""),"",IF(K42&lt;=IFERROR(VLOOKUP(CONCATENATE(D42,YEAR(TODAY())-YEAR(C42),"lin30m"),_viitearvot!$I$2:$M$205,2,FALSE()),99),5,IF(K42&lt;=IFERROR(VLOOKUP(CONCATENATE(D42,YEAR(TODAY())-YEAR(C42),"lin30m"),_viitearvot!$I$2:$M$205,3,FALSE()),99),4,IF(K42&lt;=IFERROR(VLOOKUP(CONCATENATE(D42,YEAR(TODAY())-YEAR(C42),"lin30m"),_viitearvot!$I$2:$M$205,4,FALSE()),99),3,IF(K42&lt;=IFERROR(VLOOKUP(CONCATENATE(D42,YEAR(TODAY())-YEAR(C42),"lin30m"),_viitearvot!$I$2:$M$205,5,FALSE()),99),2,1)))))</f>
        <v/>
      </c>
      <c r="W42" s="16" t="str">
        <f aca="true">IF(OR(L42="",D42=""),"",IF(L42&lt;=IFERROR(VLOOKUP(CONCATENATE(D42,YEAR(TODAY())-YEAR(C42),"kasirata"),_viitearvot!$I$2:$M$205,2,FALSE()),99),5,IF(L42&lt;=IFERROR(VLOOKUP(CONCATENATE(D42,YEAR(TODAY())-YEAR(C42),"kasirata"),_viitearvot!$I$2:$M$205,3,FALSE()),99),4,IF(L42&lt;=IFERROR(VLOOKUP(CONCATENATE(D42,YEAR(TODAY())-YEAR(C42),"kasirata"),_viitearvot!$I$2:$M$205,4,FALSE()),99),3,IF(L42&lt;=IFERROR(VLOOKUP(CONCATENATE(D42,YEAR(TODAY())-YEAR(C42),"kasirata"),_viitearvot!$I$2:$M$205,5,FALSE()),99),2,1)))))</f>
        <v/>
      </c>
      <c r="X42" s="16" t="str">
        <f aca="true">IF(OR(M42="",D42=""),"",IF(M42&lt;=IFERROR(VLOOKUP(CONCATENATE(D42,YEAR(TODAY())-YEAR(C42),"smjuoksu"),_viitearvot!$I$2:$M$205,2,FALSE()),99),5,IF(M42&lt;=IFERROR(VLOOKUP(CONCATENATE(D42,YEAR(TODAY())-YEAR(C42),"smjuoksu"),_viitearvot!$I$2:$M$205,3,FALSE()),99),4,IF(M42&lt;=IFERROR(VLOOKUP(CONCATENATE(D42,YEAR(TODAY())-YEAR(C42),"smjuoksu"),_viitearvot!$I$2:$M$205,4,FALSE()),99),3,IF(M42&lt;=IFERROR(VLOOKUP(CONCATENATE(D42,YEAR(TODAY())-YEAR(C42),"smjuoksu"),_viitearvot!$I$2:$M$205,5,FALSE()),99),2,1)))))</f>
        <v/>
      </c>
      <c r="Y42" s="16" t="str">
        <f aca="true">IF(OR(N42="",D42=""),"",IF(N42&lt;=IFERROR(VLOOKUP(CONCATENATE(D42,YEAR(TODAY())-YEAR(C42),"smpallo"),_viitearvot!$I$2:$M$205,2,FALSE()),99),5,IF(N42&lt;=IFERROR(VLOOKUP(CONCATENATE(D42,YEAR(TODAY())-YEAR(C42),"smpallo"),_viitearvot!$I$2:$M$205,3,FALSE()),99),4,IF(N42&lt;=IFERROR(VLOOKUP(CONCATENATE(D42,YEAR(TODAY())-YEAR(C42),"smpallo"),_viitearvot!$I$2:$M$205,4,FALSE()),99),3,IF(N42&lt;=IFERROR(VLOOKUP(CONCATENATE(D42,YEAR(TODAY())-YEAR(C42),"smpallo"),_viitearvot!$I$2:$M$205,5,FALSE()),99),2,1)))))</f>
        <v/>
      </c>
      <c r="Z42" s="16" t="str">
        <f aca="true">IF(OR(O42="",D42=""),"",IF(O42&gt;=IFERROR(VLOOKUP(CONCATENATE(D42,YEAR(TODAY())-YEAR(C42),"cmj"),_viitearvot!$I$2:$M$205,2,FALSE()),0),5,IF(O42&gt;=IFERROR(VLOOKUP(CONCATENATE(D42,YEAR(TODAY())-YEAR(C42),"cmj"),_viitearvot!$I$2:$M$205,3,FALSE()),0),4,IF(O42&gt;=IFERROR(VLOOKUP(CONCATENATE(D42,YEAR(TODAY())-YEAR(C42),"cmj"),_viitearvot!$I$2:$M$205,4,FALSE()),0),3,IF(O42&gt;=IFERROR(VLOOKUP(CONCATENATE(D42,YEAR(TODAY())-YEAR(C42),"cmj"),_viitearvot!$I$2:$M$205,5,FALSE()),0),2,1)))))</f>
        <v/>
      </c>
      <c r="AA42" s="16" t="str">
        <f aca="true">IF(OR(P42="",D42=""),"",IF(P42&gt;=IFERROR(VLOOKUP(CONCATENATE(D42,YEAR(TODAY())-YEAR(C42),"bronco"),_viitearvot!$I$2:$M$205,2,FALSE()),0),5,IF(P42&gt;=IFERROR(VLOOKUP(CONCATENATE(D42,YEAR(TODAY())-YEAR(C42),"bronco"),_viitearvot!$I$2:$M$205,3,FALSE()),0),4,IF(P42&gt;=IFERROR(VLOOKUP(CONCATENATE(D42,YEAR(TODAY())-YEAR(C42),"bronco"),_viitearvot!$I$2:$M$205,4,FALSE()),0),3,IF(P42&gt;=IFERROR(VLOOKUP(CONCATENATE(D42,YEAR(TODAY())-YEAR(C42),"bronco"),_viitearvot!$I$2:$M$205,5,FALSE()),0),2,1)))))</f>
        <v/>
      </c>
      <c r="AB42" s="11"/>
      <c r="AC42" s="17"/>
      <c r="AD42" s="18" t="str">
        <f aca="false">IF(OR(AC42="",H42=""),"",(IF(D42="P",IF(H42&lt;=IFERROR(VLOOKUP(CONCATENATE("P",ROUND(AC42,0),"lin5m"),_viitearvot!$A:$H,4,FALSE()),99),5,IF(H42&lt;=IFERROR(VLOOKUP(CONCATENATE("P",ROUND(AC42,0),"lin5m"),_viitearvot!$A:$H,5,FALSE()),99),4,IF(H42&lt;=IFERROR(VLOOKUP(CONCATENATE("P",ROUND(AC42,0),"lin5m"),_viitearvot!$A:$H,6,FALSE()),99),3,IF(H42&lt;=IFERROR(VLOOKUP(CONCATENATE("P",ROUND(AC42,0),"lin5m"),_viitearvot!$A:$H,7,FALSE()),99),2,1)))),IF(H42&lt;=IFERROR(VLOOKUP(CONCATENATE("T",ROUND(AC42,0),"lin5m"),_viitearvot!$A:$H,4,FALSE()),99),5,IF(H42&lt;=IFERROR(VLOOKUP(CONCATENATE("T",ROUND(AC42,0),"lin5m"),_viitearvot!$A:$H,5,FALSE()),99),4,IF(H42&lt;=IFERROR(VLOOKUP(CONCATENATE("T",ROUND(AC42,0),"lin5m"),_viitearvot!$A:$H,6,FALSE()),99),3,IF(H42&lt;=IFERROR(VLOOKUP(CONCATENATE("T",ROUND(AC42,0),"lin5m"),_viitearvot!$A:$H,7,FALSE()),99),2,1)))))-S42))</f>
        <v/>
      </c>
    </row>
    <row r="43" customFormat="false" ht="15" hidden="false" customHeight="true" outlineLevel="0" collapsed="false">
      <c r="A43" s="10"/>
      <c r="B43" s="10"/>
      <c r="C43" s="10"/>
      <c r="D43" s="10"/>
      <c r="E43" s="10"/>
      <c r="F43" s="10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 t="str">
        <f aca="true">IF(OR(H43="",D43=""),"",IF(H43&lt;=IFERROR(VLOOKUP(CONCATENATE(D43,YEAR(TODAY())-YEAR(C43),"lin5m"),_viitearvot!$I$2:$M$205,2,FALSE()),99),5,IF(H43&lt;=IFERROR(VLOOKUP(CONCATENATE(D43,YEAR(TODAY())-YEAR(C43),"lin5m"),_viitearvot!$I$2:$M$205,3,FALSE()),99),4,IF(H43&lt;=IFERROR(VLOOKUP(CONCATENATE(D43,YEAR(TODAY())-YEAR(C43),"lin5m"),_viitearvot!$I$2:$M$205,4,FALSE()),99),3,IF(H43&lt;=IFERROR(VLOOKUP(CONCATENATE(D43,YEAR(TODAY())-YEAR(C43),"lin5m"),_viitearvot!$I$2:$M$205,5,FALSE()),99),2,1)))))</f>
        <v/>
      </c>
      <c r="T43" s="13" t="str">
        <f aca="true">IF(OR(I43="",D43=""),"",IF(I43&lt;=IFERROR(VLOOKUP(CONCATENATE(D43,YEAR(TODAY())-YEAR(C43),"lin10m"),_viitearvot!$I$2:$M$205,2,FALSE()),99),5,IF(I43&lt;=IFERROR(VLOOKUP(CONCATENATE(D43,YEAR(TODAY())-YEAR(C43),"lin10m"),_viitearvot!$I$2:$M$205,3,FALSE()),99),4,IF(I43&lt;=IFERROR(VLOOKUP(CONCATENATE(D43,YEAR(TODAY())-YEAR(C43),"lin10m"),_viitearvot!$I$2:$M$205,4,FALSE()),99),3,IF(I43&lt;=IFERROR(VLOOKUP(CONCATENATE(D43,YEAR(TODAY())-YEAR(C43),"lin10m"),_viitearvot!$I$2:$M$205,5,FALSE()),99),2,1)))))</f>
        <v/>
      </c>
      <c r="U43" s="13" t="str">
        <f aca="true">IF(OR(J43="",D43=""),"",IF(J43&lt;=IFERROR(VLOOKUP(CONCATENATE(D43,YEAR(TODAY())-YEAR(C43),"lin20m"),_viitearvot!$I$2:$M$205,2,FALSE()),99),5,IF(J43&lt;=IFERROR(VLOOKUP(CONCATENATE(D43,YEAR(TODAY())-YEAR(C43),"lin20m"),_viitearvot!$I$2:$M$205,3,FALSE()),99),4,IF(J43&lt;=IFERROR(VLOOKUP(CONCATENATE(D43,YEAR(TODAY())-YEAR(C43),"lin20m"),_viitearvot!$I$2:$M$205,4,FALSE()),99),3,IF(J43&lt;=IFERROR(VLOOKUP(CONCATENATE(D43,YEAR(TODAY())-YEAR(C43),"lin20m"),_viitearvot!$I$2:$M$205,5,FALSE()),99),2,1)))))</f>
        <v/>
      </c>
      <c r="V43" s="13" t="str">
        <f aca="true">IF(OR(K43="",D43=""),"",IF(K43&lt;=IFERROR(VLOOKUP(CONCATENATE(D43,YEAR(TODAY())-YEAR(C43),"lin30m"),_viitearvot!$I$2:$M$205,2,FALSE()),99),5,IF(K43&lt;=IFERROR(VLOOKUP(CONCATENATE(D43,YEAR(TODAY())-YEAR(C43),"lin30m"),_viitearvot!$I$2:$M$205,3,FALSE()),99),4,IF(K43&lt;=IFERROR(VLOOKUP(CONCATENATE(D43,YEAR(TODAY())-YEAR(C43),"lin30m"),_viitearvot!$I$2:$M$205,4,FALSE()),99),3,IF(K43&lt;=IFERROR(VLOOKUP(CONCATENATE(D43,YEAR(TODAY())-YEAR(C43),"lin30m"),_viitearvot!$I$2:$M$205,5,FALSE()),99),2,1)))))</f>
        <v/>
      </c>
      <c r="W43" s="13" t="str">
        <f aca="true">IF(OR(L43="",D43=""),"",IF(L43&lt;=IFERROR(VLOOKUP(CONCATENATE(D43,YEAR(TODAY())-YEAR(C43),"kasirata"),_viitearvot!$I$2:$M$205,2,FALSE()),99),5,IF(L43&lt;=IFERROR(VLOOKUP(CONCATENATE(D43,YEAR(TODAY())-YEAR(C43),"kasirata"),_viitearvot!$I$2:$M$205,3,FALSE()),99),4,IF(L43&lt;=IFERROR(VLOOKUP(CONCATENATE(D43,YEAR(TODAY())-YEAR(C43),"kasirata"),_viitearvot!$I$2:$M$205,4,FALSE()),99),3,IF(L43&lt;=IFERROR(VLOOKUP(CONCATENATE(D43,YEAR(TODAY())-YEAR(C43),"kasirata"),_viitearvot!$I$2:$M$205,5,FALSE()),99),2,1)))))</f>
        <v/>
      </c>
      <c r="X43" s="13" t="str">
        <f aca="true">IF(OR(M43="",D43=""),"",IF(M43&lt;=IFERROR(VLOOKUP(CONCATENATE(D43,YEAR(TODAY())-YEAR(C43),"smjuoksu"),_viitearvot!$I$2:$M$205,2,FALSE()),99),5,IF(M43&lt;=IFERROR(VLOOKUP(CONCATENATE(D43,YEAR(TODAY())-YEAR(C43),"smjuoksu"),_viitearvot!$I$2:$M$205,3,FALSE()),99),4,IF(M43&lt;=IFERROR(VLOOKUP(CONCATENATE(D43,YEAR(TODAY())-YEAR(C43),"smjuoksu"),_viitearvot!$I$2:$M$205,4,FALSE()),99),3,IF(M43&lt;=IFERROR(VLOOKUP(CONCATENATE(D43,YEAR(TODAY())-YEAR(C43),"smjuoksu"),_viitearvot!$I$2:$M$205,5,FALSE()),99),2,1)))))</f>
        <v/>
      </c>
      <c r="Y43" s="13" t="str">
        <f aca="true">IF(OR(N43="",D43=""),"",IF(N43&lt;=IFERROR(VLOOKUP(CONCATENATE(D43,YEAR(TODAY())-YEAR(C43),"smpallo"),_viitearvot!$I$2:$M$205,2,FALSE()),99),5,IF(N43&lt;=IFERROR(VLOOKUP(CONCATENATE(D43,YEAR(TODAY())-YEAR(C43),"smpallo"),_viitearvot!$I$2:$M$205,3,FALSE()),99),4,IF(N43&lt;=IFERROR(VLOOKUP(CONCATENATE(D43,YEAR(TODAY())-YEAR(C43),"smpallo"),_viitearvot!$I$2:$M$205,4,FALSE()),99),3,IF(N43&lt;=IFERROR(VLOOKUP(CONCATENATE(D43,YEAR(TODAY())-YEAR(C43),"smpallo"),_viitearvot!$I$2:$M$205,5,FALSE()),99),2,1)))))</f>
        <v/>
      </c>
      <c r="Z43" s="13" t="str">
        <f aca="true">IF(OR(O43="",D43=""),"",IF(O43&gt;=IFERROR(VLOOKUP(CONCATENATE(D43,YEAR(TODAY())-YEAR(C43),"cmj"),_viitearvot!$I$2:$M$205,2,FALSE()),0),5,IF(O43&gt;=IFERROR(VLOOKUP(CONCATENATE(D43,YEAR(TODAY())-YEAR(C43),"cmj"),_viitearvot!$I$2:$M$205,3,FALSE()),0),4,IF(O43&gt;=IFERROR(VLOOKUP(CONCATENATE(D43,YEAR(TODAY())-YEAR(C43),"cmj"),_viitearvot!$I$2:$M$205,4,FALSE()),0),3,IF(O43&gt;=IFERROR(VLOOKUP(CONCATENATE(D43,YEAR(TODAY())-YEAR(C43),"cmj"),_viitearvot!$I$2:$M$205,5,FALSE()),0),2,1)))))</f>
        <v/>
      </c>
      <c r="AA43" s="13" t="str">
        <f aca="true">IF(OR(P43="",D43=""),"",IF(P43&gt;=IFERROR(VLOOKUP(CONCATENATE(D43,YEAR(TODAY())-YEAR(C43),"bronco"),_viitearvot!$I$2:$M$205,2,FALSE()),0),5,IF(P43&gt;=IFERROR(VLOOKUP(CONCATENATE(D43,YEAR(TODAY())-YEAR(C43),"bronco"),_viitearvot!$I$2:$M$205,3,FALSE()),0),4,IF(P43&gt;=IFERROR(VLOOKUP(CONCATENATE(D43,YEAR(TODAY())-YEAR(C43),"bronco"),_viitearvot!$I$2:$M$205,4,FALSE()),0),3,IF(P43&gt;=IFERROR(VLOOKUP(CONCATENATE(D43,YEAR(TODAY())-YEAR(C43),"bronco"),_viitearvot!$I$2:$M$205,5,FALSE()),0),2,1)))))</f>
        <v/>
      </c>
      <c r="AB43" s="11"/>
      <c r="AC43" s="14"/>
      <c r="AD43" s="15" t="str">
        <f aca="false">IF(OR(AC43="",H43=""),"",(IF(D43="P",IF(H43&lt;=IFERROR(VLOOKUP(CONCATENATE("P",ROUND(AC43,0),"lin5m"),_viitearvot!$A:$H,4,FALSE()),99),5,IF(H43&lt;=IFERROR(VLOOKUP(CONCATENATE("P",ROUND(AC43,0),"lin5m"),_viitearvot!$A:$H,5,FALSE()),99),4,IF(H43&lt;=IFERROR(VLOOKUP(CONCATENATE("P",ROUND(AC43,0),"lin5m"),_viitearvot!$A:$H,6,FALSE()),99),3,IF(H43&lt;=IFERROR(VLOOKUP(CONCATENATE("P",ROUND(AC43,0),"lin5m"),_viitearvot!$A:$H,7,FALSE()),99),2,1)))),IF(H43&lt;=IFERROR(VLOOKUP(CONCATENATE("T",ROUND(AC43,0),"lin5m"),_viitearvot!$A:$H,4,FALSE()),99),5,IF(H43&lt;=IFERROR(VLOOKUP(CONCATENATE("T",ROUND(AC43,0),"lin5m"),_viitearvot!$A:$H,5,FALSE()),99),4,IF(H43&lt;=IFERROR(VLOOKUP(CONCATENATE("T",ROUND(AC43,0),"lin5m"),_viitearvot!$A:$H,6,FALSE()),99),3,IF(H43&lt;=IFERROR(VLOOKUP(CONCATENATE("T",ROUND(AC43,0),"lin5m"),_viitearvot!$A:$H,7,FALSE()),99),2,1)))))-S43))</f>
        <v/>
      </c>
    </row>
    <row r="44" customFormat="false" ht="15" hidden="false" customHeight="true" outlineLevel="0" collapsed="false">
      <c r="A44" s="10"/>
      <c r="B44" s="10"/>
      <c r="C44" s="10"/>
      <c r="D44" s="10"/>
      <c r="E44" s="10"/>
      <c r="F44" s="10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6" t="str">
        <f aca="true">IF(OR(H44="",D44=""),"",IF(H44&lt;=IFERROR(VLOOKUP(CONCATENATE(D44,YEAR(TODAY())-YEAR(C44),"lin5m"),_viitearvot!$I$2:$M$205,2,FALSE()),99),5,IF(H44&lt;=IFERROR(VLOOKUP(CONCATENATE(D44,YEAR(TODAY())-YEAR(C44),"lin5m"),_viitearvot!$I$2:$M$205,3,FALSE()),99),4,IF(H44&lt;=IFERROR(VLOOKUP(CONCATENATE(D44,YEAR(TODAY())-YEAR(C44),"lin5m"),_viitearvot!$I$2:$M$205,4,FALSE()),99),3,IF(H44&lt;=IFERROR(VLOOKUP(CONCATENATE(D44,YEAR(TODAY())-YEAR(C44),"lin5m"),_viitearvot!$I$2:$M$205,5,FALSE()),99),2,1)))))</f>
        <v/>
      </c>
      <c r="T44" s="16" t="str">
        <f aca="true">IF(OR(I44="",D44=""),"",IF(I44&lt;=IFERROR(VLOOKUP(CONCATENATE(D44,YEAR(TODAY())-YEAR(C44),"lin10m"),_viitearvot!$I$2:$M$205,2,FALSE()),99),5,IF(I44&lt;=IFERROR(VLOOKUP(CONCATENATE(D44,YEAR(TODAY())-YEAR(C44),"lin10m"),_viitearvot!$I$2:$M$205,3,FALSE()),99),4,IF(I44&lt;=IFERROR(VLOOKUP(CONCATENATE(D44,YEAR(TODAY())-YEAR(C44),"lin10m"),_viitearvot!$I$2:$M$205,4,FALSE()),99),3,IF(I44&lt;=IFERROR(VLOOKUP(CONCATENATE(D44,YEAR(TODAY())-YEAR(C44),"lin10m"),_viitearvot!$I$2:$M$205,5,FALSE()),99),2,1)))))</f>
        <v/>
      </c>
      <c r="U44" s="16" t="str">
        <f aca="true">IF(OR(J44="",D44=""),"",IF(J44&lt;=IFERROR(VLOOKUP(CONCATENATE(D44,YEAR(TODAY())-YEAR(C44),"lin20m"),_viitearvot!$I$2:$M$205,2,FALSE()),99),5,IF(J44&lt;=IFERROR(VLOOKUP(CONCATENATE(D44,YEAR(TODAY())-YEAR(C44),"lin20m"),_viitearvot!$I$2:$M$205,3,FALSE()),99),4,IF(J44&lt;=IFERROR(VLOOKUP(CONCATENATE(D44,YEAR(TODAY())-YEAR(C44),"lin20m"),_viitearvot!$I$2:$M$205,4,FALSE()),99),3,IF(J44&lt;=IFERROR(VLOOKUP(CONCATENATE(D44,YEAR(TODAY())-YEAR(C44),"lin20m"),_viitearvot!$I$2:$M$205,5,FALSE()),99),2,1)))))</f>
        <v/>
      </c>
      <c r="V44" s="16" t="str">
        <f aca="true">IF(OR(K44="",D44=""),"",IF(K44&lt;=IFERROR(VLOOKUP(CONCATENATE(D44,YEAR(TODAY())-YEAR(C44),"lin30m"),_viitearvot!$I$2:$M$205,2,FALSE()),99),5,IF(K44&lt;=IFERROR(VLOOKUP(CONCATENATE(D44,YEAR(TODAY())-YEAR(C44),"lin30m"),_viitearvot!$I$2:$M$205,3,FALSE()),99),4,IF(K44&lt;=IFERROR(VLOOKUP(CONCATENATE(D44,YEAR(TODAY())-YEAR(C44),"lin30m"),_viitearvot!$I$2:$M$205,4,FALSE()),99),3,IF(K44&lt;=IFERROR(VLOOKUP(CONCATENATE(D44,YEAR(TODAY())-YEAR(C44),"lin30m"),_viitearvot!$I$2:$M$205,5,FALSE()),99),2,1)))))</f>
        <v/>
      </c>
      <c r="W44" s="16" t="str">
        <f aca="true">IF(OR(L44="",D44=""),"",IF(L44&lt;=IFERROR(VLOOKUP(CONCATENATE(D44,YEAR(TODAY())-YEAR(C44),"kasirata"),_viitearvot!$I$2:$M$205,2,FALSE()),99),5,IF(L44&lt;=IFERROR(VLOOKUP(CONCATENATE(D44,YEAR(TODAY())-YEAR(C44),"kasirata"),_viitearvot!$I$2:$M$205,3,FALSE()),99),4,IF(L44&lt;=IFERROR(VLOOKUP(CONCATENATE(D44,YEAR(TODAY())-YEAR(C44),"kasirata"),_viitearvot!$I$2:$M$205,4,FALSE()),99),3,IF(L44&lt;=IFERROR(VLOOKUP(CONCATENATE(D44,YEAR(TODAY())-YEAR(C44),"kasirata"),_viitearvot!$I$2:$M$205,5,FALSE()),99),2,1)))))</f>
        <v/>
      </c>
      <c r="X44" s="16" t="str">
        <f aca="true">IF(OR(M44="",D44=""),"",IF(M44&lt;=IFERROR(VLOOKUP(CONCATENATE(D44,YEAR(TODAY())-YEAR(C44),"smjuoksu"),_viitearvot!$I$2:$M$205,2,FALSE()),99),5,IF(M44&lt;=IFERROR(VLOOKUP(CONCATENATE(D44,YEAR(TODAY())-YEAR(C44),"smjuoksu"),_viitearvot!$I$2:$M$205,3,FALSE()),99),4,IF(M44&lt;=IFERROR(VLOOKUP(CONCATENATE(D44,YEAR(TODAY())-YEAR(C44),"smjuoksu"),_viitearvot!$I$2:$M$205,4,FALSE()),99),3,IF(M44&lt;=IFERROR(VLOOKUP(CONCATENATE(D44,YEAR(TODAY())-YEAR(C44),"smjuoksu"),_viitearvot!$I$2:$M$205,5,FALSE()),99),2,1)))))</f>
        <v/>
      </c>
      <c r="Y44" s="16" t="str">
        <f aca="true">IF(OR(N44="",D44=""),"",IF(N44&lt;=IFERROR(VLOOKUP(CONCATENATE(D44,YEAR(TODAY())-YEAR(C44),"smpallo"),_viitearvot!$I$2:$M$205,2,FALSE()),99),5,IF(N44&lt;=IFERROR(VLOOKUP(CONCATENATE(D44,YEAR(TODAY())-YEAR(C44),"smpallo"),_viitearvot!$I$2:$M$205,3,FALSE()),99),4,IF(N44&lt;=IFERROR(VLOOKUP(CONCATENATE(D44,YEAR(TODAY())-YEAR(C44),"smpallo"),_viitearvot!$I$2:$M$205,4,FALSE()),99),3,IF(N44&lt;=IFERROR(VLOOKUP(CONCATENATE(D44,YEAR(TODAY())-YEAR(C44),"smpallo"),_viitearvot!$I$2:$M$205,5,FALSE()),99),2,1)))))</f>
        <v/>
      </c>
      <c r="Z44" s="16" t="str">
        <f aca="true">IF(OR(O44="",D44=""),"",IF(O44&gt;=IFERROR(VLOOKUP(CONCATENATE(D44,YEAR(TODAY())-YEAR(C44),"cmj"),_viitearvot!$I$2:$M$205,2,FALSE()),0),5,IF(O44&gt;=IFERROR(VLOOKUP(CONCATENATE(D44,YEAR(TODAY())-YEAR(C44),"cmj"),_viitearvot!$I$2:$M$205,3,FALSE()),0),4,IF(O44&gt;=IFERROR(VLOOKUP(CONCATENATE(D44,YEAR(TODAY())-YEAR(C44),"cmj"),_viitearvot!$I$2:$M$205,4,FALSE()),0),3,IF(O44&gt;=IFERROR(VLOOKUP(CONCATENATE(D44,YEAR(TODAY())-YEAR(C44),"cmj"),_viitearvot!$I$2:$M$205,5,FALSE()),0),2,1)))))</f>
        <v/>
      </c>
      <c r="AA44" s="16" t="str">
        <f aca="true">IF(OR(P44="",D44=""),"",IF(P44&gt;=IFERROR(VLOOKUP(CONCATENATE(D44,YEAR(TODAY())-YEAR(C44),"bronco"),_viitearvot!$I$2:$M$205,2,FALSE()),0),5,IF(P44&gt;=IFERROR(VLOOKUP(CONCATENATE(D44,YEAR(TODAY())-YEAR(C44),"bronco"),_viitearvot!$I$2:$M$205,3,FALSE()),0),4,IF(P44&gt;=IFERROR(VLOOKUP(CONCATENATE(D44,YEAR(TODAY())-YEAR(C44),"bronco"),_viitearvot!$I$2:$M$205,4,FALSE()),0),3,IF(P44&gt;=IFERROR(VLOOKUP(CONCATENATE(D44,YEAR(TODAY())-YEAR(C44),"bronco"),_viitearvot!$I$2:$M$205,5,FALSE()),0),2,1)))))</f>
        <v/>
      </c>
      <c r="AB44" s="11"/>
      <c r="AC44" s="17"/>
      <c r="AD44" s="18" t="str">
        <f aca="false">IF(OR(AC44="",H44=""),"",(IF(D44="P",IF(H44&lt;=IFERROR(VLOOKUP(CONCATENATE("P",ROUND(AC44,0),"lin5m"),_viitearvot!$A:$H,4,FALSE()),99),5,IF(H44&lt;=IFERROR(VLOOKUP(CONCATENATE("P",ROUND(AC44,0),"lin5m"),_viitearvot!$A:$H,5,FALSE()),99),4,IF(H44&lt;=IFERROR(VLOOKUP(CONCATENATE("P",ROUND(AC44,0),"lin5m"),_viitearvot!$A:$H,6,FALSE()),99),3,IF(H44&lt;=IFERROR(VLOOKUP(CONCATENATE("P",ROUND(AC44,0),"lin5m"),_viitearvot!$A:$H,7,FALSE()),99),2,1)))),IF(H44&lt;=IFERROR(VLOOKUP(CONCATENATE("T",ROUND(AC44,0),"lin5m"),_viitearvot!$A:$H,4,FALSE()),99),5,IF(H44&lt;=IFERROR(VLOOKUP(CONCATENATE("T",ROUND(AC44,0),"lin5m"),_viitearvot!$A:$H,5,FALSE()),99),4,IF(H44&lt;=IFERROR(VLOOKUP(CONCATENATE("T",ROUND(AC44,0),"lin5m"),_viitearvot!$A:$H,6,FALSE()),99),3,IF(H44&lt;=IFERROR(VLOOKUP(CONCATENATE("T",ROUND(AC44,0),"lin5m"),_viitearvot!$A:$H,7,FALSE()),99),2,1)))))-S44))</f>
        <v/>
      </c>
    </row>
  </sheetData>
  <mergeCells count="3">
    <mergeCell ref="A1:AD1"/>
    <mergeCell ref="A2:AD2"/>
    <mergeCell ref="A3:AB3"/>
  </mergeCells>
  <dataValidations count="1">
    <dataValidation allowBlank="true" error="Käytä P tai T" errorStyle="stop" errorTitle="Virhe" operator="between" showDropDown="false" showErrorMessage="true" showInputMessage="false" sqref="D5:D44" type="list">
      <formula1>"P,T"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90"/>
  </cols>
  <sheetData>
    <row r="1" customFormat="false" ht="27.75" hidden="false" customHeight="true" outlineLevel="0" collapsed="false">
      <c r="A1" s="19" t="s">
        <v>283</v>
      </c>
    </row>
    <row r="2" customFormat="false" ht="19.5" hidden="false" customHeight="true" outlineLevel="0" collapsed="false">
      <c r="A2" s="20" t="s">
        <v>284</v>
      </c>
    </row>
    <row r="3" customFormat="false" ht="63" hidden="false" customHeight="true" outlineLevel="0" collapsed="false">
      <c r="A3" s="21" t="s">
        <v>285</v>
      </c>
    </row>
    <row r="4" customFormat="false" ht="31.5" hidden="false" customHeight="true" outlineLevel="0" collapsed="false">
      <c r="A4" s="21" t="s">
        <v>286</v>
      </c>
    </row>
    <row r="5" customFormat="false" ht="31.5" hidden="false" customHeight="true" outlineLevel="0" collapsed="false">
      <c r="A5" s="21" t="s">
        <v>287</v>
      </c>
    </row>
    <row r="6" customFormat="false" ht="33" hidden="false" customHeight="true" outlineLevel="0" collapsed="false">
      <c r="A6" s="21" t="s">
        <v>288</v>
      </c>
    </row>
    <row r="7" customFormat="false" ht="43.5" hidden="false" customHeight="true" outlineLevel="0" collapsed="false">
      <c r="A7" s="21" t="s">
        <v>289</v>
      </c>
    </row>
    <row r="8" customFormat="false" ht="63.75" hidden="false" customHeight="true" outlineLevel="0" collapsed="false">
      <c r="A8" s="21" t="s">
        <v>290</v>
      </c>
    </row>
    <row r="9" customFormat="false" ht="43.5" hidden="false" customHeight="true" outlineLevel="0" collapsed="false">
      <c r="A9" s="21" t="s">
        <v>291</v>
      </c>
    </row>
    <row r="10" customFormat="false" ht="36" hidden="false" customHeight="true" outlineLevel="0" collapsed="false">
      <c r="A10" s="21" t="s">
        <v>292</v>
      </c>
    </row>
    <row r="11" customFormat="false" ht="19.5" hidden="false" customHeight="true" outlineLevel="0" collapsed="false"/>
    <row r="12" customFormat="false" ht="19.5" hidden="false" customHeight="true" outlineLevel="0" collapsed="false">
      <c r="A12" s="20" t="s">
        <v>293</v>
      </c>
    </row>
    <row r="13" customFormat="false" ht="19.5" hidden="false" customHeight="true" outlineLevel="0" collapsed="false">
      <c r="A13" s="21" t="s">
        <v>294</v>
      </c>
    </row>
    <row r="14" customFormat="false" ht="19.5" hidden="false" customHeight="true" outlineLevel="0" collapsed="false">
      <c r="A14" s="21" t="s">
        <v>295</v>
      </c>
    </row>
    <row r="15" customFormat="false" ht="19.5" hidden="false" customHeight="true" outlineLevel="0" collapsed="false">
      <c r="A15" s="21" t="s">
        <v>296</v>
      </c>
    </row>
    <row r="16" customFormat="false" ht="19.5" hidden="false" customHeight="true" outlineLevel="0" collapsed="false">
      <c r="A16" s="21" t="s">
        <v>297</v>
      </c>
    </row>
    <row r="17" customFormat="false" ht="19.5" hidden="false" customHeight="true" outlineLevel="0" collapsed="false">
      <c r="A17" s="21" t="s">
        <v>298</v>
      </c>
    </row>
    <row r="18" customFormat="false" ht="19.5" hidden="false" customHeight="true" outlineLevel="0" collapsed="false"/>
    <row r="19" customFormat="false" ht="19.5" hidden="false" customHeight="true" outlineLevel="0" collapsed="false">
      <c r="A19" s="20" t="s">
        <v>299</v>
      </c>
    </row>
    <row r="20" customFormat="false" ht="67.5" hidden="false" customHeight="true" outlineLevel="0" collapsed="false">
      <c r="A20" s="21" t="s"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2026-03-22T16:47:59Z</dcterms:created>
  <dc:creator>openpyxl</dc:creator>
  <dc:description/>
  <dc:language>en-US</dc:language>
  <cp:lastModifiedBy/>
  <dcterms:modified xsi:type="dcterms:W3CDTF">2026-03-22T18:47:58Z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