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hjeet" sheetId="1" state="visible" r:id="rId1"/>
    <sheet xmlns:r="http://schemas.openxmlformats.org/officeDocument/2006/relationships" name="📝 U12" sheetId="2" state="visible" r:id="rId2"/>
    <sheet xmlns:r="http://schemas.openxmlformats.org/officeDocument/2006/relationships" name="📝 U15" sheetId="3" state="visible" r:id="rId3"/>
    <sheet xmlns:r="http://schemas.openxmlformats.org/officeDocument/2006/relationships" name="📝 U19" sheetId="4" state="visible" r:id="rId4"/>
    <sheet xmlns:r="http://schemas.openxmlformats.org/officeDocument/2006/relationships" name="⚡ Auto-ohjelma" sheetId="5" state="visible" r:id="rId5"/>
  </sheets>
  <definedNames>
    <definedName name="_xlnm.Print_Area" localSheetId="3">'📝 U19'!$A$1:$AN$54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&quot;%&quot;"/>
    <numFmt numFmtId="165" formatCode="yyyy-mm-dd"/>
    <numFmt numFmtId="166" formatCode="DD.MM.YYYY"/>
    <numFmt numFmtId="167" formatCode="0.0"/>
  </numFmts>
  <fonts count="25">
    <font>
      <name val="Calibri"/>
      <family val="2"/>
      <color theme="1"/>
      <sz val="11"/>
      <scheme val="minor"/>
    </font>
    <font>
      <name val="Arial"/>
      <b val="1"/>
      <color rgb="FFF5B700"/>
      <sz val="16"/>
    </font>
    <font>
      <name val="Arial"/>
      <b val="1"/>
      <color rgb="FFFFFFFF"/>
      <sz val="11"/>
    </font>
    <font>
      <name val="Arial"/>
      <b val="1"/>
      <color rgb="FFF5B700"/>
      <sz val="12"/>
    </font>
    <font>
      <name val="Arial"/>
      <color rgb="FF2D2D4A"/>
      <sz val="10"/>
    </font>
    <font>
      <name val="Arial"/>
      <b val="1"/>
      <color rgb="FF8B0000"/>
      <sz val="11"/>
    </font>
    <font>
      <name val="Arial"/>
      <color rgb="FF8B0000"/>
      <sz val="10"/>
    </font>
    <font>
      <name val="Arial"/>
      <b val="1"/>
      <color rgb="FFF5B700"/>
      <sz val="11"/>
    </font>
    <font>
      <name val="Arial"/>
      <b val="1"/>
      <color rgb="FFFFFFFF"/>
      <sz val="13"/>
    </font>
    <font>
      <name val="Arial"/>
      <color rgb="FF555555"/>
      <sz val="9"/>
    </font>
    <font>
      <name val="Arial"/>
      <b val="1"/>
      <sz val="10"/>
    </font>
    <font>
      <name val="Arial"/>
      <b val="1"/>
      <color rgb="FFFFFFFF"/>
      <sz val="9"/>
    </font>
    <font>
      <name val="Arial"/>
      <b val="1"/>
      <color rgb="FFFFFFFF"/>
      <sz val="8"/>
    </font>
    <font>
      <name val="Arial"/>
      <sz val="9"/>
    </font>
    <font>
      <name val="Arial"/>
      <b val="1"/>
      <sz val="9"/>
    </font>
    <font>
      <name val="Arial"/>
      <b val="1"/>
      <color rgb="FF8B0000"/>
      <sz val="10"/>
    </font>
    <font>
      <name val="Arial"/>
      <b val="1"/>
      <color rgb="00FFFFFF"/>
      <sz val="11"/>
    </font>
    <font>
      <name val="Arial"/>
      <i val="1"/>
      <sz val="9"/>
    </font>
    <font>
      <name val="Arial"/>
      <b val="1"/>
      <color rgb="00C00000"/>
      <sz val="11"/>
    </font>
    <font>
      <name val="Arial"/>
      <i val="1"/>
      <color rgb="00C00000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color rgb="007C3009"/>
      <sz val="11"/>
    </font>
    <font>
      <name val="Arial"/>
      <i val="1"/>
      <color rgb="0092400E"/>
      <sz val="9"/>
    </font>
    <font>
      <name val="Arial"/>
      <b val="1"/>
      <sz val="11"/>
    </font>
  </fonts>
  <fills count="24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2D2D4A"/>
      </patternFill>
    </fill>
    <fill>
      <patternFill patternType="solid">
        <fgColor rgb="FFFFFFFF"/>
      </patternFill>
    </fill>
    <fill>
      <patternFill patternType="solid">
        <fgColor rgb="FFFFE0E0"/>
      </patternFill>
    </fill>
    <fill>
      <patternFill patternType="solid">
        <fgColor rgb="FFF0F0F0"/>
      </patternFill>
    </fill>
    <fill>
      <patternFill patternType="solid">
        <fgColor rgb="FFFFFF99"/>
      </patternFill>
    </fill>
    <fill>
      <patternFill patternType="solid">
        <fgColor rgb="FF1A1A5E"/>
      </patternFill>
    </fill>
    <fill>
      <patternFill patternType="solid">
        <fgColor rgb="FFE6FFE6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6E4F7"/>
      </patternFill>
    </fill>
    <fill>
      <patternFill patternType="solid">
        <fgColor rgb="001F5DA8"/>
      </patternFill>
    </fill>
    <fill>
      <patternFill patternType="solid">
        <fgColor rgb="00B45309"/>
      </patternFill>
    </fill>
    <fill>
      <patternFill patternType="solid">
        <fgColor rgb="007C3009"/>
      </patternFill>
    </fill>
    <fill>
      <patternFill patternType="solid">
        <fgColor rgb="0092400E"/>
      </patternFill>
    </fill>
    <fill>
      <patternFill patternType="solid">
        <fgColor rgb="002D5BA8"/>
      </patternFill>
    </fill>
    <fill>
      <patternFill patternType="solid">
        <fgColor rgb="000D4F8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EF3E2"/>
      </patternFill>
    </fill>
    <fill>
      <patternFill patternType="solid">
        <fgColor rgb="00FDE8D8"/>
      </patternFill>
    </fill>
    <fill>
      <patternFill patternType="solid">
        <fgColor rgb="00F5F5F5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0" borderId="0" pivotButton="0" quotePrefix="0" xfId="0"/>
    <xf numFmtId="0" fontId="0" fillId="7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7" borderId="1" pivotButton="0" quotePrefix="0" xfId="0"/>
    <xf numFmtId="0" fontId="15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indent="1"/>
    </xf>
    <xf numFmtId="0" fontId="14" fillId="12" borderId="0" pivotButton="0" quotePrefix="0" xfId="0"/>
    <xf numFmtId="166" fontId="18" fillId="11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14" borderId="0" applyAlignment="1" pivotButton="0" quotePrefix="0" xfId="0">
      <alignment horizontal="center" vertical="center"/>
    </xf>
    <xf numFmtId="0" fontId="20" fillId="13" borderId="0" applyAlignment="1" pivotButton="0" quotePrefix="0" xfId="0">
      <alignment horizontal="center" vertical="center"/>
    </xf>
    <xf numFmtId="0" fontId="20" fillId="13" borderId="2" applyAlignment="1" pivotButton="0" quotePrefix="0" xfId="0">
      <alignment horizontal="center" vertical="center" wrapText="1"/>
    </xf>
    <xf numFmtId="0" fontId="20" fillId="15" borderId="2" applyAlignment="1" pivotButton="0" quotePrefix="0" xfId="0">
      <alignment horizontal="center" vertical="center" wrapText="1"/>
    </xf>
    <xf numFmtId="0" fontId="20" fillId="16" borderId="2" applyAlignment="1" pivotButton="0" quotePrefix="0" xfId="0">
      <alignment horizontal="center" vertical="center" wrapText="1"/>
    </xf>
    <xf numFmtId="0" fontId="20" fillId="17" borderId="2" applyAlignment="1" pivotButton="0" quotePrefix="0" xfId="0">
      <alignment horizontal="center" vertical="center" wrapText="1"/>
    </xf>
    <xf numFmtId="0" fontId="20" fillId="18" borderId="2" applyAlignment="1" pivotButton="0" quotePrefix="0" xfId="0">
      <alignment horizontal="center" vertical="center" wrapText="1"/>
    </xf>
    <xf numFmtId="0" fontId="21" fillId="19" borderId="3" applyAlignment="1" pivotButton="0" quotePrefix="0" xfId="0">
      <alignment horizontal="center" vertical="center"/>
    </xf>
    <xf numFmtId="0" fontId="10" fillId="19" borderId="3" applyAlignment="1" pivotButton="0" quotePrefix="0" xfId="0">
      <alignment horizontal="left" vertical="center" indent="1"/>
    </xf>
    <xf numFmtId="166" fontId="21" fillId="19" borderId="3" applyAlignment="1" pivotButton="0" quotePrefix="0" xfId="0">
      <alignment horizontal="center" vertical="center"/>
    </xf>
    <xf numFmtId="0" fontId="21" fillId="20" borderId="3" applyAlignment="1" pivotButton="0" quotePrefix="0" xfId="0">
      <alignment horizontal="center" vertical="center"/>
    </xf>
    <xf numFmtId="167" fontId="22" fillId="21" borderId="3" applyAlignment="1" pivotButton="0" quotePrefix="0" xfId="0">
      <alignment horizontal="center" vertical="center"/>
    </xf>
    <xf numFmtId="167" fontId="23" fillId="22" borderId="3" applyAlignment="1" pivotButton="0" quotePrefix="0" xfId="0">
      <alignment horizontal="center" vertical="center"/>
    </xf>
    <xf numFmtId="0" fontId="22" fillId="21" borderId="3" applyAlignment="1" pivotButton="0" quotePrefix="0" xfId="0">
      <alignment horizontal="center" vertical="center"/>
    </xf>
    <xf numFmtId="0" fontId="24" fillId="2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21" fillId="19" borderId="3" pivotButton="0" quotePrefix="0" xfId="0"/>
    <xf numFmtId="0" fontId="21" fillId="23" borderId="3" applyAlignment="1" pivotButton="0" quotePrefix="0" xfId="0">
      <alignment horizontal="center" vertical="center"/>
    </xf>
    <xf numFmtId="0" fontId="10" fillId="23" borderId="3" applyAlignment="1" pivotButton="0" quotePrefix="0" xfId="0">
      <alignment horizontal="left" vertical="center" indent="1"/>
    </xf>
    <xf numFmtId="166" fontId="21" fillId="23" borderId="3" applyAlignment="1" pivotButton="0" quotePrefix="0" xfId="0">
      <alignment horizontal="center" vertical="center"/>
    </xf>
    <xf numFmtId="0" fontId="21" fillId="23" borderId="3" pivotButton="0" quotePrefix="0" xfId="0"/>
  </cellXfs>
  <cellStyles count="1">
    <cellStyle name="Normal" xfId="0" builtinId="0" hidden="0"/>
  </cellStyles>
  <dxfs count="3">
    <dxf>
      <font>
        <b val="1"/>
        <color rgb="00C00000"/>
      </font>
      <fill>
        <patternFill patternType="solid">
          <fgColor rgb="00FFE0E0"/>
        </patternFill>
      </fill>
    </dxf>
    <dxf>
      <font>
        <b val="1"/>
        <color rgb="007F4F00"/>
      </font>
      <fill>
        <patternFill patternType="solid">
          <fgColor rgb="00FFF2CC"/>
        </patternFill>
      </fill>
    </dxf>
    <dxf>
      <font>
        <b val="1"/>
        <color rgb="001B5E20"/>
      </font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B1:C23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40" customWidth="1" min="3" max="3"/>
  </cols>
  <sheetData>
    <row r="1" ht="32" customHeight="1">
      <c r="B1" s="1" t="inlineStr">
        <is>
          <t>TalentMaster™ — Harjoitettavuuskartoitus</t>
        </is>
      </c>
    </row>
    <row r="2">
      <c r="B2" s="2" t="inlineStr">
        <is>
          <t>Eerikkilä-protokolla 2026 · U12 / U15 / U19</t>
        </is>
      </c>
    </row>
    <row r="4" ht="20" customHeight="1">
      <c r="B4" s="3" t="inlineStr">
        <is>
          <t>🎯 KÄYTTÖOHJE</t>
        </is>
      </c>
    </row>
    <row r="5" ht="20" customHeight="1">
      <c r="B5" s="4" t="inlineStr">
        <is>
          <t>1. Mene oikealle ikäluokkavälilehdelle: U12, U15 tai U19</t>
        </is>
      </c>
    </row>
    <row r="6" ht="20" customHeight="1">
      <c r="B6" s="4" t="inlineStr">
        <is>
          <t>2. Täytä pelaajatiedot riveille 5 alkaen (keltaiset solut)</t>
        </is>
      </c>
    </row>
    <row r="7" ht="20" customHeight="1">
      <c r="B7" s="4" t="inlineStr">
        <is>
          <t>3. Kirjaa testitulos (tulos-sarake) ja pisteet 1–3</t>
        </is>
      </c>
    </row>
    <row r="8" ht="20" customHeight="1">
      <c r="B8" s="4" t="inlineStr">
        <is>
          <t>4. FLEI-% ja taso laskevat automaattisesti</t>
        </is>
      </c>
    </row>
    <row r="9" ht="20" customHeight="1">
      <c r="B9" s="4" t="inlineStr">
        <is>
          <t>5. Tallenna tiedosto ja lataa VP-dashboardiin</t>
        </is>
      </c>
    </row>
    <row r="11" ht="20" customHeight="1">
      <c r="B11" s="5" t="inlineStr">
        <is>
          <t>⚠️ PHV-HUOMIO (U15)</t>
        </is>
      </c>
    </row>
    <row r="12" ht="20" customHeight="1">
      <c r="B12" s="6" t="inlineStr">
        <is>
          <t>Tarkista PHV-tila ENNEN testausta! PHV-HUIPPU → MAX 60% kuorma.</t>
        </is>
      </c>
    </row>
    <row r="13" ht="20" customHeight="1">
      <c r="B13" s="6" t="inlineStr">
        <is>
          <t>Lantionnosto &lt;29 toistoa + kantakipu → VÄLITÖN terapia-referral.</t>
        </is>
      </c>
    </row>
    <row r="15" ht="20" customHeight="1">
      <c r="B15" s="7" t="inlineStr">
        <is>
          <t>📊 PISTEYTYS</t>
        </is>
      </c>
    </row>
    <row r="16" ht="20" customHeight="1">
      <c r="B16" s="4" t="inlineStr">
        <is>
          <t>🔴 1p = rajoitteita / kehitettävää kriittisesti</t>
        </is>
      </c>
    </row>
    <row r="17" ht="20" customHeight="1">
      <c r="B17" s="4" t="inlineStr">
        <is>
          <t>🟡 2p = kehitettävää</t>
        </is>
      </c>
    </row>
    <row r="18" ht="20" customHeight="1">
      <c r="B18" s="4" t="inlineStr">
        <is>
          <t>🟢 3p = hallitsee hyvin</t>
        </is>
      </c>
    </row>
    <row r="20" ht="20" customHeight="1">
      <c r="B20" s="7" t="inlineStr">
        <is>
          <t>🔗 FLEI-ASTEIKKO</t>
        </is>
      </c>
    </row>
    <row r="21" ht="20" customHeight="1">
      <c r="B21" s="4" t="inlineStr">
        <is>
          <t>🔴 Prioriteetti: alle 60%  →  klinikka-triggerit aktiiviseksi</t>
        </is>
      </c>
    </row>
    <row r="22" ht="20" customHeight="1">
      <c r="B22" s="4" t="inlineStr">
        <is>
          <t>🟡 Kehitys: 60–79%  →  fokus harjoittelussa + seuranta</t>
        </is>
      </c>
    </row>
    <row r="23" ht="20" customHeight="1">
      <c r="B23" s="4" t="inlineStr">
        <is>
          <t>🟢 Hyvä: 80–100%  →  ylläpito + lajitason haasteet</t>
        </is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9B"/>
    <outlinePr summaryBelow="1" summaryRight="1"/>
    <pageSetUpPr/>
  </sheetPr>
  <dimension ref="A1:AF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5" customWidth="1" min="4" max="4"/>
    <col width="12" customWidth="1" min="5" max="5"/>
    <col width="10" customWidth="1" min="6" max="6"/>
    <col width="14" customWidth="1" min="7" max="7"/>
    <col width="14" customWidth="1" min="8" max="8"/>
    <col width="11" customWidth="1" min="9" max="9"/>
    <col width="6" customWidth="1" min="10" max="10"/>
    <col width="11" customWidth="1" min="11" max="11"/>
    <col width="6" customWidth="1" min="12" max="12"/>
    <col width="11" customWidth="1" min="13" max="13"/>
    <col width="6" customWidth="1" min="14" max="14"/>
    <col width="11" customWidth="1" min="15" max="15"/>
    <col width="6" customWidth="1" min="16" max="16"/>
    <col width="11" customWidth="1" min="17" max="17"/>
    <col width="6" customWidth="1" min="18" max="18"/>
    <col width="11" customWidth="1" min="19" max="19"/>
    <col width="6" customWidth="1" min="20" max="20"/>
    <col width="11" customWidth="1" min="21" max="21"/>
    <col width="6" customWidth="1" min="22" max="22"/>
    <col width="11" customWidth="1" min="23" max="23"/>
    <col width="6" customWidth="1" min="24" max="24"/>
    <col width="11" customWidth="1" min="25" max="25"/>
    <col width="6" customWidth="1" min="26" max="26"/>
    <col width="9" customWidth="1" min="27" max="27"/>
    <col width="9" customWidth="1" min="28" max="28"/>
    <col width="9" customWidth="1" min="29" max="29"/>
    <col width="9" customWidth="1" min="30" max="30"/>
    <col width="22" customWidth="1" min="31" max="31"/>
    <col width="22" customWidth="1" min="32" max="32"/>
  </cols>
  <sheetData>
    <row r="1" ht="28" customHeight="1">
      <c r="A1" s="8" t="inlineStr">
        <is>
          <t>HARJOITETTAVUUSKARTOITUS U12 — 10–12-vuotiaat | Liiketaito + Perusvoima + SSC</t>
        </is>
      </c>
    </row>
    <row r="2" ht="20" customHeight="1">
      <c r="A2" s="9" t="inlineStr">
        <is>
          <t>Pisteet: 🔴 1p = rajoitteita/kehitettävää kriittisesti  |  🟡 2p = kehitettävää  |  🟢 3p = hallitsee hyvin  |  Pisteet 1–3 per testi</t>
        </is>
      </c>
    </row>
    <row r="3" ht="18" customHeight="1">
      <c r="A3" s="10" t="inlineStr">
        <is>
          <t>Seura:</t>
        </is>
      </c>
      <c r="B3" s="11" t="n"/>
      <c r="D3" s="10" t="inlineStr">
        <is>
          <t>Kausi:</t>
        </is>
      </c>
      <c r="E3" s="11" t="n"/>
      <c r="G3" s="10" t="inlineStr">
        <is>
          <t>Joukkue:</t>
        </is>
      </c>
      <c r="H3" s="11" t="n"/>
    </row>
    <row r="4" ht="32" customHeight="1">
      <c r="A4" s="12" t="inlineStr">
        <is>
          <t>PelaajaID</t>
        </is>
      </c>
      <c r="B4" s="12" t="inlineStr">
        <is>
          <t>Nimi</t>
        </is>
      </c>
      <c r="C4" s="12" t="inlineStr">
        <is>
          <t>Sukup
(P/T)</t>
        </is>
      </c>
      <c r="D4" s="12" t="inlineStr">
        <is>
          <t>Ikä
(v)</t>
        </is>
      </c>
      <c r="E4" s="12" t="inlineStr">
        <is>
          <t>Testaus
pvm</t>
        </is>
      </c>
      <c r="F4" s="12" t="inlineStr">
        <is>
          <t>PHV-
tila</t>
        </is>
      </c>
      <c r="G4" s="12" t="inlineStr">
        <is>
          <t>Joukkue</t>
        </is>
      </c>
      <c r="H4" s="12" t="inlineStr">
        <is>
          <t>Arvioija</t>
        </is>
      </c>
      <c r="I4" s="13" t="inlineStr">
        <is>
          <t>Valakyykky
(tulos)</t>
        </is>
      </c>
      <c r="J4" s="13" t="inlineStr">
        <is>
          <t>Pist.
1–3</t>
        </is>
      </c>
      <c r="K4" s="13" t="inlineStr">
        <is>
          <t>Luistelijan kyykky
(tulos)</t>
        </is>
      </c>
      <c r="L4" s="13" t="inlineStr">
        <is>
          <t>Pist.
1–3</t>
        </is>
      </c>
      <c r="M4" s="13" t="inlineStr">
        <is>
          <t>Askelkyykky
(tulos)</t>
        </is>
      </c>
      <c r="N4" s="13" t="inlineStr">
        <is>
          <t>Pist.
1–3</t>
        </is>
      </c>
      <c r="O4" s="13" t="inlineStr">
        <is>
          <t>Hyvää huomenta
(tulos)</t>
        </is>
      </c>
      <c r="P4" s="13" t="inlineStr">
        <is>
          <t>Pist.
1–3</t>
        </is>
      </c>
      <c r="Q4" s="13" t="inlineStr">
        <is>
          <t>Etunojapunnerrus
(tulos)</t>
        </is>
      </c>
      <c r="R4" s="13" t="inlineStr">
        <is>
          <t>Pist.
1–3</t>
        </is>
      </c>
      <c r="S4" s="13" t="inlineStr">
        <is>
          <t>Lankku 60s
(tulos)</t>
        </is>
      </c>
      <c r="T4" s="13" t="inlineStr">
        <is>
          <t>Pist.
1–3</t>
        </is>
      </c>
      <c r="U4" s="13" t="inlineStr">
        <is>
          <t>Naruhypyt 15s
(tulos)</t>
        </is>
      </c>
      <c r="V4" s="13" t="inlineStr">
        <is>
          <t>Pist.
1–3</t>
        </is>
      </c>
      <c r="W4" s="13" t="inlineStr">
        <is>
          <t>Pituushyppy
(tulos)</t>
        </is>
      </c>
      <c r="X4" s="13" t="inlineStr">
        <is>
          <t>Pist.
1–3</t>
        </is>
      </c>
      <c r="Y4" s="13" t="inlineStr">
        <is>
          <t>5-loikka
(tulos)</t>
        </is>
      </c>
      <c r="Z4" s="13" t="inlineStr">
        <is>
          <t>Pist.
1–3</t>
        </is>
      </c>
      <c r="AA4" s="14" t="inlineStr">
        <is>
          <t>Kokon.
pisteet</t>
        </is>
      </c>
      <c r="AB4" s="14" t="inlineStr">
        <is>
          <t>FLEI
(%)</t>
        </is>
      </c>
      <c r="AC4" s="14" t="inlineStr">
        <is>
          <t>FLEI-
taso</t>
        </is>
      </c>
      <c r="AD4" s="14" t="inlineStr">
        <is>
          <t>Kuorma-
rajoitin</t>
        </is>
      </c>
      <c r="AE4" s="14" t="inlineStr">
        <is>
          <t>Huomiot</t>
        </is>
      </c>
      <c r="AF4" s="14" t="inlineStr">
        <is>
          <t>ASI-
huomio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6" t="n"/>
      <c r="K5" s="15" t="n"/>
      <c r="L5" s="16" t="n"/>
      <c r="M5" s="15" t="n"/>
      <c r="N5" s="16" t="n"/>
      <c r="O5" s="15" t="n"/>
      <c r="P5" s="16" t="n"/>
      <c r="Q5" s="15" t="n"/>
      <c r="R5" s="16" t="n"/>
      <c r="S5" s="15" t="n"/>
      <c r="T5" s="16" t="n"/>
      <c r="U5" s="15" t="n"/>
      <c r="V5" s="16" t="n"/>
      <c r="W5" s="15" t="n"/>
      <c r="X5" s="16" t="n"/>
      <c r="Y5" s="15" t="n"/>
      <c r="Z5" s="16" t="n"/>
      <c r="AA5" s="17">
        <f>IFERROR(J5+L5+N5+P5+R5+T5+V5+X5+Z5,"")</f>
        <v/>
      </c>
      <c r="AB5" s="18">
        <f>IFERROR(ROUND(AA5/27*100,0),"")</f>
        <v/>
      </c>
      <c r="AC5" s="19">
        <f>IFERROR(IF(AB5&gt;=80,"🟢 Hyvä",IF(AB5&gt;=60,"🟡 Kehitys","🔴 Prioriteetti")),"")</f>
        <v/>
      </c>
      <c r="AD5" s="19">
        <f>IFERROR(IF(OR(F5="PHV-huippu",AB5&lt;60),"⚠️ MAX 60%","OK"),"")</f>
        <v/>
      </c>
      <c r="AE5" s="20" t="n"/>
      <c r="AF5" s="20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6" t="n"/>
      <c r="K6" s="15" t="n"/>
      <c r="L6" s="16" t="n"/>
      <c r="M6" s="15" t="n"/>
      <c r="N6" s="16" t="n"/>
      <c r="O6" s="15" t="n"/>
      <c r="P6" s="16" t="n"/>
      <c r="Q6" s="15" t="n"/>
      <c r="R6" s="16" t="n"/>
      <c r="S6" s="15" t="n"/>
      <c r="T6" s="16" t="n"/>
      <c r="U6" s="15" t="n"/>
      <c r="V6" s="16" t="n"/>
      <c r="W6" s="15" t="n"/>
      <c r="X6" s="16" t="n"/>
      <c r="Y6" s="15" t="n"/>
      <c r="Z6" s="16" t="n"/>
      <c r="AA6" s="17">
        <f>IFERROR(J6+L6+N6+P6+R6+T6+V6+X6+Z6,"")</f>
        <v/>
      </c>
      <c r="AB6" s="18">
        <f>IFERROR(ROUND(AA6/27*100,0),"")</f>
        <v/>
      </c>
      <c r="AC6" s="19">
        <f>IFERROR(IF(AB6&gt;=80,"🟢 Hyvä",IF(AB6&gt;=60,"🟡 Kehitys","🔴 Prioriteetti")),"")</f>
        <v/>
      </c>
      <c r="AD6" s="19">
        <f>IFERROR(IF(OR(F6="PHV-huippu",AB6&lt;60),"⚠️ MAX 60%","OK"),"")</f>
        <v/>
      </c>
      <c r="AE6" s="20" t="n"/>
      <c r="AF6" s="20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6" t="n"/>
      <c r="K7" s="15" t="n"/>
      <c r="L7" s="16" t="n"/>
      <c r="M7" s="15" t="n"/>
      <c r="N7" s="16" t="n"/>
      <c r="O7" s="15" t="n"/>
      <c r="P7" s="16" t="n"/>
      <c r="Q7" s="15" t="n"/>
      <c r="R7" s="16" t="n"/>
      <c r="S7" s="15" t="n"/>
      <c r="T7" s="16" t="n"/>
      <c r="U7" s="15" t="n"/>
      <c r="V7" s="16" t="n"/>
      <c r="W7" s="15" t="n"/>
      <c r="X7" s="16" t="n"/>
      <c r="Y7" s="15" t="n"/>
      <c r="Z7" s="16" t="n"/>
      <c r="AA7" s="17">
        <f>IFERROR(J7+L7+N7+P7+R7+T7+V7+X7+Z7,"")</f>
        <v/>
      </c>
      <c r="AB7" s="18">
        <f>IFERROR(ROUND(AA7/27*100,0),"")</f>
        <v/>
      </c>
      <c r="AC7" s="19">
        <f>IFERROR(IF(AB7&gt;=80,"🟢 Hyvä",IF(AB7&gt;=60,"🟡 Kehitys","🔴 Prioriteetti")),"")</f>
        <v/>
      </c>
      <c r="AD7" s="19">
        <f>IFERROR(IF(OR(F7="PHV-huippu",AB7&lt;60),"⚠️ MAX 60%","OK"),"")</f>
        <v/>
      </c>
      <c r="AE7" s="20" t="n"/>
      <c r="AF7" s="20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6" t="n"/>
      <c r="K8" s="15" t="n"/>
      <c r="L8" s="16" t="n"/>
      <c r="M8" s="15" t="n"/>
      <c r="N8" s="16" t="n"/>
      <c r="O8" s="15" t="n"/>
      <c r="P8" s="16" t="n"/>
      <c r="Q8" s="15" t="n"/>
      <c r="R8" s="16" t="n"/>
      <c r="S8" s="15" t="n"/>
      <c r="T8" s="16" t="n"/>
      <c r="U8" s="15" t="n"/>
      <c r="V8" s="16" t="n"/>
      <c r="W8" s="15" t="n"/>
      <c r="X8" s="16" t="n"/>
      <c r="Y8" s="15" t="n"/>
      <c r="Z8" s="16" t="n"/>
      <c r="AA8" s="17">
        <f>IFERROR(J8+L8+N8+P8+R8+T8+V8+X8+Z8,"")</f>
        <v/>
      </c>
      <c r="AB8" s="18">
        <f>IFERROR(ROUND(AA8/27*100,0),"")</f>
        <v/>
      </c>
      <c r="AC8" s="19">
        <f>IFERROR(IF(AB8&gt;=80,"🟢 Hyvä",IF(AB8&gt;=60,"🟡 Kehitys","🔴 Prioriteetti")),"")</f>
        <v/>
      </c>
      <c r="AD8" s="19">
        <f>IFERROR(IF(OR(F8="PHV-huippu",AB8&lt;60),"⚠️ MAX 60%","OK"),"")</f>
        <v/>
      </c>
      <c r="AE8" s="20" t="n"/>
      <c r="AF8" s="20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6" t="n"/>
      <c r="K9" s="15" t="n"/>
      <c r="L9" s="16" t="n"/>
      <c r="M9" s="15" t="n"/>
      <c r="N9" s="16" t="n"/>
      <c r="O9" s="15" t="n"/>
      <c r="P9" s="16" t="n"/>
      <c r="Q9" s="15" t="n"/>
      <c r="R9" s="16" t="n"/>
      <c r="S9" s="15" t="n"/>
      <c r="T9" s="16" t="n"/>
      <c r="U9" s="15" t="n"/>
      <c r="V9" s="16" t="n"/>
      <c r="W9" s="15" t="n"/>
      <c r="X9" s="16" t="n"/>
      <c r="Y9" s="15" t="n"/>
      <c r="Z9" s="16" t="n"/>
      <c r="AA9" s="17">
        <f>IFERROR(J9+L9+N9+P9+R9+T9+V9+X9+Z9,"")</f>
        <v/>
      </c>
      <c r="AB9" s="18">
        <f>IFERROR(ROUND(AA9/27*100,0),"")</f>
        <v/>
      </c>
      <c r="AC9" s="19">
        <f>IFERROR(IF(AB9&gt;=80,"🟢 Hyvä",IF(AB9&gt;=60,"🟡 Kehitys","🔴 Prioriteetti")),"")</f>
        <v/>
      </c>
      <c r="AD9" s="19">
        <f>IFERROR(IF(OR(F9="PHV-huippu",AB9&lt;60),"⚠️ MAX 60%","OK"),"")</f>
        <v/>
      </c>
      <c r="AE9" s="20" t="n"/>
      <c r="AF9" s="20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6" t="n"/>
      <c r="K10" s="15" t="n"/>
      <c r="L10" s="16" t="n"/>
      <c r="M10" s="15" t="n"/>
      <c r="N10" s="16" t="n"/>
      <c r="O10" s="15" t="n"/>
      <c r="P10" s="16" t="n"/>
      <c r="Q10" s="15" t="n"/>
      <c r="R10" s="16" t="n"/>
      <c r="S10" s="15" t="n"/>
      <c r="T10" s="16" t="n"/>
      <c r="U10" s="15" t="n"/>
      <c r="V10" s="16" t="n"/>
      <c r="W10" s="15" t="n"/>
      <c r="X10" s="16" t="n"/>
      <c r="Y10" s="15" t="n"/>
      <c r="Z10" s="16" t="n"/>
      <c r="AA10" s="17">
        <f>IFERROR(J10+L10+N10+P10+R10+T10+V10+X10+Z10,"")</f>
        <v/>
      </c>
      <c r="AB10" s="18">
        <f>IFERROR(ROUND(AA10/27*100,0),"")</f>
        <v/>
      </c>
      <c r="AC10" s="19">
        <f>IFERROR(IF(AB10&gt;=80,"🟢 Hyvä",IF(AB10&gt;=60,"🟡 Kehitys","🔴 Prioriteetti")),"")</f>
        <v/>
      </c>
      <c r="AD10" s="19">
        <f>IFERROR(IF(OR(F10="PHV-huippu",AB10&lt;60),"⚠️ MAX 60%","OK"),"")</f>
        <v/>
      </c>
      <c r="AE10" s="20" t="n"/>
      <c r="AF10" s="20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6" t="n"/>
      <c r="K11" s="15" t="n"/>
      <c r="L11" s="16" t="n"/>
      <c r="M11" s="15" t="n"/>
      <c r="N11" s="16" t="n"/>
      <c r="O11" s="15" t="n"/>
      <c r="P11" s="16" t="n"/>
      <c r="Q11" s="15" t="n"/>
      <c r="R11" s="16" t="n"/>
      <c r="S11" s="15" t="n"/>
      <c r="T11" s="16" t="n"/>
      <c r="U11" s="15" t="n"/>
      <c r="V11" s="16" t="n"/>
      <c r="W11" s="15" t="n"/>
      <c r="X11" s="16" t="n"/>
      <c r="Y11" s="15" t="n"/>
      <c r="Z11" s="16" t="n"/>
      <c r="AA11" s="17">
        <f>IFERROR(J11+L11+N11+P11+R11+T11+V11+X11+Z11,"")</f>
        <v/>
      </c>
      <c r="AB11" s="18">
        <f>IFERROR(ROUND(AA11/27*100,0),"")</f>
        <v/>
      </c>
      <c r="AC11" s="19">
        <f>IFERROR(IF(AB11&gt;=80,"🟢 Hyvä",IF(AB11&gt;=60,"🟡 Kehitys","🔴 Prioriteetti")),"")</f>
        <v/>
      </c>
      <c r="AD11" s="19">
        <f>IFERROR(IF(OR(F11="PHV-huippu",AB11&lt;60),"⚠️ MAX 60%","OK"),"")</f>
        <v/>
      </c>
      <c r="AE11" s="20" t="n"/>
      <c r="AF11" s="20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6" t="n"/>
      <c r="K12" s="15" t="n"/>
      <c r="L12" s="16" t="n"/>
      <c r="M12" s="15" t="n"/>
      <c r="N12" s="16" t="n"/>
      <c r="O12" s="15" t="n"/>
      <c r="P12" s="16" t="n"/>
      <c r="Q12" s="15" t="n"/>
      <c r="R12" s="16" t="n"/>
      <c r="S12" s="15" t="n"/>
      <c r="T12" s="16" t="n"/>
      <c r="U12" s="15" t="n"/>
      <c r="V12" s="16" t="n"/>
      <c r="W12" s="15" t="n"/>
      <c r="X12" s="16" t="n"/>
      <c r="Y12" s="15" t="n"/>
      <c r="Z12" s="16" t="n"/>
      <c r="AA12" s="17">
        <f>IFERROR(J12+L12+N12+P12+R12+T12+V12+X12+Z12,"")</f>
        <v/>
      </c>
      <c r="AB12" s="18">
        <f>IFERROR(ROUND(AA12/27*100,0),"")</f>
        <v/>
      </c>
      <c r="AC12" s="19">
        <f>IFERROR(IF(AB12&gt;=80,"🟢 Hyvä",IF(AB12&gt;=60,"🟡 Kehitys","🔴 Prioriteetti")),"")</f>
        <v/>
      </c>
      <c r="AD12" s="19">
        <f>IFERROR(IF(OR(F12="PHV-huippu",AB12&lt;60),"⚠️ MAX 60%","OK"),"")</f>
        <v/>
      </c>
      <c r="AE12" s="20" t="n"/>
      <c r="AF12" s="20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6" t="n"/>
      <c r="K13" s="15" t="n"/>
      <c r="L13" s="16" t="n"/>
      <c r="M13" s="15" t="n"/>
      <c r="N13" s="16" t="n"/>
      <c r="O13" s="15" t="n"/>
      <c r="P13" s="16" t="n"/>
      <c r="Q13" s="15" t="n"/>
      <c r="R13" s="16" t="n"/>
      <c r="S13" s="15" t="n"/>
      <c r="T13" s="16" t="n"/>
      <c r="U13" s="15" t="n"/>
      <c r="V13" s="16" t="n"/>
      <c r="W13" s="15" t="n"/>
      <c r="X13" s="16" t="n"/>
      <c r="Y13" s="15" t="n"/>
      <c r="Z13" s="16" t="n"/>
      <c r="AA13" s="17">
        <f>IFERROR(J13+L13+N13+P13+R13+T13+V13+X13+Z13,"")</f>
        <v/>
      </c>
      <c r="AB13" s="18">
        <f>IFERROR(ROUND(AA13/27*100,0),"")</f>
        <v/>
      </c>
      <c r="AC13" s="19">
        <f>IFERROR(IF(AB13&gt;=80,"🟢 Hyvä",IF(AB13&gt;=60,"🟡 Kehitys","🔴 Prioriteetti")),"")</f>
        <v/>
      </c>
      <c r="AD13" s="19">
        <f>IFERROR(IF(OR(F13="PHV-huippu",AB13&lt;60),"⚠️ MAX 60%","OK"),"")</f>
        <v/>
      </c>
      <c r="AE13" s="20" t="n"/>
      <c r="AF13" s="20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6" t="n"/>
      <c r="K14" s="15" t="n"/>
      <c r="L14" s="16" t="n"/>
      <c r="M14" s="15" t="n"/>
      <c r="N14" s="16" t="n"/>
      <c r="O14" s="15" t="n"/>
      <c r="P14" s="16" t="n"/>
      <c r="Q14" s="15" t="n"/>
      <c r="R14" s="16" t="n"/>
      <c r="S14" s="15" t="n"/>
      <c r="T14" s="16" t="n"/>
      <c r="U14" s="15" t="n"/>
      <c r="V14" s="16" t="n"/>
      <c r="W14" s="15" t="n"/>
      <c r="X14" s="16" t="n"/>
      <c r="Y14" s="15" t="n"/>
      <c r="Z14" s="16" t="n"/>
      <c r="AA14" s="17">
        <f>IFERROR(J14+L14+N14+P14+R14+T14+V14+X14+Z14,"")</f>
        <v/>
      </c>
      <c r="AB14" s="18">
        <f>IFERROR(ROUND(AA14/27*100,0),"")</f>
        <v/>
      </c>
      <c r="AC14" s="19">
        <f>IFERROR(IF(AB14&gt;=80,"🟢 Hyvä",IF(AB14&gt;=60,"🟡 Kehitys","🔴 Prioriteetti")),"")</f>
        <v/>
      </c>
      <c r="AD14" s="19">
        <f>IFERROR(IF(OR(F14="PHV-huippu",AB14&lt;60),"⚠️ MAX 60%","OK"),"")</f>
        <v/>
      </c>
      <c r="AE14" s="20" t="n"/>
      <c r="AF14" s="20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6" t="n"/>
      <c r="K15" s="15" t="n"/>
      <c r="L15" s="16" t="n"/>
      <c r="M15" s="15" t="n"/>
      <c r="N15" s="16" t="n"/>
      <c r="O15" s="15" t="n"/>
      <c r="P15" s="16" t="n"/>
      <c r="Q15" s="15" t="n"/>
      <c r="R15" s="16" t="n"/>
      <c r="S15" s="15" t="n"/>
      <c r="T15" s="16" t="n"/>
      <c r="U15" s="15" t="n"/>
      <c r="V15" s="16" t="n"/>
      <c r="W15" s="15" t="n"/>
      <c r="X15" s="16" t="n"/>
      <c r="Y15" s="15" t="n"/>
      <c r="Z15" s="16" t="n"/>
      <c r="AA15" s="17">
        <f>IFERROR(J15+L15+N15+P15+R15+T15+V15+X15+Z15,"")</f>
        <v/>
      </c>
      <c r="AB15" s="18">
        <f>IFERROR(ROUND(AA15/27*100,0),"")</f>
        <v/>
      </c>
      <c r="AC15" s="19">
        <f>IFERROR(IF(AB15&gt;=80,"🟢 Hyvä",IF(AB15&gt;=60,"🟡 Kehitys","🔴 Prioriteetti")),"")</f>
        <v/>
      </c>
      <c r="AD15" s="19">
        <f>IFERROR(IF(OR(F15="PHV-huippu",AB15&lt;60),"⚠️ MAX 60%","OK"),"")</f>
        <v/>
      </c>
      <c r="AE15" s="20" t="n"/>
      <c r="AF15" s="20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6" t="n"/>
      <c r="K16" s="15" t="n"/>
      <c r="L16" s="16" t="n"/>
      <c r="M16" s="15" t="n"/>
      <c r="N16" s="16" t="n"/>
      <c r="O16" s="15" t="n"/>
      <c r="P16" s="16" t="n"/>
      <c r="Q16" s="15" t="n"/>
      <c r="R16" s="16" t="n"/>
      <c r="S16" s="15" t="n"/>
      <c r="T16" s="16" t="n"/>
      <c r="U16" s="15" t="n"/>
      <c r="V16" s="16" t="n"/>
      <c r="W16" s="15" t="n"/>
      <c r="X16" s="16" t="n"/>
      <c r="Y16" s="15" t="n"/>
      <c r="Z16" s="16" t="n"/>
      <c r="AA16" s="17">
        <f>IFERROR(J16+L16+N16+P16+R16+T16+V16+X16+Z16,"")</f>
        <v/>
      </c>
      <c r="AB16" s="18">
        <f>IFERROR(ROUND(AA16/27*100,0),"")</f>
        <v/>
      </c>
      <c r="AC16" s="19">
        <f>IFERROR(IF(AB16&gt;=80,"🟢 Hyvä",IF(AB16&gt;=60,"🟡 Kehitys","🔴 Prioriteetti")),"")</f>
        <v/>
      </c>
      <c r="AD16" s="19">
        <f>IFERROR(IF(OR(F16="PHV-huippu",AB16&lt;60),"⚠️ MAX 60%","OK"),"")</f>
        <v/>
      </c>
      <c r="AE16" s="20" t="n"/>
      <c r="AF16" s="20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6" t="n"/>
      <c r="K17" s="15" t="n"/>
      <c r="L17" s="16" t="n"/>
      <c r="M17" s="15" t="n"/>
      <c r="N17" s="16" t="n"/>
      <c r="O17" s="15" t="n"/>
      <c r="P17" s="16" t="n"/>
      <c r="Q17" s="15" t="n"/>
      <c r="R17" s="16" t="n"/>
      <c r="S17" s="15" t="n"/>
      <c r="T17" s="16" t="n"/>
      <c r="U17" s="15" t="n"/>
      <c r="V17" s="16" t="n"/>
      <c r="W17" s="15" t="n"/>
      <c r="X17" s="16" t="n"/>
      <c r="Y17" s="15" t="n"/>
      <c r="Z17" s="16" t="n"/>
      <c r="AA17" s="17">
        <f>IFERROR(J17+L17+N17+P17+R17+T17+V17+X17+Z17,"")</f>
        <v/>
      </c>
      <c r="AB17" s="18">
        <f>IFERROR(ROUND(AA17/27*100,0),"")</f>
        <v/>
      </c>
      <c r="AC17" s="19">
        <f>IFERROR(IF(AB17&gt;=80,"🟢 Hyvä",IF(AB17&gt;=60,"🟡 Kehitys","🔴 Prioriteetti")),"")</f>
        <v/>
      </c>
      <c r="AD17" s="19">
        <f>IFERROR(IF(OR(F17="PHV-huippu",AB17&lt;60),"⚠️ MAX 60%","OK"),"")</f>
        <v/>
      </c>
      <c r="AE17" s="20" t="n"/>
      <c r="AF17" s="20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6" t="n"/>
      <c r="K18" s="15" t="n"/>
      <c r="L18" s="16" t="n"/>
      <c r="M18" s="15" t="n"/>
      <c r="N18" s="16" t="n"/>
      <c r="O18" s="15" t="n"/>
      <c r="P18" s="16" t="n"/>
      <c r="Q18" s="15" t="n"/>
      <c r="R18" s="16" t="n"/>
      <c r="S18" s="15" t="n"/>
      <c r="T18" s="16" t="n"/>
      <c r="U18" s="15" t="n"/>
      <c r="V18" s="16" t="n"/>
      <c r="W18" s="15" t="n"/>
      <c r="X18" s="16" t="n"/>
      <c r="Y18" s="15" t="n"/>
      <c r="Z18" s="16" t="n"/>
      <c r="AA18" s="17">
        <f>IFERROR(J18+L18+N18+P18+R18+T18+V18+X18+Z18,"")</f>
        <v/>
      </c>
      <c r="AB18" s="18">
        <f>IFERROR(ROUND(AA18/27*100,0),"")</f>
        <v/>
      </c>
      <c r="AC18" s="19">
        <f>IFERROR(IF(AB18&gt;=80,"🟢 Hyvä",IF(AB18&gt;=60,"🟡 Kehitys","🔴 Prioriteetti")),"")</f>
        <v/>
      </c>
      <c r="AD18" s="19">
        <f>IFERROR(IF(OR(F18="PHV-huippu",AB18&lt;60),"⚠️ MAX 60%","OK"),"")</f>
        <v/>
      </c>
      <c r="AE18" s="20" t="n"/>
      <c r="AF18" s="20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6" t="n"/>
      <c r="K19" s="15" t="n"/>
      <c r="L19" s="16" t="n"/>
      <c r="M19" s="15" t="n"/>
      <c r="N19" s="16" t="n"/>
      <c r="O19" s="15" t="n"/>
      <c r="P19" s="16" t="n"/>
      <c r="Q19" s="15" t="n"/>
      <c r="R19" s="16" t="n"/>
      <c r="S19" s="15" t="n"/>
      <c r="T19" s="16" t="n"/>
      <c r="U19" s="15" t="n"/>
      <c r="V19" s="16" t="n"/>
      <c r="W19" s="15" t="n"/>
      <c r="X19" s="16" t="n"/>
      <c r="Y19" s="15" t="n"/>
      <c r="Z19" s="16" t="n"/>
      <c r="AA19" s="17">
        <f>IFERROR(J19+L19+N19+P19+R19+T19+V19+X19+Z19,"")</f>
        <v/>
      </c>
      <c r="AB19" s="18">
        <f>IFERROR(ROUND(AA19/27*100,0),"")</f>
        <v/>
      </c>
      <c r="AC19" s="19">
        <f>IFERROR(IF(AB19&gt;=80,"🟢 Hyvä",IF(AB19&gt;=60,"🟡 Kehitys","🔴 Prioriteetti")),"")</f>
        <v/>
      </c>
      <c r="AD19" s="19">
        <f>IFERROR(IF(OR(F19="PHV-huippu",AB19&lt;60),"⚠️ MAX 60%","OK"),"")</f>
        <v/>
      </c>
      <c r="AE19" s="20" t="n"/>
      <c r="AF19" s="20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6" t="n"/>
      <c r="K20" s="15" t="n"/>
      <c r="L20" s="16" t="n"/>
      <c r="M20" s="15" t="n"/>
      <c r="N20" s="16" t="n"/>
      <c r="O20" s="15" t="n"/>
      <c r="P20" s="16" t="n"/>
      <c r="Q20" s="15" t="n"/>
      <c r="R20" s="16" t="n"/>
      <c r="S20" s="15" t="n"/>
      <c r="T20" s="16" t="n"/>
      <c r="U20" s="15" t="n"/>
      <c r="V20" s="16" t="n"/>
      <c r="W20" s="15" t="n"/>
      <c r="X20" s="16" t="n"/>
      <c r="Y20" s="15" t="n"/>
      <c r="Z20" s="16" t="n"/>
      <c r="AA20" s="17">
        <f>IFERROR(J20+L20+N20+P20+R20+T20+V20+X20+Z20,"")</f>
        <v/>
      </c>
      <c r="AB20" s="18">
        <f>IFERROR(ROUND(AA20/27*100,0),"")</f>
        <v/>
      </c>
      <c r="AC20" s="19">
        <f>IFERROR(IF(AB20&gt;=80,"🟢 Hyvä",IF(AB20&gt;=60,"🟡 Kehitys","🔴 Prioriteetti")),"")</f>
        <v/>
      </c>
      <c r="AD20" s="19">
        <f>IFERROR(IF(OR(F20="PHV-huippu",AB20&lt;60),"⚠️ MAX 60%","OK"),"")</f>
        <v/>
      </c>
      <c r="AE20" s="20" t="n"/>
      <c r="AF20" s="20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6" t="n"/>
      <c r="K21" s="15" t="n"/>
      <c r="L21" s="16" t="n"/>
      <c r="M21" s="15" t="n"/>
      <c r="N21" s="16" t="n"/>
      <c r="O21" s="15" t="n"/>
      <c r="P21" s="16" t="n"/>
      <c r="Q21" s="15" t="n"/>
      <c r="R21" s="16" t="n"/>
      <c r="S21" s="15" t="n"/>
      <c r="T21" s="16" t="n"/>
      <c r="U21" s="15" t="n"/>
      <c r="V21" s="16" t="n"/>
      <c r="W21" s="15" t="n"/>
      <c r="X21" s="16" t="n"/>
      <c r="Y21" s="15" t="n"/>
      <c r="Z21" s="16" t="n"/>
      <c r="AA21" s="17">
        <f>IFERROR(J21+L21+N21+P21+R21+T21+V21+X21+Z21,"")</f>
        <v/>
      </c>
      <c r="AB21" s="18">
        <f>IFERROR(ROUND(AA21/27*100,0),"")</f>
        <v/>
      </c>
      <c r="AC21" s="19">
        <f>IFERROR(IF(AB21&gt;=80,"🟢 Hyvä",IF(AB21&gt;=60,"🟡 Kehitys","🔴 Prioriteetti")),"")</f>
        <v/>
      </c>
      <c r="AD21" s="19">
        <f>IFERROR(IF(OR(F21="PHV-huippu",AB21&lt;60),"⚠️ MAX 60%","OK"),"")</f>
        <v/>
      </c>
      <c r="AE21" s="20" t="n"/>
      <c r="AF21" s="20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6" t="n"/>
      <c r="K22" s="15" t="n"/>
      <c r="L22" s="16" t="n"/>
      <c r="M22" s="15" t="n"/>
      <c r="N22" s="16" t="n"/>
      <c r="O22" s="15" t="n"/>
      <c r="P22" s="16" t="n"/>
      <c r="Q22" s="15" t="n"/>
      <c r="R22" s="16" t="n"/>
      <c r="S22" s="15" t="n"/>
      <c r="T22" s="16" t="n"/>
      <c r="U22" s="15" t="n"/>
      <c r="V22" s="16" t="n"/>
      <c r="W22" s="15" t="n"/>
      <c r="X22" s="16" t="n"/>
      <c r="Y22" s="15" t="n"/>
      <c r="Z22" s="16" t="n"/>
      <c r="AA22" s="17">
        <f>IFERROR(J22+L22+N22+P22+R22+T22+V22+X22+Z22,"")</f>
        <v/>
      </c>
      <c r="AB22" s="18">
        <f>IFERROR(ROUND(AA22/27*100,0),"")</f>
        <v/>
      </c>
      <c r="AC22" s="19">
        <f>IFERROR(IF(AB22&gt;=80,"🟢 Hyvä",IF(AB22&gt;=60,"🟡 Kehitys","🔴 Prioriteetti")),"")</f>
        <v/>
      </c>
      <c r="AD22" s="19">
        <f>IFERROR(IF(OR(F22="PHV-huippu",AB22&lt;60),"⚠️ MAX 60%","OK"),"")</f>
        <v/>
      </c>
      <c r="AE22" s="20" t="n"/>
      <c r="AF22" s="20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6" t="n"/>
      <c r="K23" s="15" t="n"/>
      <c r="L23" s="16" t="n"/>
      <c r="M23" s="15" t="n"/>
      <c r="N23" s="16" t="n"/>
      <c r="O23" s="15" t="n"/>
      <c r="P23" s="16" t="n"/>
      <c r="Q23" s="15" t="n"/>
      <c r="R23" s="16" t="n"/>
      <c r="S23" s="15" t="n"/>
      <c r="T23" s="16" t="n"/>
      <c r="U23" s="15" t="n"/>
      <c r="V23" s="16" t="n"/>
      <c r="W23" s="15" t="n"/>
      <c r="X23" s="16" t="n"/>
      <c r="Y23" s="15" t="n"/>
      <c r="Z23" s="16" t="n"/>
      <c r="AA23" s="17">
        <f>IFERROR(J23+L23+N23+P23+R23+T23+V23+X23+Z23,"")</f>
        <v/>
      </c>
      <c r="AB23" s="18">
        <f>IFERROR(ROUND(AA23/27*100,0),"")</f>
        <v/>
      </c>
      <c r="AC23" s="19">
        <f>IFERROR(IF(AB23&gt;=80,"🟢 Hyvä",IF(AB23&gt;=60,"🟡 Kehitys","🔴 Prioriteetti")),"")</f>
        <v/>
      </c>
      <c r="AD23" s="19">
        <f>IFERROR(IF(OR(F23="PHV-huippu",AB23&lt;60),"⚠️ MAX 60%","OK"),"")</f>
        <v/>
      </c>
      <c r="AE23" s="20" t="n"/>
      <c r="AF23" s="20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n"/>
      <c r="K24" s="15" t="n"/>
      <c r="L24" s="16" t="n"/>
      <c r="M24" s="15" t="n"/>
      <c r="N24" s="16" t="n"/>
      <c r="O24" s="15" t="n"/>
      <c r="P24" s="16" t="n"/>
      <c r="Q24" s="15" t="n"/>
      <c r="R24" s="16" t="n"/>
      <c r="S24" s="15" t="n"/>
      <c r="T24" s="16" t="n"/>
      <c r="U24" s="15" t="n"/>
      <c r="V24" s="16" t="n"/>
      <c r="W24" s="15" t="n"/>
      <c r="X24" s="16" t="n"/>
      <c r="Y24" s="15" t="n"/>
      <c r="Z24" s="16" t="n"/>
      <c r="AA24" s="17">
        <f>IFERROR(J24+L24+N24+P24+R24+T24+V24+X24+Z24,"")</f>
        <v/>
      </c>
      <c r="AB24" s="18">
        <f>IFERROR(ROUND(AA24/27*100,0),"")</f>
        <v/>
      </c>
      <c r="AC24" s="19">
        <f>IFERROR(IF(AB24&gt;=80,"🟢 Hyvä",IF(AB24&gt;=60,"🟡 Kehitys","🔴 Prioriteetti")),"")</f>
        <v/>
      </c>
      <c r="AD24" s="19">
        <f>IFERROR(IF(OR(F24="PHV-huippu",AB24&lt;60),"⚠️ MAX 60%","OK"),"")</f>
        <v/>
      </c>
      <c r="AE24" s="20" t="n"/>
      <c r="AF24" s="20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n"/>
      <c r="K25" s="15" t="n"/>
      <c r="L25" s="16" t="n"/>
      <c r="M25" s="15" t="n"/>
      <c r="N25" s="16" t="n"/>
      <c r="O25" s="15" t="n"/>
      <c r="P25" s="16" t="n"/>
      <c r="Q25" s="15" t="n"/>
      <c r="R25" s="16" t="n"/>
      <c r="S25" s="15" t="n"/>
      <c r="T25" s="16" t="n"/>
      <c r="U25" s="15" t="n"/>
      <c r="V25" s="16" t="n"/>
      <c r="W25" s="15" t="n"/>
      <c r="X25" s="16" t="n"/>
      <c r="Y25" s="15" t="n"/>
      <c r="Z25" s="16" t="n"/>
      <c r="AA25" s="17">
        <f>IFERROR(J25+L25+N25+P25+R25+T25+V25+X25+Z25,"")</f>
        <v/>
      </c>
      <c r="AB25" s="18">
        <f>IFERROR(ROUND(AA25/27*100,0),"")</f>
        <v/>
      </c>
      <c r="AC25" s="19">
        <f>IFERROR(IF(AB25&gt;=80,"🟢 Hyvä",IF(AB25&gt;=60,"🟡 Kehitys","🔴 Prioriteetti")),"")</f>
        <v/>
      </c>
      <c r="AD25" s="19">
        <f>IFERROR(IF(OR(F25="PHV-huippu",AB25&lt;60),"⚠️ MAX 60%","OK"),"")</f>
        <v/>
      </c>
      <c r="AE25" s="20" t="n"/>
      <c r="AF25" s="20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n"/>
      <c r="K26" s="15" t="n"/>
      <c r="L26" s="16" t="n"/>
      <c r="M26" s="15" t="n"/>
      <c r="N26" s="16" t="n"/>
      <c r="O26" s="15" t="n"/>
      <c r="P26" s="16" t="n"/>
      <c r="Q26" s="15" t="n"/>
      <c r="R26" s="16" t="n"/>
      <c r="S26" s="15" t="n"/>
      <c r="T26" s="16" t="n"/>
      <c r="U26" s="15" t="n"/>
      <c r="V26" s="16" t="n"/>
      <c r="W26" s="15" t="n"/>
      <c r="X26" s="16" t="n"/>
      <c r="Y26" s="15" t="n"/>
      <c r="Z26" s="16" t="n"/>
      <c r="AA26" s="17">
        <f>IFERROR(J26+L26+N26+P26+R26+T26+V26+X26+Z26,"")</f>
        <v/>
      </c>
      <c r="AB26" s="18">
        <f>IFERROR(ROUND(AA26/27*100,0),"")</f>
        <v/>
      </c>
      <c r="AC26" s="19">
        <f>IFERROR(IF(AB26&gt;=80,"🟢 Hyvä",IF(AB26&gt;=60,"🟡 Kehitys","🔴 Prioriteetti")),"")</f>
        <v/>
      </c>
      <c r="AD26" s="19">
        <f>IFERROR(IF(OR(F26="PHV-huippu",AB26&lt;60),"⚠️ MAX 60%","OK"),"")</f>
        <v/>
      </c>
      <c r="AE26" s="20" t="n"/>
      <c r="AF26" s="20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n"/>
      <c r="K27" s="15" t="n"/>
      <c r="L27" s="16" t="n"/>
      <c r="M27" s="15" t="n"/>
      <c r="N27" s="16" t="n"/>
      <c r="O27" s="15" t="n"/>
      <c r="P27" s="16" t="n"/>
      <c r="Q27" s="15" t="n"/>
      <c r="R27" s="16" t="n"/>
      <c r="S27" s="15" t="n"/>
      <c r="T27" s="16" t="n"/>
      <c r="U27" s="15" t="n"/>
      <c r="V27" s="16" t="n"/>
      <c r="W27" s="15" t="n"/>
      <c r="X27" s="16" t="n"/>
      <c r="Y27" s="15" t="n"/>
      <c r="Z27" s="16" t="n"/>
      <c r="AA27" s="17">
        <f>IFERROR(J27+L27+N27+P27+R27+T27+V27+X27+Z27,"")</f>
        <v/>
      </c>
      <c r="AB27" s="18">
        <f>IFERROR(ROUND(AA27/27*100,0),"")</f>
        <v/>
      </c>
      <c r="AC27" s="19">
        <f>IFERROR(IF(AB27&gt;=80,"🟢 Hyvä",IF(AB27&gt;=60,"🟡 Kehitys","🔴 Prioriteetti")),"")</f>
        <v/>
      </c>
      <c r="AD27" s="19">
        <f>IFERROR(IF(OR(F27="PHV-huippu",AB27&lt;60),"⚠️ MAX 60%","OK"),"")</f>
        <v/>
      </c>
      <c r="AE27" s="20" t="n"/>
      <c r="AF27" s="20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n"/>
      <c r="K28" s="15" t="n"/>
      <c r="L28" s="16" t="n"/>
      <c r="M28" s="15" t="n"/>
      <c r="N28" s="16" t="n"/>
      <c r="O28" s="15" t="n"/>
      <c r="P28" s="16" t="n"/>
      <c r="Q28" s="15" t="n"/>
      <c r="R28" s="16" t="n"/>
      <c r="S28" s="15" t="n"/>
      <c r="T28" s="16" t="n"/>
      <c r="U28" s="15" t="n"/>
      <c r="V28" s="16" t="n"/>
      <c r="W28" s="15" t="n"/>
      <c r="X28" s="16" t="n"/>
      <c r="Y28" s="15" t="n"/>
      <c r="Z28" s="16" t="n"/>
      <c r="AA28" s="17">
        <f>IFERROR(J28+L28+N28+P28+R28+T28+V28+X28+Z28,"")</f>
        <v/>
      </c>
      <c r="AB28" s="18">
        <f>IFERROR(ROUND(AA28/27*100,0),"")</f>
        <v/>
      </c>
      <c r="AC28" s="19">
        <f>IFERROR(IF(AB28&gt;=80,"🟢 Hyvä",IF(AB28&gt;=60,"🟡 Kehitys","🔴 Prioriteetti")),"")</f>
        <v/>
      </c>
      <c r="AD28" s="19">
        <f>IFERROR(IF(OR(F28="PHV-huippu",AB28&lt;60),"⚠️ MAX 60%","OK"),"")</f>
        <v/>
      </c>
      <c r="AE28" s="20" t="n"/>
      <c r="AF28" s="20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n"/>
      <c r="K29" s="15" t="n"/>
      <c r="L29" s="16" t="n"/>
      <c r="M29" s="15" t="n"/>
      <c r="N29" s="16" t="n"/>
      <c r="O29" s="15" t="n"/>
      <c r="P29" s="16" t="n"/>
      <c r="Q29" s="15" t="n"/>
      <c r="R29" s="16" t="n"/>
      <c r="S29" s="15" t="n"/>
      <c r="T29" s="16" t="n"/>
      <c r="U29" s="15" t="n"/>
      <c r="V29" s="16" t="n"/>
      <c r="W29" s="15" t="n"/>
      <c r="X29" s="16" t="n"/>
      <c r="Y29" s="15" t="n"/>
      <c r="Z29" s="16" t="n"/>
      <c r="AA29" s="17">
        <f>IFERROR(J29+L29+N29+P29+R29+T29+V29+X29+Z29,"")</f>
        <v/>
      </c>
      <c r="AB29" s="18">
        <f>IFERROR(ROUND(AA29/27*100,0),"")</f>
        <v/>
      </c>
      <c r="AC29" s="19">
        <f>IFERROR(IF(AB29&gt;=80,"🟢 Hyvä",IF(AB29&gt;=60,"🟡 Kehitys","🔴 Prioriteetti")),"")</f>
        <v/>
      </c>
      <c r="AD29" s="19">
        <f>IFERROR(IF(OR(F29="PHV-huippu",AB29&lt;60),"⚠️ MAX 60%","OK"),"")</f>
        <v/>
      </c>
      <c r="AE29" s="20" t="n"/>
      <c r="AF29" s="20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n"/>
      <c r="K30" s="15" t="n"/>
      <c r="L30" s="16" t="n"/>
      <c r="M30" s="15" t="n"/>
      <c r="N30" s="16" t="n"/>
      <c r="O30" s="15" t="n"/>
      <c r="P30" s="16" t="n"/>
      <c r="Q30" s="15" t="n"/>
      <c r="R30" s="16" t="n"/>
      <c r="S30" s="15" t="n"/>
      <c r="T30" s="16" t="n"/>
      <c r="U30" s="15" t="n"/>
      <c r="V30" s="16" t="n"/>
      <c r="W30" s="15" t="n"/>
      <c r="X30" s="16" t="n"/>
      <c r="Y30" s="15" t="n"/>
      <c r="Z30" s="16" t="n"/>
      <c r="AA30" s="17">
        <f>IFERROR(J30+L30+N30+P30+R30+T30+V30+X30+Z30,"")</f>
        <v/>
      </c>
      <c r="AB30" s="18">
        <f>IFERROR(ROUND(AA30/27*100,0),"")</f>
        <v/>
      </c>
      <c r="AC30" s="19">
        <f>IFERROR(IF(AB30&gt;=80,"🟢 Hyvä",IF(AB30&gt;=60,"🟡 Kehitys","🔴 Prioriteetti")),"")</f>
        <v/>
      </c>
      <c r="AD30" s="19">
        <f>IFERROR(IF(OR(F30="PHV-huippu",AB30&lt;60),"⚠️ MAX 60%","OK"),"")</f>
        <v/>
      </c>
      <c r="AE30" s="20" t="n"/>
      <c r="AF30" s="20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n"/>
      <c r="K31" s="15" t="n"/>
      <c r="L31" s="16" t="n"/>
      <c r="M31" s="15" t="n"/>
      <c r="N31" s="16" t="n"/>
      <c r="O31" s="15" t="n"/>
      <c r="P31" s="16" t="n"/>
      <c r="Q31" s="15" t="n"/>
      <c r="R31" s="16" t="n"/>
      <c r="S31" s="15" t="n"/>
      <c r="T31" s="16" t="n"/>
      <c r="U31" s="15" t="n"/>
      <c r="V31" s="16" t="n"/>
      <c r="W31" s="15" t="n"/>
      <c r="X31" s="16" t="n"/>
      <c r="Y31" s="15" t="n"/>
      <c r="Z31" s="16" t="n"/>
      <c r="AA31" s="17">
        <f>IFERROR(J31+L31+N31+P31+R31+T31+V31+X31+Z31,"")</f>
        <v/>
      </c>
      <c r="AB31" s="18">
        <f>IFERROR(ROUND(AA31/27*100,0),"")</f>
        <v/>
      </c>
      <c r="AC31" s="19">
        <f>IFERROR(IF(AB31&gt;=80,"🟢 Hyvä",IF(AB31&gt;=60,"🟡 Kehitys","🔴 Prioriteetti")),"")</f>
        <v/>
      </c>
      <c r="AD31" s="19">
        <f>IFERROR(IF(OR(F31="PHV-huippu",AB31&lt;60),"⚠️ MAX 60%","OK"),"")</f>
        <v/>
      </c>
      <c r="AE31" s="20" t="n"/>
      <c r="AF31" s="20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6" t="n"/>
      <c r="K32" s="15" t="n"/>
      <c r="L32" s="16" t="n"/>
      <c r="M32" s="15" t="n"/>
      <c r="N32" s="16" t="n"/>
      <c r="O32" s="15" t="n"/>
      <c r="P32" s="16" t="n"/>
      <c r="Q32" s="15" t="n"/>
      <c r="R32" s="16" t="n"/>
      <c r="S32" s="15" t="n"/>
      <c r="T32" s="16" t="n"/>
      <c r="U32" s="15" t="n"/>
      <c r="V32" s="16" t="n"/>
      <c r="W32" s="15" t="n"/>
      <c r="X32" s="16" t="n"/>
      <c r="Y32" s="15" t="n"/>
      <c r="Z32" s="16" t="n"/>
      <c r="AA32" s="17">
        <f>IFERROR(J32+L32+N32+P32+R32+T32+V32+X32+Z32,"")</f>
        <v/>
      </c>
      <c r="AB32" s="18">
        <f>IFERROR(ROUND(AA32/27*100,0),"")</f>
        <v/>
      </c>
      <c r="AC32" s="19">
        <f>IFERROR(IF(AB32&gt;=80,"🟢 Hyvä",IF(AB32&gt;=60,"🟡 Kehitys","🔴 Prioriteetti")),"")</f>
        <v/>
      </c>
      <c r="AD32" s="19">
        <f>IFERROR(IF(OR(F32="PHV-huippu",AB32&lt;60),"⚠️ MAX 60%","OK"),"")</f>
        <v/>
      </c>
      <c r="AE32" s="20" t="n"/>
      <c r="AF32" s="20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n"/>
      <c r="K33" s="15" t="n"/>
      <c r="L33" s="16" t="n"/>
      <c r="M33" s="15" t="n"/>
      <c r="N33" s="16" t="n"/>
      <c r="O33" s="15" t="n"/>
      <c r="P33" s="16" t="n"/>
      <c r="Q33" s="15" t="n"/>
      <c r="R33" s="16" t="n"/>
      <c r="S33" s="15" t="n"/>
      <c r="T33" s="16" t="n"/>
      <c r="U33" s="15" t="n"/>
      <c r="V33" s="16" t="n"/>
      <c r="W33" s="15" t="n"/>
      <c r="X33" s="16" t="n"/>
      <c r="Y33" s="15" t="n"/>
      <c r="Z33" s="16" t="n"/>
      <c r="AA33" s="17">
        <f>IFERROR(J33+L33+N33+P33+R33+T33+V33+X33+Z33,"")</f>
        <v/>
      </c>
      <c r="AB33" s="18">
        <f>IFERROR(ROUND(AA33/27*100,0),"")</f>
        <v/>
      </c>
      <c r="AC33" s="19">
        <f>IFERROR(IF(AB33&gt;=80,"🟢 Hyvä",IF(AB33&gt;=60,"🟡 Kehitys","🔴 Prioriteetti")),"")</f>
        <v/>
      </c>
      <c r="AD33" s="19">
        <f>IFERROR(IF(OR(F33="PHV-huippu",AB33&lt;60),"⚠️ MAX 60%","OK"),"")</f>
        <v/>
      </c>
      <c r="AE33" s="20" t="n"/>
      <c r="AF33" s="20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6" t="n"/>
      <c r="K34" s="15" t="n"/>
      <c r="L34" s="16" t="n"/>
      <c r="M34" s="15" t="n"/>
      <c r="N34" s="16" t="n"/>
      <c r="O34" s="15" t="n"/>
      <c r="P34" s="16" t="n"/>
      <c r="Q34" s="15" t="n"/>
      <c r="R34" s="16" t="n"/>
      <c r="S34" s="15" t="n"/>
      <c r="T34" s="16" t="n"/>
      <c r="U34" s="15" t="n"/>
      <c r="V34" s="16" t="n"/>
      <c r="W34" s="15" t="n"/>
      <c r="X34" s="16" t="n"/>
      <c r="Y34" s="15" t="n"/>
      <c r="Z34" s="16" t="n"/>
      <c r="AA34" s="17">
        <f>IFERROR(J34+L34+N34+P34+R34+T34+V34+X34+Z34,"")</f>
        <v/>
      </c>
      <c r="AB34" s="18">
        <f>IFERROR(ROUND(AA34/27*100,0),"")</f>
        <v/>
      </c>
      <c r="AC34" s="19">
        <f>IFERROR(IF(AB34&gt;=80,"🟢 Hyvä",IF(AB34&gt;=60,"🟡 Kehitys","🔴 Prioriteetti")),"")</f>
        <v/>
      </c>
      <c r="AD34" s="19">
        <f>IFERROR(IF(OR(F34="PHV-huippu",AB34&lt;60),"⚠️ MAX 60%","OK"),"")</f>
        <v/>
      </c>
      <c r="AE34" s="20" t="n"/>
      <c r="AF34" s="20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6" t="n"/>
      <c r="K35" s="15" t="n"/>
      <c r="L35" s="16" t="n"/>
      <c r="M35" s="15" t="n"/>
      <c r="N35" s="16" t="n"/>
      <c r="O35" s="15" t="n"/>
      <c r="P35" s="16" t="n"/>
      <c r="Q35" s="15" t="n"/>
      <c r="R35" s="16" t="n"/>
      <c r="S35" s="15" t="n"/>
      <c r="T35" s="16" t="n"/>
      <c r="U35" s="15" t="n"/>
      <c r="V35" s="16" t="n"/>
      <c r="W35" s="15" t="n"/>
      <c r="X35" s="16" t="n"/>
      <c r="Y35" s="15" t="n"/>
      <c r="Z35" s="16" t="n"/>
      <c r="AA35" s="17">
        <f>IFERROR(J35+L35+N35+P35+R35+T35+V35+X35+Z35,"")</f>
        <v/>
      </c>
      <c r="AB35" s="18">
        <f>IFERROR(ROUND(AA35/27*100,0),"")</f>
        <v/>
      </c>
      <c r="AC35" s="19">
        <f>IFERROR(IF(AB35&gt;=80,"🟢 Hyvä",IF(AB35&gt;=60,"🟡 Kehitys","🔴 Prioriteetti")),"")</f>
        <v/>
      </c>
      <c r="AD35" s="19">
        <f>IFERROR(IF(OR(F35="PHV-huippu",AB35&lt;60),"⚠️ MAX 60%","OK"),"")</f>
        <v/>
      </c>
      <c r="AE35" s="20" t="n"/>
      <c r="AF35" s="20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6" t="n"/>
      <c r="K36" s="15" t="n"/>
      <c r="L36" s="16" t="n"/>
      <c r="M36" s="15" t="n"/>
      <c r="N36" s="16" t="n"/>
      <c r="O36" s="15" t="n"/>
      <c r="P36" s="16" t="n"/>
      <c r="Q36" s="15" t="n"/>
      <c r="R36" s="16" t="n"/>
      <c r="S36" s="15" t="n"/>
      <c r="T36" s="16" t="n"/>
      <c r="U36" s="15" t="n"/>
      <c r="V36" s="16" t="n"/>
      <c r="W36" s="15" t="n"/>
      <c r="X36" s="16" t="n"/>
      <c r="Y36" s="15" t="n"/>
      <c r="Z36" s="16" t="n"/>
      <c r="AA36" s="17">
        <f>IFERROR(J36+L36+N36+P36+R36+T36+V36+X36+Z36,"")</f>
        <v/>
      </c>
      <c r="AB36" s="18">
        <f>IFERROR(ROUND(AA36/27*100,0),"")</f>
        <v/>
      </c>
      <c r="AC36" s="19">
        <f>IFERROR(IF(AB36&gt;=80,"🟢 Hyvä",IF(AB36&gt;=60,"🟡 Kehitys","🔴 Prioriteetti")),"")</f>
        <v/>
      </c>
      <c r="AD36" s="19">
        <f>IFERROR(IF(OR(F36="PHV-huippu",AB36&lt;60),"⚠️ MAX 60%","OK"),"")</f>
        <v/>
      </c>
      <c r="AE36" s="20" t="n"/>
      <c r="AF36" s="20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6" t="n"/>
      <c r="K37" s="15" t="n"/>
      <c r="L37" s="16" t="n"/>
      <c r="M37" s="15" t="n"/>
      <c r="N37" s="16" t="n"/>
      <c r="O37" s="15" t="n"/>
      <c r="P37" s="16" t="n"/>
      <c r="Q37" s="15" t="n"/>
      <c r="R37" s="16" t="n"/>
      <c r="S37" s="15" t="n"/>
      <c r="T37" s="16" t="n"/>
      <c r="U37" s="15" t="n"/>
      <c r="V37" s="16" t="n"/>
      <c r="W37" s="15" t="n"/>
      <c r="X37" s="16" t="n"/>
      <c r="Y37" s="15" t="n"/>
      <c r="Z37" s="16" t="n"/>
      <c r="AA37" s="17">
        <f>IFERROR(J37+L37+N37+P37+R37+T37+V37+X37+Z37,"")</f>
        <v/>
      </c>
      <c r="AB37" s="18">
        <f>IFERROR(ROUND(AA37/27*100,0),"")</f>
        <v/>
      </c>
      <c r="AC37" s="19">
        <f>IFERROR(IF(AB37&gt;=80,"🟢 Hyvä",IF(AB37&gt;=60,"🟡 Kehitys","🔴 Prioriteetti")),"")</f>
        <v/>
      </c>
      <c r="AD37" s="19">
        <f>IFERROR(IF(OR(F37="PHV-huippu",AB37&lt;60),"⚠️ MAX 60%","OK"),"")</f>
        <v/>
      </c>
      <c r="AE37" s="20" t="n"/>
      <c r="AF37" s="20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6" t="n"/>
      <c r="K38" s="15" t="n"/>
      <c r="L38" s="16" t="n"/>
      <c r="M38" s="15" t="n"/>
      <c r="N38" s="16" t="n"/>
      <c r="O38" s="15" t="n"/>
      <c r="P38" s="16" t="n"/>
      <c r="Q38" s="15" t="n"/>
      <c r="R38" s="16" t="n"/>
      <c r="S38" s="15" t="n"/>
      <c r="T38" s="16" t="n"/>
      <c r="U38" s="15" t="n"/>
      <c r="V38" s="16" t="n"/>
      <c r="W38" s="15" t="n"/>
      <c r="X38" s="16" t="n"/>
      <c r="Y38" s="15" t="n"/>
      <c r="Z38" s="16" t="n"/>
      <c r="AA38" s="17">
        <f>IFERROR(J38+L38+N38+P38+R38+T38+V38+X38+Z38,"")</f>
        <v/>
      </c>
      <c r="AB38" s="18">
        <f>IFERROR(ROUND(AA38/27*100,0),"")</f>
        <v/>
      </c>
      <c r="AC38" s="19">
        <f>IFERROR(IF(AB38&gt;=80,"🟢 Hyvä",IF(AB38&gt;=60,"🟡 Kehitys","🔴 Prioriteetti")),"")</f>
        <v/>
      </c>
      <c r="AD38" s="19">
        <f>IFERROR(IF(OR(F38="PHV-huippu",AB38&lt;60),"⚠️ MAX 60%","OK"),"")</f>
        <v/>
      </c>
      <c r="AE38" s="20" t="n"/>
      <c r="AF38" s="20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6" t="n"/>
      <c r="K39" s="15" t="n"/>
      <c r="L39" s="16" t="n"/>
      <c r="M39" s="15" t="n"/>
      <c r="N39" s="16" t="n"/>
      <c r="O39" s="15" t="n"/>
      <c r="P39" s="16" t="n"/>
      <c r="Q39" s="15" t="n"/>
      <c r="R39" s="16" t="n"/>
      <c r="S39" s="15" t="n"/>
      <c r="T39" s="16" t="n"/>
      <c r="U39" s="15" t="n"/>
      <c r="V39" s="16" t="n"/>
      <c r="W39" s="15" t="n"/>
      <c r="X39" s="16" t="n"/>
      <c r="Y39" s="15" t="n"/>
      <c r="Z39" s="16" t="n"/>
      <c r="AA39" s="17">
        <f>IFERROR(J39+L39+N39+P39+R39+T39+V39+X39+Z39,"")</f>
        <v/>
      </c>
      <c r="AB39" s="18">
        <f>IFERROR(ROUND(AA39/27*100,0),"")</f>
        <v/>
      </c>
      <c r="AC39" s="19">
        <f>IFERROR(IF(AB39&gt;=80,"🟢 Hyvä",IF(AB39&gt;=60,"🟡 Kehitys","🔴 Prioriteetti")),"")</f>
        <v/>
      </c>
      <c r="AD39" s="19">
        <f>IFERROR(IF(OR(F39="PHV-huippu",AB39&lt;60),"⚠️ MAX 60%","OK"),"")</f>
        <v/>
      </c>
      <c r="AE39" s="20" t="n"/>
      <c r="AF39" s="20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6" t="n"/>
      <c r="K40" s="15" t="n"/>
      <c r="L40" s="16" t="n"/>
      <c r="M40" s="15" t="n"/>
      <c r="N40" s="16" t="n"/>
      <c r="O40" s="15" t="n"/>
      <c r="P40" s="16" t="n"/>
      <c r="Q40" s="15" t="n"/>
      <c r="R40" s="16" t="n"/>
      <c r="S40" s="15" t="n"/>
      <c r="T40" s="16" t="n"/>
      <c r="U40" s="15" t="n"/>
      <c r="V40" s="16" t="n"/>
      <c r="W40" s="15" t="n"/>
      <c r="X40" s="16" t="n"/>
      <c r="Y40" s="15" t="n"/>
      <c r="Z40" s="16" t="n"/>
      <c r="AA40" s="17">
        <f>IFERROR(J40+L40+N40+P40+R40+T40+V40+X40+Z40,"")</f>
        <v/>
      </c>
      <c r="AB40" s="18">
        <f>IFERROR(ROUND(AA40/27*100,0),"")</f>
        <v/>
      </c>
      <c r="AC40" s="19">
        <f>IFERROR(IF(AB40&gt;=80,"🟢 Hyvä",IF(AB40&gt;=60,"🟡 Kehitys","🔴 Prioriteetti")),"")</f>
        <v/>
      </c>
      <c r="AD40" s="19">
        <f>IFERROR(IF(OR(F40="PHV-huippu",AB40&lt;60),"⚠️ MAX 60%","OK"),"")</f>
        <v/>
      </c>
      <c r="AE40" s="20" t="n"/>
      <c r="AF40" s="20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6" t="n"/>
      <c r="K41" s="15" t="n"/>
      <c r="L41" s="16" t="n"/>
      <c r="M41" s="15" t="n"/>
      <c r="N41" s="16" t="n"/>
      <c r="O41" s="15" t="n"/>
      <c r="P41" s="16" t="n"/>
      <c r="Q41" s="15" t="n"/>
      <c r="R41" s="16" t="n"/>
      <c r="S41" s="15" t="n"/>
      <c r="T41" s="16" t="n"/>
      <c r="U41" s="15" t="n"/>
      <c r="V41" s="16" t="n"/>
      <c r="W41" s="15" t="n"/>
      <c r="X41" s="16" t="n"/>
      <c r="Y41" s="15" t="n"/>
      <c r="Z41" s="16" t="n"/>
      <c r="AA41" s="17">
        <f>IFERROR(J41+L41+N41+P41+R41+T41+V41+X41+Z41,"")</f>
        <v/>
      </c>
      <c r="AB41" s="18">
        <f>IFERROR(ROUND(AA41/27*100,0),"")</f>
        <v/>
      </c>
      <c r="AC41" s="19">
        <f>IFERROR(IF(AB41&gt;=80,"🟢 Hyvä",IF(AB41&gt;=60,"🟡 Kehitys","🔴 Prioriteetti")),"")</f>
        <v/>
      </c>
      <c r="AD41" s="19">
        <f>IFERROR(IF(OR(F41="PHV-huippu",AB41&lt;60),"⚠️ MAX 60%","OK"),"")</f>
        <v/>
      </c>
      <c r="AE41" s="20" t="n"/>
      <c r="AF41" s="20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6" t="n"/>
      <c r="K42" s="15" t="n"/>
      <c r="L42" s="16" t="n"/>
      <c r="M42" s="15" t="n"/>
      <c r="N42" s="16" t="n"/>
      <c r="O42" s="15" t="n"/>
      <c r="P42" s="16" t="n"/>
      <c r="Q42" s="15" t="n"/>
      <c r="R42" s="16" t="n"/>
      <c r="S42" s="15" t="n"/>
      <c r="T42" s="16" t="n"/>
      <c r="U42" s="15" t="n"/>
      <c r="V42" s="16" t="n"/>
      <c r="W42" s="15" t="n"/>
      <c r="X42" s="16" t="n"/>
      <c r="Y42" s="15" t="n"/>
      <c r="Z42" s="16" t="n"/>
      <c r="AA42" s="17">
        <f>IFERROR(J42+L42+N42+P42+R42+T42+V42+X42+Z42,"")</f>
        <v/>
      </c>
      <c r="AB42" s="18">
        <f>IFERROR(ROUND(AA42/27*100,0),"")</f>
        <v/>
      </c>
      <c r="AC42" s="19">
        <f>IFERROR(IF(AB42&gt;=80,"🟢 Hyvä",IF(AB42&gt;=60,"🟡 Kehitys","🔴 Prioriteetti")),"")</f>
        <v/>
      </c>
      <c r="AD42" s="19">
        <f>IFERROR(IF(OR(F42="PHV-huippu",AB42&lt;60),"⚠️ MAX 60%","OK"),"")</f>
        <v/>
      </c>
      <c r="AE42" s="20" t="n"/>
      <c r="AF42" s="20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6" t="n"/>
      <c r="K43" s="15" t="n"/>
      <c r="L43" s="16" t="n"/>
      <c r="M43" s="15" t="n"/>
      <c r="N43" s="16" t="n"/>
      <c r="O43" s="15" t="n"/>
      <c r="P43" s="16" t="n"/>
      <c r="Q43" s="15" t="n"/>
      <c r="R43" s="16" t="n"/>
      <c r="S43" s="15" t="n"/>
      <c r="T43" s="16" t="n"/>
      <c r="U43" s="15" t="n"/>
      <c r="V43" s="16" t="n"/>
      <c r="W43" s="15" t="n"/>
      <c r="X43" s="16" t="n"/>
      <c r="Y43" s="15" t="n"/>
      <c r="Z43" s="16" t="n"/>
      <c r="AA43" s="17">
        <f>IFERROR(J43+L43+N43+P43+R43+T43+V43+X43+Z43,"")</f>
        <v/>
      </c>
      <c r="AB43" s="18">
        <f>IFERROR(ROUND(AA43/27*100,0),"")</f>
        <v/>
      </c>
      <c r="AC43" s="19">
        <f>IFERROR(IF(AB43&gt;=80,"🟢 Hyvä",IF(AB43&gt;=60,"🟡 Kehitys","🔴 Prioriteetti")),"")</f>
        <v/>
      </c>
      <c r="AD43" s="19">
        <f>IFERROR(IF(OR(F43="PHV-huippu",AB43&lt;60),"⚠️ MAX 60%","OK"),"")</f>
        <v/>
      </c>
      <c r="AE43" s="20" t="n"/>
      <c r="AF43" s="20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6" t="n"/>
      <c r="K44" s="15" t="n"/>
      <c r="L44" s="16" t="n"/>
      <c r="M44" s="15" t="n"/>
      <c r="N44" s="16" t="n"/>
      <c r="O44" s="15" t="n"/>
      <c r="P44" s="16" t="n"/>
      <c r="Q44" s="15" t="n"/>
      <c r="R44" s="16" t="n"/>
      <c r="S44" s="15" t="n"/>
      <c r="T44" s="16" t="n"/>
      <c r="U44" s="15" t="n"/>
      <c r="V44" s="16" t="n"/>
      <c r="W44" s="15" t="n"/>
      <c r="X44" s="16" t="n"/>
      <c r="Y44" s="15" t="n"/>
      <c r="Z44" s="16" t="n"/>
      <c r="AA44" s="17">
        <f>IFERROR(J44+L44+N44+P44+R44+T44+V44+X44+Z44,"")</f>
        <v/>
      </c>
      <c r="AB44" s="18">
        <f>IFERROR(ROUND(AA44/27*100,0),"")</f>
        <v/>
      </c>
      <c r="AC44" s="19">
        <f>IFERROR(IF(AB44&gt;=80,"🟢 Hyvä",IF(AB44&gt;=60,"🟡 Kehitys","🔴 Prioriteetti")),"")</f>
        <v/>
      </c>
      <c r="AD44" s="19">
        <f>IFERROR(IF(OR(F44="PHV-huippu",AB44&lt;60),"⚠️ MAX 60%","OK"),"")</f>
        <v/>
      </c>
      <c r="AE44" s="20" t="n"/>
      <c r="AF44" s="20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6" t="n"/>
      <c r="K45" s="15" t="n"/>
      <c r="L45" s="16" t="n"/>
      <c r="M45" s="15" t="n"/>
      <c r="N45" s="16" t="n"/>
      <c r="O45" s="15" t="n"/>
      <c r="P45" s="16" t="n"/>
      <c r="Q45" s="15" t="n"/>
      <c r="R45" s="16" t="n"/>
      <c r="S45" s="15" t="n"/>
      <c r="T45" s="16" t="n"/>
      <c r="U45" s="15" t="n"/>
      <c r="V45" s="16" t="n"/>
      <c r="W45" s="15" t="n"/>
      <c r="X45" s="16" t="n"/>
      <c r="Y45" s="15" t="n"/>
      <c r="Z45" s="16" t="n"/>
      <c r="AA45" s="17">
        <f>IFERROR(J45+L45+N45+P45+R45+T45+V45+X45+Z45,"")</f>
        <v/>
      </c>
      <c r="AB45" s="18">
        <f>IFERROR(ROUND(AA45/27*100,0),"")</f>
        <v/>
      </c>
      <c r="AC45" s="19">
        <f>IFERROR(IF(AB45&gt;=80,"🟢 Hyvä",IF(AB45&gt;=60,"🟡 Kehitys","🔴 Prioriteetti")),"")</f>
        <v/>
      </c>
      <c r="AD45" s="19">
        <f>IFERROR(IF(OR(F45="PHV-huippu",AB45&lt;60),"⚠️ MAX 60%","OK"),"")</f>
        <v/>
      </c>
      <c r="AE45" s="20" t="n"/>
      <c r="AF45" s="20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6" t="n"/>
      <c r="K46" s="15" t="n"/>
      <c r="L46" s="16" t="n"/>
      <c r="M46" s="15" t="n"/>
      <c r="N46" s="16" t="n"/>
      <c r="O46" s="15" t="n"/>
      <c r="P46" s="16" t="n"/>
      <c r="Q46" s="15" t="n"/>
      <c r="R46" s="16" t="n"/>
      <c r="S46" s="15" t="n"/>
      <c r="T46" s="16" t="n"/>
      <c r="U46" s="15" t="n"/>
      <c r="V46" s="16" t="n"/>
      <c r="W46" s="15" t="n"/>
      <c r="X46" s="16" t="n"/>
      <c r="Y46" s="15" t="n"/>
      <c r="Z46" s="16" t="n"/>
      <c r="AA46" s="17">
        <f>IFERROR(J46+L46+N46+P46+R46+T46+V46+X46+Z46,"")</f>
        <v/>
      </c>
      <c r="AB46" s="18">
        <f>IFERROR(ROUND(AA46/27*100,0),"")</f>
        <v/>
      </c>
      <c r="AC46" s="19">
        <f>IFERROR(IF(AB46&gt;=80,"🟢 Hyvä",IF(AB46&gt;=60,"🟡 Kehitys","🔴 Prioriteetti")),"")</f>
        <v/>
      </c>
      <c r="AD46" s="19">
        <f>IFERROR(IF(OR(F46="PHV-huippu",AB46&lt;60),"⚠️ MAX 60%","OK"),"")</f>
        <v/>
      </c>
      <c r="AE46" s="20" t="n"/>
      <c r="AF46" s="20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6" t="n"/>
      <c r="K47" s="15" t="n"/>
      <c r="L47" s="16" t="n"/>
      <c r="M47" s="15" t="n"/>
      <c r="N47" s="16" t="n"/>
      <c r="O47" s="15" t="n"/>
      <c r="P47" s="16" t="n"/>
      <c r="Q47" s="15" t="n"/>
      <c r="R47" s="16" t="n"/>
      <c r="S47" s="15" t="n"/>
      <c r="T47" s="16" t="n"/>
      <c r="U47" s="15" t="n"/>
      <c r="V47" s="16" t="n"/>
      <c r="W47" s="15" t="n"/>
      <c r="X47" s="16" t="n"/>
      <c r="Y47" s="15" t="n"/>
      <c r="Z47" s="16" t="n"/>
      <c r="AA47" s="17">
        <f>IFERROR(J47+L47+N47+P47+R47+T47+V47+X47+Z47,"")</f>
        <v/>
      </c>
      <c r="AB47" s="18">
        <f>IFERROR(ROUND(AA47/27*100,0),"")</f>
        <v/>
      </c>
      <c r="AC47" s="19">
        <f>IFERROR(IF(AB47&gt;=80,"🟢 Hyvä",IF(AB47&gt;=60,"🟡 Kehitys","🔴 Prioriteetti")),"")</f>
        <v/>
      </c>
      <c r="AD47" s="19">
        <f>IFERROR(IF(OR(F47="PHV-huippu",AB47&lt;60),"⚠️ MAX 60%","OK"),"")</f>
        <v/>
      </c>
      <c r="AE47" s="20" t="n"/>
      <c r="AF47" s="20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6" t="n"/>
      <c r="K48" s="15" t="n"/>
      <c r="L48" s="16" t="n"/>
      <c r="M48" s="15" t="n"/>
      <c r="N48" s="16" t="n"/>
      <c r="O48" s="15" t="n"/>
      <c r="P48" s="16" t="n"/>
      <c r="Q48" s="15" t="n"/>
      <c r="R48" s="16" t="n"/>
      <c r="S48" s="15" t="n"/>
      <c r="T48" s="16" t="n"/>
      <c r="U48" s="15" t="n"/>
      <c r="V48" s="16" t="n"/>
      <c r="W48" s="15" t="n"/>
      <c r="X48" s="16" t="n"/>
      <c r="Y48" s="15" t="n"/>
      <c r="Z48" s="16" t="n"/>
      <c r="AA48" s="17">
        <f>IFERROR(J48+L48+N48+P48+R48+T48+V48+X48+Z48,"")</f>
        <v/>
      </c>
      <c r="AB48" s="18">
        <f>IFERROR(ROUND(AA48/27*100,0),"")</f>
        <v/>
      </c>
      <c r="AC48" s="19">
        <f>IFERROR(IF(AB48&gt;=80,"🟢 Hyvä",IF(AB48&gt;=60,"🟡 Kehitys","🔴 Prioriteetti")),"")</f>
        <v/>
      </c>
      <c r="AD48" s="19">
        <f>IFERROR(IF(OR(F48="PHV-huippu",AB48&lt;60),"⚠️ MAX 60%","OK"),"")</f>
        <v/>
      </c>
      <c r="AE48" s="20" t="n"/>
      <c r="AF48" s="20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6" t="n"/>
      <c r="K49" s="15" t="n"/>
      <c r="L49" s="16" t="n"/>
      <c r="M49" s="15" t="n"/>
      <c r="N49" s="16" t="n"/>
      <c r="O49" s="15" t="n"/>
      <c r="P49" s="16" t="n"/>
      <c r="Q49" s="15" t="n"/>
      <c r="R49" s="16" t="n"/>
      <c r="S49" s="15" t="n"/>
      <c r="T49" s="16" t="n"/>
      <c r="U49" s="15" t="n"/>
      <c r="V49" s="16" t="n"/>
      <c r="W49" s="15" t="n"/>
      <c r="X49" s="16" t="n"/>
      <c r="Y49" s="15" t="n"/>
      <c r="Z49" s="16" t="n"/>
      <c r="AA49" s="17">
        <f>IFERROR(J49+L49+N49+P49+R49+T49+V49+X49+Z49,"")</f>
        <v/>
      </c>
      <c r="AB49" s="18">
        <f>IFERROR(ROUND(AA49/27*100,0),"")</f>
        <v/>
      </c>
      <c r="AC49" s="19">
        <f>IFERROR(IF(AB49&gt;=80,"🟢 Hyvä",IF(AB49&gt;=60,"🟡 Kehitys","🔴 Prioriteetti")),"")</f>
        <v/>
      </c>
      <c r="AD49" s="19">
        <f>IFERROR(IF(OR(F49="PHV-huippu",AB49&lt;60),"⚠️ MAX 60%","OK"),"")</f>
        <v/>
      </c>
      <c r="AE49" s="20" t="n"/>
      <c r="AF49" s="20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6" t="n"/>
      <c r="K50" s="15" t="n"/>
      <c r="L50" s="16" t="n"/>
      <c r="M50" s="15" t="n"/>
      <c r="N50" s="16" t="n"/>
      <c r="O50" s="15" t="n"/>
      <c r="P50" s="16" t="n"/>
      <c r="Q50" s="15" t="n"/>
      <c r="R50" s="16" t="n"/>
      <c r="S50" s="15" t="n"/>
      <c r="T50" s="16" t="n"/>
      <c r="U50" s="15" t="n"/>
      <c r="V50" s="16" t="n"/>
      <c r="W50" s="15" t="n"/>
      <c r="X50" s="16" t="n"/>
      <c r="Y50" s="15" t="n"/>
      <c r="Z50" s="16" t="n"/>
      <c r="AA50" s="17">
        <f>IFERROR(J50+L50+N50+P50+R50+T50+V50+X50+Z50,"")</f>
        <v/>
      </c>
      <c r="AB50" s="18">
        <f>IFERROR(ROUND(AA50/27*100,0),"")</f>
        <v/>
      </c>
      <c r="AC50" s="19">
        <f>IFERROR(IF(AB50&gt;=80,"🟢 Hyvä",IF(AB50&gt;=60,"🟡 Kehitys","🔴 Prioriteetti")),"")</f>
        <v/>
      </c>
      <c r="AD50" s="19">
        <f>IFERROR(IF(OR(F50="PHV-huippu",AB50&lt;60),"⚠️ MAX 60%","OK"),"")</f>
        <v/>
      </c>
      <c r="AE50" s="20" t="n"/>
      <c r="AF50" s="20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6" t="n"/>
      <c r="K51" s="15" t="n"/>
      <c r="L51" s="16" t="n"/>
      <c r="M51" s="15" t="n"/>
      <c r="N51" s="16" t="n"/>
      <c r="O51" s="15" t="n"/>
      <c r="P51" s="16" t="n"/>
      <c r="Q51" s="15" t="n"/>
      <c r="R51" s="16" t="n"/>
      <c r="S51" s="15" t="n"/>
      <c r="T51" s="16" t="n"/>
      <c r="U51" s="15" t="n"/>
      <c r="V51" s="16" t="n"/>
      <c r="W51" s="15" t="n"/>
      <c r="X51" s="16" t="n"/>
      <c r="Y51" s="15" t="n"/>
      <c r="Z51" s="16" t="n"/>
      <c r="AA51" s="17">
        <f>IFERROR(J51+L51+N51+P51+R51+T51+V51+X51+Z51,"")</f>
        <v/>
      </c>
      <c r="AB51" s="18">
        <f>IFERROR(ROUND(AA51/27*100,0),"")</f>
        <v/>
      </c>
      <c r="AC51" s="19">
        <f>IFERROR(IF(AB51&gt;=80,"🟢 Hyvä",IF(AB51&gt;=60,"🟡 Kehitys","🔴 Prioriteetti")),"")</f>
        <v/>
      </c>
      <c r="AD51" s="19">
        <f>IFERROR(IF(OR(F51="PHV-huippu",AB51&lt;60),"⚠️ MAX 60%","OK"),"")</f>
        <v/>
      </c>
      <c r="AE51" s="20" t="n"/>
      <c r="AF51" s="20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6" t="n"/>
      <c r="K52" s="15" t="n"/>
      <c r="L52" s="16" t="n"/>
      <c r="M52" s="15" t="n"/>
      <c r="N52" s="16" t="n"/>
      <c r="O52" s="15" t="n"/>
      <c r="P52" s="16" t="n"/>
      <c r="Q52" s="15" t="n"/>
      <c r="R52" s="16" t="n"/>
      <c r="S52" s="15" t="n"/>
      <c r="T52" s="16" t="n"/>
      <c r="U52" s="15" t="n"/>
      <c r="V52" s="16" t="n"/>
      <c r="W52" s="15" t="n"/>
      <c r="X52" s="16" t="n"/>
      <c r="Y52" s="15" t="n"/>
      <c r="Z52" s="16" t="n"/>
      <c r="AA52" s="17">
        <f>IFERROR(J52+L52+N52+P52+R52+T52+V52+X52+Z52,"")</f>
        <v/>
      </c>
      <c r="AB52" s="18">
        <f>IFERROR(ROUND(AA52/27*100,0),"")</f>
        <v/>
      </c>
      <c r="AC52" s="19">
        <f>IFERROR(IF(AB52&gt;=80,"🟢 Hyvä",IF(AB52&gt;=60,"🟡 Kehitys","🔴 Prioriteetti")),"")</f>
        <v/>
      </c>
      <c r="AD52" s="19">
        <f>IFERROR(IF(OR(F52="PHV-huippu",AB52&lt;60),"⚠️ MAX 60%","OK"),"")</f>
        <v/>
      </c>
      <c r="AE52" s="20" t="n"/>
      <c r="AF52" s="20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6" t="n"/>
      <c r="K53" s="15" t="n"/>
      <c r="L53" s="16" t="n"/>
      <c r="M53" s="15" t="n"/>
      <c r="N53" s="16" t="n"/>
      <c r="O53" s="15" t="n"/>
      <c r="P53" s="16" t="n"/>
      <c r="Q53" s="15" t="n"/>
      <c r="R53" s="16" t="n"/>
      <c r="S53" s="15" t="n"/>
      <c r="T53" s="16" t="n"/>
      <c r="U53" s="15" t="n"/>
      <c r="V53" s="16" t="n"/>
      <c r="W53" s="15" t="n"/>
      <c r="X53" s="16" t="n"/>
      <c r="Y53" s="15" t="n"/>
      <c r="Z53" s="16" t="n"/>
      <c r="AA53" s="17">
        <f>IFERROR(J53+L53+N53+P53+R53+T53+V53+X53+Z53,"")</f>
        <v/>
      </c>
      <c r="AB53" s="18">
        <f>IFERROR(ROUND(AA53/27*100,0),"")</f>
        <v/>
      </c>
      <c r="AC53" s="19">
        <f>IFERROR(IF(AB53&gt;=80,"🟢 Hyvä",IF(AB53&gt;=60,"🟡 Kehitys","🔴 Prioriteetti")),"")</f>
        <v/>
      </c>
      <c r="AD53" s="19">
        <f>IFERROR(IF(OR(F53="PHV-huippu",AB53&lt;60),"⚠️ MAX 60%","OK"),"")</f>
        <v/>
      </c>
      <c r="AE53" s="20" t="n"/>
      <c r="AF53" s="20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6" t="n"/>
      <c r="K54" s="15" t="n"/>
      <c r="L54" s="16" t="n"/>
      <c r="M54" s="15" t="n"/>
      <c r="N54" s="16" t="n"/>
      <c r="O54" s="15" t="n"/>
      <c r="P54" s="16" t="n"/>
      <c r="Q54" s="15" t="n"/>
      <c r="R54" s="16" t="n"/>
      <c r="S54" s="15" t="n"/>
      <c r="T54" s="16" t="n"/>
      <c r="U54" s="15" t="n"/>
      <c r="V54" s="16" t="n"/>
      <c r="W54" s="15" t="n"/>
      <c r="X54" s="16" t="n"/>
      <c r="Y54" s="15" t="n"/>
      <c r="Z54" s="16" t="n"/>
      <c r="AA54" s="17">
        <f>IFERROR(J54+L54+N54+P54+R54+T54+V54+X54+Z54,"")</f>
        <v/>
      </c>
      <c r="AB54" s="18">
        <f>IFERROR(ROUND(AA54/27*100,0),"")</f>
        <v/>
      </c>
      <c r="AC54" s="19">
        <f>IFERROR(IF(AB54&gt;=80,"🟢 Hyvä",IF(AB54&gt;=60,"🟡 Kehitys","🔴 Prioriteetti")),"")</f>
        <v/>
      </c>
      <c r="AD54" s="19">
        <f>IFERROR(IF(OR(F54="PHV-huippu",AB54&lt;60),"⚠️ MAX 60%","OK"),"")</f>
        <v/>
      </c>
      <c r="AE54" s="20" t="n"/>
      <c r="AF54" s="20" t="n"/>
    </row>
  </sheetData>
  <mergeCells count="2">
    <mergeCell ref="A1:AF1"/>
    <mergeCell ref="A2:AF2"/>
  </mergeCells>
  <dataValidations count="450">
    <dataValidation sqref="J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5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5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5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5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5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5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5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5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54" showDropDown="0" showInputMessage="0" showErrorMessage="1" allowBlank="0" errorTitle="Virheellinen arvo" error="Syötä vain 1, 2 tai 3" type="whole" operator="between">
      <formula1>1</formula1>
      <formula2>3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B35"/>
    <outlinePr summaryBelow="1" summaryRight="1"/>
    <pageSetUpPr/>
  </sheetPr>
  <dimension ref="A1:AN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5" customWidth="1" min="4" max="4"/>
    <col width="12" customWidth="1" min="5" max="5"/>
    <col width="10" customWidth="1" min="6" max="6"/>
    <col width="14" customWidth="1" min="7" max="7"/>
    <col width="14" customWidth="1" min="8" max="8"/>
    <col width="11" customWidth="1" min="9" max="9"/>
    <col width="6" customWidth="1" min="10" max="10"/>
    <col width="11" customWidth="1" min="11" max="11"/>
    <col width="6" customWidth="1" min="12" max="12"/>
    <col width="11" customWidth="1" min="13" max="13"/>
    <col width="6" customWidth="1" min="14" max="14"/>
    <col width="11" customWidth="1" min="15" max="15"/>
    <col width="6" customWidth="1" min="16" max="16"/>
    <col width="11" customWidth="1" min="17" max="17"/>
    <col width="6" customWidth="1" min="18" max="18"/>
    <col width="11" customWidth="1" min="19" max="19"/>
    <col width="6" customWidth="1" min="20" max="20"/>
    <col width="11" customWidth="1" min="21" max="21"/>
    <col width="6" customWidth="1" min="22" max="22"/>
    <col width="11" customWidth="1" min="23" max="23"/>
    <col width="6" customWidth="1" min="24" max="24"/>
    <col width="11" customWidth="1" min="25" max="25"/>
    <col width="6" customWidth="1" min="26" max="26"/>
    <col width="11" customWidth="1" min="27" max="27"/>
    <col width="6" customWidth="1" min="28" max="28"/>
    <col width="11" customWidth="1" min="29" max="29"/>
    <col width="6" customWidth="1" min="30" max="30"/>
    <col width="11" customWidth="1" min="31" max="31"/>
    <col width="6" customWidth="1" min="32" max="32"/>
    <col width="11" customWidth="1" min="33" max="33"/>
    <col width="6" customWidth="1" min="34" max="34"/>
    <col width="9" customWidth="1" min="35" max="35"/>
    <col width="9" customWidth="1" min="36" max="36"/>
    <col width="9" customWidth="1" min="37" max="37"/>
    <col width="9" customWidth="1" min="38" max="38"/>
    <col width="22" customWidth="1" min="39" max="39"/>
    <col width="22" customWidth="1" min="40" max="40"/>
  </cols>
  <sheetData>
    <row r="1" ht="28" customHeight="1">
      <c r="A1" s="8" t="inlineStr">
        <is>
          <t>HARJOITETTAVUUSKARTOITUS U15 — 13–15-vuotiaat | ⚠️ KRIITTINEN PHV-IKÄLUOKKA</t>
        </is>
      </c>
    </row>
    <row r="2" ht="20" customHeight="1">
      <c r="A2" s="21" t="inlineStr">
        <is>
          <t>⚠️ Tarkista PHV-tila ENNEN testausta. PHV-HUIPPU → MAX 60% kuorma. Lantionnosto &lt;29 tst + kantakipu → VÄLITÖN referral.</t>
        </is>
      </c>
    </row>
    <row r="3" ht="18" customHeight="1">
      <c r="A3" s="10" t="inlineStr">
        <is>
          <t>Seura:</t>
        </is>
      </c>
      <c r="B3" s="11" t="n"/>
      <c r="D3" s="10" t="inlineStr">
        <is>
          <t>Kausi:</t>
        </is>
      </c>
      <c r="E3" s="11" t="n"/>
      <c r="G3" s="10" t="inlineStr">
        <is>
          <t>Joukkue:</t>
        </is>
      </c>
      <c r="H3" s="11" t="n"/>
    </row>
    <row r="4" ht="32" customHeight="1">
      <c r="A4" s="12" t="inlineStr">
        <is>
          <t>PelaajaID</t>
        </is>
      </c>
      <c r="B4" s="12" t="inlineStr">
        <is>
          <t>Nimi</t>
        </is>
      </c>
      <c r="C4" s="12" t="inlineStr">
        <is>
          <t>Sukup
(P/T)</t>
        </is>
      </c>
      <c r="D4" s="12" t="inlineStr">
        <is>
          <t>Ikä
(v)</t>
        </is>
      </c>
      <c r="E4" s="12" t="inlineStr">
        <is>
          <t>Testaus
pvm</t>
        </is>
      </c>
      <c r="F4" s="12" t="inlineStr">
        <is>
          <t>PHV-
tila</t>
        </is>
      </c>
      <c r="G4" s="12" t="inlineStr">
        <is>
          <t>Joukkue</t>
        </is>
      </c>
      <c r="H4" s="12" t="inlineStr">
        <is>
          <t>Arvioija</t>
        </is>
      </c>
      <c r="I4" s="13" t="inlineStr">
        <is>
          <t>Pistoolikyykky
(tulos)</t>
        </is>
      </c>
      <c r="J4" s="13" t="inlineStr">
        <is>
          <t>Pist.
1–3</t>
        </is>
      </c>
      <c r="K4" s="13" t="inlineStr">
        <is>
          <t>Etunojapunnerrus
(tulos)</t>
        </is>
      </c>
      <c r="L4" s="13" t="inlineStr">
        <is>
          <t>Pist.
1–3</t>
        </is>
      </c>
      <c r="M4" s="13" t="inlineStr">
        <is>
          <t>Leuanveto
(tulos)</t>
        </is>
      </c>
      <c r="N4" s="13" t="inlineStr">
        <is>
          <t>Pist.
1–3</t>
        </is>
      </c>
      <c r="O4" s="13" t="inlineStr">
        <is>
          <t>Jalkojen nosto
(tulos)</t>
        </is>
      </c>
      <c r="P4" s="13" t="inlineStr">
        <is>
          <t>Pist.
1–3</t>
        </is>
      </c>
      <c r="Q4" s="13" t="inlineStr">
        <is>
          <t>Lankku 120s
(tulos)</t>
        </is>
      </c>
      <c r="R4" s="13" t="inlineStr">
        <is>
          <t>Pist.
1–3</t>
        </is>
      </c>
      <c r="S4" s="13" t="inlineStr">
        <is>
          <t>Sivulankku 60s
(tulos)</t>
        </is>
      </c>
      <c r="T4" s="13" t="inlineStr">
        <is>
          <t>Pist.
1–3</t>
        </is>
      </c>
      <c r="U4" s="13" t="inlineStr">
        <is>
          <t>Lantionnosto
(tulos)</t>
        </is>
      </c>
      <c r="V4" s="13" t="inlineStr">
        <is>
          <t>Pist.
1–3</t>
        </is>
      </c>
      <c r="W4" s="13" t="inlineStr">
        <is>
          <t>Naruhypyt 30s
(tulos)</t>
        </is>
      </c>
      <c r="X4" s="13" t="inlineStr">
        <is>
          <t>Pist.
1–3</t>
        </is>
      </c>
      <c r="Y4" s="13" t="inlineStr">
        <is>
          <t>Päkiänousu
(tulos)</t>
        </is>
      </c>
      <c r="Z4" s="13" t="inlineStr">
        <is>
          <t>Pist.
1–3</t>
        </is>
      </c>
      <c r="AA4" s="13" t="inlineStr">
        <is>
          <t>SLR neuraalinen
(tulos)</t>
        </is>
      </c>
      <c r="AB4" s="13" t="inlineStr">
        <is>
          <t>Pist.
1–3</t>
        </is>
      </c>
      <c r="AC4" s="13" t="inlineStr">
        <is>
          <t>Thomas-testi
(tulos)</t>
        </is>
      </c>
      <c r="AD4" s="13" t="inlineStr">
        <is>
          <t>Pist.
1–3</t>
        </is>
      </c>
      <c r="AE4" s="13" t="inlineStr">
        <is>
          <t>Pituushyppy
(tulos)</t>
        </is>
      </c>
      <c r="AF4" s="13" t="inlineStr">
        <is>
          <t>Pist.
1–3</t>
        </is>
      </c>
      <c r="AG4" s="13" t="inlineStr">
        <is>
          <t>5-loikka
(tulos)</t>
        </is>
      </c>
      <c r="AH4" s="13" t="inlineStr">
        <is>
          <t>Pist.
1–3</t>
        </is>
      </c>
      <c r="AI4" s="14" t="inlineStr">
        <is>
          <t>Kokon.
pisteet</t>
        </is>
      </c>
      <c r="AJ4" s="14" t="inlineStr">
        <is>
          <t>FLEI
(%)</t>
        </is>
      </c>
      <c r="AK4" s="14" t="inlineStr">
        <is>
          <t>FLEI-
taso</t>
        </is>
      </c>
      <c r="AL4" s="14" t="inlineStr">
        <is>
          <t>Kuorma-
rajoitin</t>
        </is>
      </c>
      <c r="AM4" s="14" t="inlineStr">
        <is>
          <t>Huomiot</t>
        </is>
      </c>
      <c r="AN4" s="14" t="inlineStr">
        <is>
          <t>ASI-
huomio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6" t="n"/>
      <c r="K5" s="15" t="n"/>
      <c r="L5" s="16" t="n"/>
      <c r="M5" s="15" t="n"/>
      <c r="N5" s="16" t="n"/>
      <c r="O5" s="15" t="n"/>
      <c r="P5" s="16" t="n"/>
      <c r="Q5" s="15" t="n"/>
      <c r="R5" s="16" t="n"/>
      <c r="S5" s="15" t="n"/>
      <c r="T5" s="16" t="n"/>
      <c r="U5" s="15" t="n"/>
      <c r="V5" s="16" t="n"/>
      <c r="W5" s="15" t="n"/>
      <c r="X5" s="16" t="n"/>
      <c r="Y5" s="15" t="n"/>
      <c r="Z5" s="16" t="n"/>
      <c r="AA5" s="15" t="n"/>
      <c r="AB5" s="16" t="n"/>
      <c r="AC5" s="15" t="n"/>
      <c r="AD5" s="16" t="n"/>
      <c r="AE5" s="15" t="n"/>
      <c r="AF5" s="16" t="n"/>
      <c r="AG5" s="15" t="n"/>
      <c r="AH5" s="16" t="n"/>
      <c r="AI5" s="17">
        <f>IFERROR(J5+L5+N5+P5+R5+T5+V5+X5+Z5+AB5+AD5+AF5+AH5,"")</f>
        <v/>
      </c>
      <c r="AJ5" s="18">
        <f>IFERROR(ROUND(AI5/39*100,0),"")</f>
        <v/>
      </c>
      <c r="AK5" s="19">
        <f>IFERROR(IF(AJ5&gt;=80,"🟢 Hyvä",IF(AJ5&gt;=60,"🟡 Kehitys","🔴 Prioriteetti")),"")</f>
        <v/>
      </c>
      <c r="AL5" s="19">
        <f>IFERROR(IF(OR(F5="PHV-huippu",AJ5&lt;60),"⚠️ MAX 60%","OK"),"")</f>
        <v/>
      </c>
      <c r="AM5" s="20" t="n"/>
      <c r="AN5" s="20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6" t="n"/>
      <c r="K6" s="15" t="n"/>
      <c r="L6" s="16" t="n"/>
      <c r="M6" s="15" t="n"/>
      <c r="N6" s="16" t="n"/>
      <c r="O6" s="15" t="n"/>
      <c r="P6" s="16" t="n"/>
      <c r="Q6" s="15" t="n"/>
      <c r="R6" s="16" t="n"/>
      <c r="S6" s="15" t="n"/>
      <c r="T6" s="16" t="n"/>
      <c r="U6" s="15" t="n"/>
      <c r="V6" s="16" t="n"/>
      <c r="W6" s="15" t="n"/>
      <c r="X6" s="16" t="n"/>
      <c r="Y6" s="15" t="n"/>
      <c r="Z6" s="16" t="n"/>
      <c r="AA6" s="15" t="n"/>
      <c r="AB6" s="16" t="n"/>
      <c r="AC6" s="15" t="n"/>
      <c r="AD6" s="16" t="n"/>
      <c r="AE6" s="15" t="n"/>
      <c r="AF6" s="16" t="n"/>
      <c r="AG6" s="15" t="n"/>
      <c r="AH6" s="16" t="n"/>
      <c r="AI6" s="17">
        <f>IFERROR(J6+L6+N6+P6+R6+T6+V6+X6+Z6+AB6+AD6+AF6+AH6,"")</f>
        <v/>
      </c>
      <c r="AJ6" s="18">
        <f>IFERROR(ROUND(AI6/39*100,0),"")</f>
        <v/>
      </c>
      <c r="AK6" s="19">
        <f>IFERROR(IF(AJ6&gt;=80,"🟢 Hyvä",IF(AJ6&gt;=60,"🟡 Kehitys","🔴 Prioriteetti")),"")</f>
        <v/>
      </c>
      <c r="AL6" s="19">
        <f>IFERROR(IF(OR(F6="PHV-huippu",AJ6&lt;60),"⚠️ MAX 60%","OK"),"")</f>
        <v/>
      </c>
      <c r="AM6" s="20" t="n"/>
      <c r="AN6" s="20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6" t="n"/>
      <c r="K7" s="15" t="n"/>
      <c r="L7" s="16" t="n"/>
      <c r="M7" s="15" t="n"/>
      <c r="N7" s="16" t="n"/>
      <c r="O7" s="15" t="n"/>
      <c r="P7" s="16" t="n"/>
      <c r="Q7" s="15" t="n"/>
      <c r="R7" s="16" t="n"/>
      <c r="S7" s="15" t="n"/>
      <c r="T7" s="16" t="n"/>
      <c r="U7" s="15" t="n"/>
      <c r="V7" s="16" t="n"/>
      <c r="W7" s="15" t="n"/>
      <c r="X7" s="16" t="n"/>
      <c r="Y7" s="15" t="n"/>
      <c r="Z7" s="16" t="n"/>
      <c r="AA7" s="15" t="n"/>
      <c r="AB7" s="16" t="n"/>
      <c r="AC7" s="15" t="n"/>
      <c r="AD7" s="16" t="n"/>
      <c r="AE7" s="15" t="n"/>
      <c r="AF7" s="16" t="n"/>
      <c r="AG7" s="15" t="n"/>
      <c r="AH7" s="16" t="n"/>
      <c r="AI7" s="17">
        <f>IFERROR(J7+L7+N7+P7+R7+T7+V7+X7+Z7+AB7+AD7+AF7+AH7,"")</f>
        <v/>
      </c>
      <c r="AJ7" s="18">
        <f>IFERROR(ROUND(AI7/39*100,0),"")</f>
        <v/>
      </c>
      <c r="AK7" s="19">
        <f>IFERROR(IF(AJ7&gt;=80,"🟢 Hyvä",IF(AJ7&gt;=60,"🟡 Kehitys","🔴 Prioriteetti")),"")</f>
        <v/>
      </c>
      <c r="AL7" s="19">
        <f>IFERROR(IF(OR(F7="PHV-huippu",AJ7&lt;60),"⚠️ MAX 60%","OK"),"")</f>
        <v/>
      </c>
      <c r="AM7" s="20" t="n"/>
      <c r="AN7" s="20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6" t="n"/>
      <c r="K8" s="15" t="n"/>
      <c r="L8" s="16" t="n"/>
      <c r="M8" s="15" t="n"/>
      <c r="N8" s="16" t="n"/>
      <c r="O8" s="15" t="n"/>
      <c r="P8" s="16" t="n"/>
      <c r="Q8" s="15" t="n"/>
      <c r="R8" s="16" t="n"/>
      <c r="S8" s="15" t="n"/>
      <c r="T8" s="16" t="n"/>
      <c r="U8" s="15" t="n"/>
      <c r="V8" s="16" t="n"/>
      <c r="W8" s="15" t="n"/>
      <c r="X8" s="16" t="n"/>
      <c r="Y8" s="15" t="n"/>
      <c r="Z8" s="16" t="n"/>
      <c r="AA8" s="15" t="n"/>
      <c r="AB8" s="16" t="n"/>
      <c r="AC8" s="15" t="n"/>
      <c r="AD8" s="16" t="n"/>
      <c r="AE8" s="15" t="n"/>
      <c r="AF8" s="16" t="n"/>
      <c r="AG8" s="15" t="n"/>
      <c r="AH8" s="16" t="n"/>
      <c r="AI8" s="17">
        <f>IFERROR(J8+L8+N8+P8+R8+T8+V8+X8+Z8+AB8+AD8+AF8+AH8,"")</f>
        <v/>
      </c>
      <c r="AJ8" s="18">
        <f>IFERROR(ROUND(AI8/39*100,0),"")</f>
        <v/>
      </c>
      <c r="AK8" s="19">
        <f>IFERROR(IF(AJ8&gt;=80,"🟢 Hyvä",IF(AJ8&gt;=60,"🟡 Kehitys","🔴 Prioriteetti")),"")</f>
        <v/>
      </c>
      <c r="AL8" s="19">
        <f>IFERROR(IF(OR(F8="PHV-huippu",AJ8&lt;60),"⚠️ MAX 60%","OK"),"")</f>
        <v/>
      </c>
      <c r="AM8" s="20" t="n"/>
      <c r="AN8" s="20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6" t="n"/>
      <c r="K9" s="15" t="n"/>
      <c r="L9" s="16" t="n"/>
      <c r="M9" s="15" t="n"/>
      <c r="N9" s="16" t="n"/>
      <c r="O9" s="15" t="n"/>
      <c r="P9" s="16" t="n"/>
      <c r="Q9" s="15" t="n"/>
      <c r="R9" s="16" t="n"/>
      <c r="S9" s="15" t="n"/>
      <c r="T9" s="16" t="n"/>
      <c r="U9" s="15" t="n"/>
      <c r="V9" s="16" t="n"/>
      <c r="W9" s="15" t="n"/>
      <c r="X9" s="16" t="n"/>
      <c r="Y9" s="15" t="n"/>
      <c r="Z9" s="16" t="n"/>
      <c r="AA9" s="15" t="n"/>
      <c r="AB9" s="16" t="n"/>
      <c r="AC9" s="15" t="n"/>
      <c r="AD9" s="16" t="n"/>
      <c r="AE9" s="15" t="n"/>
      <c r="AF9" s="16" t="n"/>
      <c r="AG9" s="15" t="n"/>
      <c r="AH9" s="16" t="n"/>
      <c r="AI9" s="17">
        <f>IFERROR(J9+L9+N9+P9+R9+T9+V9+X9+Z9+AB9+AD9+AF9+AH9,"")</f>
        <v/>
      </c>
      <c r="AJ9" s="18">
        <f>IFERROR(ROUND(AI9/39*100,0),"")</f>
        <v/>
      </c>
      <c r="AK9" s="19">
        <f>IFERROR(IF(AJ9&gt;=80,"🟢 Hyvä",IF(AJ9&gt;=60,"🟡 Kehitys","🔴 Prioriteetti")),"")</f>
        <v/>
      </c>
      <c r="AL9" s="19">
        <f>IFERROR(IF(OR(F9="PHV-huippu",AJ9&lt;60),"⚠️ MAX 60%","OK"),"")</f>
        <v/>
      </c>
      <c r="AM9" s="20" t="n"/>
      <c r="AN9" s="20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6" t="n"/>
      <c r="K10" s="15" t="n"/>
      <c r="L10" s="16" t="n"/>
      <c r="M10" s="15" t="n"/>
      <c r="N10" s="16" t="n"/>
      <c r="O10" s="15" t="n"/>
      <c r="P10" s="16" t="n"/>
      <c r="Q10" s="15" t="n"/>
      <c r="R10" s="16" t="n"/>
      <c r="S10" s="15" t="n"/>
      <c r="T10" s="16" t="n"/>
      <c r="U10" s="15" t="n"/>
      <c r="V10" s="16" t="n"/>
      <c r="W10" s="15" t="n"/>
      <c r="X10" s="16" t="n"/>
      <c r="Y10" s="15" t="n"/>
      <c r="Z10" s="16" t="n"/>
      <c r="AA10" s="15" t="n"/>
      <c r="AB10" s="16" t="n"/>
      <c r="AC10" s="15" t="n"/>
      <c r="AD10" s="16" t="n"/>
      <c r="AE10" s="15" t="n"/>
      <c r="AF10" s="16" t="n"/>
      <c r="AG10" s="15" t="n"/>
      <c r="AH10" s="16" t="n"/>
      <c r="AI10" s="17">
        <f>IFERROR(J10+L10+N10+P10+R10+T10+V10+X10+Z10+AB10+AD10+AF10+AH10,"")</f>
        <v/>
      </c>
      <c r="AJ10" s="18">
        <f>IFERROR(ROUND(AI10/39*100,0),"")</f>
        <v/>
      </c>
      <c r="AK10" s="19">
        <f>IFERROR(IF(AJ10&gt;=80,"🟢 Hyvä",IF(AJ10&gt;=60,"🟡 Kehitys","🔴 Prioriteetti")),"")</f>
        <v/>
      </c>
      <c r="AL10" s="19">
        <f>IFERROR(IF(OR(F10="PHV-huippu",AJ10&lt;60),"⚠️ MAX 60%","OK"),"")</f>
        <v/>
      </c>
      <c r="AM10" s="20" t="n"/>
      <c r="AN10" s="20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6" t="n"/>
      <c r="K11" s="15" t="n"/>
      <c r="L11" s="16" t="n"/>
      <c r="M11" s="15" t="n"/>
      <c r="N11" s="16" t="n"/>
      <c r="O11" s="15" t="n"/>
      <c r="P11" s="16" t="n"/>
      <c r="Q11" s="15" t="n"/>
      <c r="R11" s="16" t="n"/>
      <c r="S11" s="15" t="n"/>
      <c r="T11" s="16" t="n"/>
      <c r="U11" s="15" t="n"/>
      <c r="V11" s="16" t="n"/>
      <c r="W11" s="15" t="n"/>
      <c r="X11" s="16" t="n"/>
      <c r="Y11" s="15" t="n"/>
      <c r="Z11" s="16" t="n"/>
      <c r="AA11" s="15" t="n"/>
      <c r="AB11" s="16" t="n"/>
      <c r="AC11" s="15" t="n"/>
      <c r="AD11" s="16" t="n"/>
      <c r="AE11" s="15" t="n"/>
      <c r="AF11" s="16" t="n"/>
      <c r="AG11" s="15" t="n"/>
      <c r="AH11" s="16" t="n"/>
      <c r="AI11" s="17">
        <f>IFERROR(J11+L11+N11+P11+R11+T11+V11+X11+Z11+AB11+AD11+AF11+AH11,"")</f>
        <v/>
      </c>
      <c r="AJ11" s="18">
        <f>IFERROR(ROUND(AI11/39*100,0),"")</f>
        <v/>
      </c>
      <c r="AK11" s="19">
        <f>IFERROR(IF(AJ11&gt;=80,"🟢 Hyvä",IF(AJ11&gt;=60,"🟡 Kehitys","🔴 Prioriteetti")),"")</f>
        <v/>
      </c>
      <c r="AL11" s="19">
        <f>IFERROR(IF(OR(F11="PHV-huippu",AJ11&lt;60),"⚠️ MAX 60%","OK"),"")</f>
        <v/>
      </c>
      <c r="AM11" s="20" t="n"/>
      <c r="AN11" s="20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6" t="n"/>
      <c r="K12" s="15" t="n"/>
      <c r="L12" s="16" t="n"/>
      <c r="M12" s="15" t="n"/>
      <c r="N12" s="16" t="n"/>
      <c r="O12" s="15" t="n"/>
      <c r="P12" s="16" t="n"/>
      <c r="Q12" s="15" t="n"/>
      <c r="R12" s="16" t="n"/>
      <c r="S12" s="15" t="n"/>
      <c r="T12" s="16" t="n"/>
      <c r="U12" s="15" t="n"/>
      <c r="V12" s="16" t="n"/>
      <c r="W12" s="15" t="n"/>
      <c r="X12" s="16" t="n"/>
      <c r="Y12" s="15" t="n"/>
      <c r="Z12" s="16" t="n"/>
      <c r="AA12" s="15" t="n"/>
      <c r="AB12" s="16" t="n"/>
      <c r="AC12" s="15" t="n"/>
      <c r="AD12" s="16" t="n"/>
      <c r="AE12" s="15" t="n"/>
      <c r="AF12" s="16" t="n"/>
      <c r="AG12" s="15" t="n"/>
      <c r="AH12" s="16" t="n"/>
      <c r="AI12" s="17">
        <f>IFERROR(J12+L12+N12+P12+R12+T12+V12+X12+Z12+AB12+AD12+AF12+AH12,"")</f>
        <v/>
      </c>
      <c r="AJ12" s="18">
        <f>IFERROR(ROUND(AI12/39*100,0),"")</f>
        <v/>
      </c>
      <c r="AK12" s="19">
        <f>IFERROR(IF(AJ12&gt;=80,"🟢 Hyvä",IF(AJ12&gt;=60,"🟡 Kehitys","🔴 Prioriteetti")),"")</f>
        <v/>
      </c>
      <c r="AL12" s="19">
        <f>IFERROR(IF(OR(F12="PHV-huippu",AJ12&lt;60),"⚠️ MAX 60%","OK"),"")</f>
        <v/>
      </c>
      <c r="AM12" s="20" t="n"/>
      <c r="AN12" s="20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6" t="n"/>
      <c r="K13" s="15" t="n"/>
      <c r="L13" s="16" t="n"/>
      <c r="M13" s="15" t="n"/>
      <c r="N13" s="16" t="n"/>
      <c r="O13" s="15" t="n"/>
      <c r="P13" s="16" t="n"/>
      <c r="Q13" s="15" t="n"/>
      <c r="R13" s="16" t="n"/>
      <c r="S13" s="15" t="n"/>
      <c r="T13" s="16" t="n"/>
      <c r="U13" s="15" t="n"/>
      <c r="V13" s="16" t="n"/>
      <c r="W13" s="15" t="n"/>
      <c r="X13" s="16" t="n"/>
      <c r="Y13" s="15" t="n"/>
      <c r="Z13" s="16" t="n"/>
      <c r="AA13" s="15" t="n"/>
      <c r="AB13" s="16" t="n"/>
      <c r="AC13" s="15" t="n"/>
      <c r="AD13" s="16" t="n"/>
      <c r="AE13" s="15" t="n"/>
      <c r="AF13" s="16" t="n"/>
      <c r="AG13" s="15" t="n"/>
      <c r="AH13" s="16" t="n"/>
      <c r="AI13" s="17">
        <f>IFERROR(J13+L13+N13+P13+R13+T13+V13+X13+Z13+AB13+AD13+AF13+AH13,"")</f>
        <v/>
      </c>
      <c r="AJ13" s="18">
        <f>IFERROR(ROUND(AI13/39*100,0),"")</f>
        <v/>
      </c>
      <c r="AK13" s="19">
        <f>IFERROR(IF(AJ13&gt;=80,"🟢 Hyvä",IF(AJ13&gt;=60,"🟡 Kehitys","🔴 Prioriteetti")),"")</f>
        <v/>
      </c>
      <c r="AL13" s="19">
        <f>IFERROR(IF(OR(F13="PHV-huippu",AJ13&lt;60),"⚠️ MAX 60%","OK"),"")</f>
        <v/>
      </c>
      <c r="AM13" s="20" t="n"/>
      <c r="AN13" s="20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6" t="n"/>
      <c r="K14" s="15" t="n"/>
      <c r="L14" s="16" t="n"/>
      <c r="M14" s="15" t="n"/>
      <c r="N14" s="16" t="n"/>
      <c r="O14" s="15" t="n"/>
      <c r="P14" s="16" t="n"/>
      <c r="Q14" s="15" t="n"/>
      <c r="R14" s="16" t="n"/>
      <c r="S14" s="15" t="n"/>
      <c r="T14" s="16" t="n"/>
      <c r="U14" s="15" t="n"/>
      <c r="V14" s="16" t="n"/>
      <c r="W14" s="15" t="n"/>
      <c r="X14" s="16" t="n"/>
      <c r="Y14" s="15" t="n"/>
      <c r="Z14" s="16" t="n"/>
      <c r="AA14" s="15" t="n"/>
      <c r="AB14" s="16" t="n"/>
      <c r="AC14" s="15" t="n"/>
      <c r="AD14" s="16" t="n"/>
      <c r="AE14" s="15" t="n"/>
      <c r="AF14" s="16" t="n"/>
      <c r="AG14" s="15" t="n"/>
      <c r="AH14" s="16" t="n"/>
      <c r="AI14" s="17">
        <f>IFERROR(J14+L14+N14+P14+R14+T14+V14+X14+Z14+AB14+AD14+AF14+AH14,"")</f>
        <v/>
      </c>
      <c r="AJ14" s="18">
        <f>IFERROR(ROUND(AI14/39*100,0),"")</f>
        <v/>
      </c>
      <c r="AK14" s="19">
        <f>IFERROR(IF(AJ14&gt;=80,"🟢 Hyvä",IF(AJ14&gt;=60,"🟡 Kehitys","🔴 Prioriteetti")),"")</f>
        <v/>
      </c>
      <c r="AL14" s="19">
        <f>IFERROR(IF(OR(F14="PHV-huippu",AJ14&lt;60),"⚠️ MAX 60%","OK"),"")</f>
        <v/>
      </c>
      <c r="AM14" s="20" t="n"/>
      <c r="AN14" s="20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6" t="n"/>
      <c r="K15" s="15" t="n"/>
      <c r="L15" s="16" t="n"/>
      <c r="M15" s="15" t="n"/>
      <c r="N15" s="16" t="n"/>
      <c r="O15" s="15" t="n"/>
      <c r="P15" s="16" t="n"/>
      <c r="Q15" s="15" t="n"/>
      <c r="R15" s="16" t="n"/>
      <c r="S15" s="15" t="n"/>
      <c r="T15" s="16" t="n"/>
      <c r="U15" s="15" t="n"/>
      <c r="V15" s="16" t="n"/>
      <c r="W15" s="15" t="n"/>
      <c r="X15" s="16" t="n"/>
      <c r="Y15" s="15" t="n"/>
      <c r="Z15" s="16" t="n"/>
      <c r="AA15" s="15" t="n"/>
      <c r="AB15" s="16" t="n"/>
      <c r="AC15" s="15" t="n"/>
      <c r="AD15" s="16" t="n"/>
      <c r="AE15" s="15" t="n"/>
      <c r="AF15" s="16" t="n"/>
      <c r="AG15" s="15" t="n"/>
      <c r="AH15" s="16" t="n"/>
      <c r="AI15" s="17">
        <f>IFERROR(J15+L15+N15+P15+R15+T15+V15+X15+Z15+AB15+AD15+AF15+AH15,"")</f>
        <v/>
      </c>
      <c r="AJ15" s="18">
        <f>IFERROR(ROUND(AI15/39*100,0),"")</f>
        <v/>
      </c>
      <c r="AK15" s="19">
        <f>IFERROR(IF(AJ15&gt;=80,"🟢 Hyvä",IF(AJ15&gt;=60,"🟡 Kehitys","🔴 Prioriteetti")),"")</f>
        <v/>
      </c>
      <c r="AL15" s="19">
        <f>IFERROR(IF(OR(F15="PHV-huippu",AJ15&lt;60),"⚠️ MAX 60%","OK"),"")</f>
        <v/>
      </c>
      <c r="AM15" s="20" t="n"/>
      <c r="AN15" s="20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6" t="n"/>
      <c r="K16" s="15" t="n"/>
      <c r="L16" s="16" t="n"/>
      <c r="M16" s="15" t="n"/>
      <c r="N16" s="16" t="n"/>
      <c r="O16" s="15" t="n"/>
      <c r="P16" s="16" t="n"/>
      <c r="Q16" s="15" t="n"/>
      <c r="R16" s="16" t="n"/>
      <c r="S16" s="15" t="n"/>
      <c r="T16" s="16" t="n"/>
      <c r="U16" s="15" t="n"/>
      <c r="V16" s="16" t="n"/>
      <c r="W16" s="15" t="n"/>
      <c r="X16" s="16" t="n"/>
      <c r="Y16" s="15" t="n"/>
      <c r="Z16" s="16" t="n"/>
      <c r="AA16" s="15" t="n"/>
      <c r="AB16" s="16" t="n"/>
      <c r="AC16" s="15" t="n"/>
      <c r="AD16" s="16" t="n"/>
      <c r="AE16" s="15" t="n"/>
      <c r="AF16" s="16" t="n"/>
      <c r="AG16" s="15" t="n"/>
      <c r="AH16" s="16" t="n"/>
      <c r="AI16" s="17">
        <f>IFERROR(J16+L16+N16+P16+R16+T16+V16+X16+Z16+AB16+AD16+AF16+AH16,"")</f>
        <v/>
      </c>
      <c r="AJ16" s="18">
        <f>IFERROR(ROUND(AI16/39*100,0),"")</f>
        <v/>
      </c>
      <c r="AK16" s="19">
        <f>IFERROR(IF(AJ16&gt;=80,"🟢 Hyvä",IF(AJ16&gt;=60,"🟡 Kehitys","🔴 Prioriteetti")),"")</f>
        <v/>
      </c>
      <c r="AL16" s="19">
        <f>IFERROR(IF(OR(F16="PHV-huippu",AJ16&lt;60),"⚠️ MAX 60%","OK"),"")</f>
        <v/>
      </c>
      <c r="AM16" s="20" t="n"/>
      <c r="AN16" s="20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6" t="n"/>
      <c r="K17" s="15" t="n"/>
      <c r="L17" s="16" t="n"/>
      <c r="M17" s="15" t="n"/>
      <c r="N17" s="16" t="n"/>
      <c r="O17" s="15" t="n"/>
      <c r="P17" s="16" t="n"/>
      <c r="Q17" s="15" t="n"/>
      <c r="R17" s="16" t="n"/>
      <c r="S17" s="15" t="n"/>
      <c r="T17" s="16" t="n"/>
      <c r="U17" s="15" t="n"/>
      <c r="V17" s="16" t="n"/>
      <c r="W17" s="15" t="n"/>
      <c r="X17" s="16" t="n"/>
      <c r="Y17" s="15" t="n"/>
      <c r="Z17" s="16" t="n"/>
      <c r="AA17" s="15" t="n"/>
      <c r="AB17" s="16" t="n"/>
      <c r="AC17" s="15" t="n"/>
      <c r="AD17" s="16" t="n"/>
      <c r="AE17" s="15" t="n"/>
      <c r="AF17" s="16" t="n"/>
      <c r="AG17" s="15" t="n"/>
      <c r="AH17" s="16" t="n"/>
      <c r="AI17" s="17">
        <f>IFERROR(J17+L17+N17+P17+R17+T17+V17+X17+Z17+AB17+AD17+AF17+AH17,"")</f>
        <v/>
      </c>
      <c r="AJ17" s="18">
        <f>IFERROR(ROUND(AI17/39*100,0),"")</f>
        <v/>
      </c>
      <c r="AK17" s="19">
        <f>IFERROR(IF(AJ17&gt;=80,"🟢 Hyvä",IF(AJ17&gt;=60,"🟡 Kehitys","🔴 Prioriteetti")),"")</f>
        <v/>
      </c>
      <c r="AL17" s="19">
        <f>IFERROR(IF(OR(F17="PHV-huippu",AJ17&lt;60),"⚠️ MAX 60%","OK"),"")</f>
        <v/>
      </c>
      <c r="AM17" s="20" t="n"/>
      <c r="AN17" s="20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6" t="n"/>
      <c r="K18" s="15" t="n"/>
      <c r="L18" s="16" t="n"/>
      <c r="M18" s="15" t="n"/>
      <c r="N18" s="16" t="n"/>
      <c r="O18" s="15" t="n"/>
      <c r="P18" s="16" t="n"/>
      <c r="Q18" s="15" t="n"/>
      <c r="R18" s="16" t="n"/>
      <c r="S18" s="15" t="n"/>
      <c r="T18" s="16" t="n"/>
      <c r="U18" s="15" t="n"/>
      <c r="V18" s="16" t="n"/>
      <c r="W18" s="15" t="n"/>
      <c r="X18" s="16" t="n"/>
      <c r="Y18" s="15" t="n"/>
      <c r="Z18" s="16" t="n"/>
      <c r="AA18" s="15" t="n"/>
      <c r="AB18" s="16" t="n"/>
      <c r="AC18" s="15" t="n"/>
      <c r="AD18" s="16" t="n"/>
      <c r="AE18" s="15" t="n"/>
      <c r="AF18" s="16" t="n"/>
      <c r="AG18" s="15" t="n"/>
      <c r="AH18" s="16" t="n"/>
      <c r="AI18" s="17">
        <f>IFERROR(J18+L18+N18+P18+R18+T18+V18+X18+Z18+AB18+AD18+AF18+AH18,"")</f>
        <v/>
      </c>
      <c r="AJ18" s="18">
        <f>IFERROR(ROUND(AI18/39*100,0),"")</f>
        <v/>
      </c>
      <c r="AK18" s="19">
        <f>IFERROR(IF(AJ18&gt;=80,"🟢 Hyvä",IF(AJ18&gt;=60,"🟡 Kehitys","🔴 Prioriteetti")),"")</f>
        <v/>
      </c>
      <c r="AL18" s="19">
        <f>IFERROR(IF(OR(F18="PHV-huippu",AJ18&lt;60),"⚠️ MAX 60%","OK"),"")</f>
        <v/>
      </c>
      <c r="AM18" s="20" t="n"/>
      <c r="AN18" s="20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6" t="n"/>
      <c r="K19" s="15" t="n"/>
      <c r="L19" s="16" t="n"/>
      <c r="M19" s="15" t="n"/>
      <c r="N19" s="16" t="n"/>
      <c r="O19" s="15" t="n"/>
      <c r="P19" s="16" t="n"/>
      <c r="Q19" s="15" t="n"/>
      <c r="R19" s="16" t="n"/>
      <c r="S19" s="15" t="n"/>
      <c r="T19" s="16" t="n"/>
      <c r="U19" s="15" t="n"/>
      <c r="V19" s="16" t="n"/>
      <c r="W19" s="15" t="n"/>
      <c r="X19" s="16" t="n"/>
      <c r="Y19" s="15" t="n"/>
      <c r="Z19" s="16" t="n"/>
      <c r="AA19" s="15" t="n"/>
      <c r="AB19" s="16" t="n"/>
      <c r="AC19" s="15" t="n"/>
      <c r="AD19" s="16" t="n"/>
      <c r="AE19" s="15" t="n"/>
      <c r="AF19" s="16" t="n"/>
      <c r="AG19" s="15" t="n"/>
      <c r="AH19" s="16" t="n"/>
      <c r="AI19" s="17">
        <f>IFERROR(J19+L19+N19+P19+R19+T19+V19+X19+Z19+AB19+AD19+AF19+AH19,"")</f>
        <v/>
      </c>
      <c r="AJ19" s="18">
        <f>IFERROR(ROUND(AI19/39*100,0),"")</f>
        <v/>
      </c>
      <c r="AK19" s="19">
        <f>IFERROR(IF(AJ19&gt;=80,"🟢 Hyvä",IF(AJ19&gt;=60,"🟡 Kehitys","🔴 Prioriteetti")),"")</f>
        <v/>
      </c>
      <c r="AL19" s="19">
        <f>IFERROR(IF(OR(F19="PHV-huippu",AJ19&lt;60),"⚠️ MAX 60%","OK"),"")</f>
        <v/>
      </c>
      <c r="AM19" s="20" t="n"/>
      <c r="AN19" s="20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6" t="n"/>
      <c r="K20" s="15" t="n"/>
      <c r="L20" s="16" t="n"/>
      <c r="M20" s="15" t="n"/>
      <c r="N20" s="16" t="n"/>
      <c r="O20" s="15" t="n"/>
      <c r="P20" s="16" t="n"/>
      <c r="Q20" s="15" t="n"/>
      <c r="R20" s="16" t="n"/>
      <c r="S20" s="15" t="n"/>
      <c r="T20" s="16" t="n"/>
      <c r="U20" s="15" t="n"/>
      <c r="V20" s="16" t="n"/>
      <c r="W20" s="15" t="n"/>
      <c r="X20" s="16" t="n"/>
      <c r="Y20" s="15" t="n"/>
      <c r="Z20" s="16" t="n"/>
      <c r="AA20" s="15" t="n"/>
      <c r="AB20" s="16" t="n"/>
      <c r="AC20" s="15" t="n"/>
      <c r="AD20" s="16" t="n"/>
      <c r="AE20" s="15" t="n"/>
      <c r="AF20" s="16" t="n"/>
      <c r="AG20" s="15" t="n"/>
      <c r="AH20" s="16" t="n"/>
      <c r="AI20" s="17">
        <f>IFERROR(J20+L20+N20+P20+R20+T20+V20+X20+Z20+AB20+AD20+AF20+AH20,"")</f>
        <v/>
      </c>
      <c r="AJ20" s="18">
        <f>IFERROR(ROUND(AI20/39*100,0),"")</f>
        <v/>
      </c>
      <c r="AK20" s="19">
        <f>IFERROR(IF(AJ20&gt;=80,"🟢 Hyvä",IF(AJ20&gt;=60,"🟡 Kehitys","🔴 Prioriteetti")),"")</f>
        <v/>
      </c>
      <c r="AL20" s="19">
        <f>IFERROR(IF(OR(F20="PHV-huippu",AJ20&lt;60),"⚠️ MAX 60%","OK"),"")</f>
        <v/>
      </c>
      <c r="AM20" s="20" t="n"/>
      <c r="AN20" s="20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6" t="n"/>
      <c r="K21" s="15" t="n"/>
      <c r="L21" s="16" t="n"/>
      <c r="M21" s="15" t="n"/>
      <c r="N21" s="16" t="n"/>
      <c r="O21" s="15" t="n"/>
      <c r="P21" s="16" t="n"/>
      <c r="Q21" s="15" t="n"/>
      <c r="R21" s="16" t="n"/>
      <c r="S21" s="15" t="n"/>
      <c r="T21" s="16" t="n"/>
      <c r="U21" s="15" t="n"/>
      <c r="V21" s="16" t="n"/>
      <c r="W21" s="15" t="n"/>
      <c r="X21" s="16" t="n"/>
      <c r="Y21" s="15" t="n"/>
      <c r="Z21" s="16" t="n"/>
      <c r="AA21" s="15" t="n"/>
      <c r="AB21" s="16" t="n"/>
      <c r="AC21" s="15" t="n"/>
      <c r="AD21" s="16" t="n"/>
      <c r="AE21" s="15" t="n"/>
      <c r="AF21" s="16" t="n"/>
      <c r="AG21" s="15" t="n"/>
      <c r="AH21" s="16" t="n"/>
      <c r="AI21" s="17">
        <f>IFERROR(J21+L21+N21+P21+R21+T21+V21+X21+Z21+AB21+AD21+AF21+AH21,"")</f>
        <v/>
      </c>
      <c r="AJ21" s="18">
        <f>IFERROR(ROUND(AI21/39*100,0),"")</f>
        <v/>
      </c>
      <c r="AK21" s="19">
        <f>IFERROR(IF(AJ21&gt;=80,"🟢 Hyvä",IF(AJ21&gt;=60,"🟡 Kehitys","🔴 Prioriteetti")),"")</f>
        <v/>
      </c>
      <c r="AL21" s="19">
        <f>IFERROR(IF(OR(F21="PHV-huippu",AJ21&lt;60),"⚠️ MAX 60%","OK"),"")</f>
        <v/>
      </c>
      <c r="AM21" s="20" t="n"/>
      <c r="AN21" s="20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6" t="n"/>
      <c r="K22" s="15" t="n"/>
      <c r="L22" s="16" t="n"/>
      <c r="M22" s="15" t="n"/>
      <c r="N22" s="16" t="n"/>
      <c r="O22" s="15" t="n"/>
      <c r="P22" s="16" t="n"/>
      <c r="Q22" s="15" t="n"/>
      <c r="R22" s="16" t="n"/>
      <c r="S22" s="15" t="n"/>
      <c r="T22" s="16" t="n"/>
      <c r="U22" s="15" t="n"/>
      <c r="V22" s="16" t="n"/>
      <c r="W22" s="15" t="n"/>
      <c r="X22" s="16" t="n"/>
      <c r="Y22" s="15" t="n"/>
      <c r="Z22" s="16" t="n"/>
      <c r="AA22" s="15" t="n"/>
      <c r="AB22" s="16" t="n"/>
      <c r="AC22" s="15" t="n"/>
      <c r="AD22" s="16" t="n"/>
      <c r="AE22" s="15" t="n"/>
      <c r="AF22" s="16" t="n"/>
      <c r="AG22" s="15" t="n"/>
      <c r="AH22" s="16" t="n"/>
      <c r="AI22" s="17">
        <f>IFERROR(J22+L22+N22+P22+R22+T22+V22+X22+Z22+AB22+AD22+AF22+AH22,"")</f>
        <v/>
      </c>
      <c r="AJ22" s="18">
        <f>IFERROR(ROUND(AI22/39*100,0),"")</f>
        <v/>
      </c>
      <c r="AK22" s="19">
        <f>IFERROR(IF(AJ22&gt;=80,"🟢 Hyvä",IF(AJ22&gt;=60,"🟡 Kehitys","🔴 Prioriteetti")),"")</f>
        <v/>
      </c>
      <c r="AL22" s="19">
        <f>IFERROR(IF(OR(F22="PHV-huippu",AJ22&lt;60),"⚠️ MAX 60%","OK"),"")</f>
        <v/>
      </c>
      <c r="AM22" s="20" t="n"/>
      <c r="AN22" s="20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6" t="n"/>
      <c r="K23" s="15" t="n"/>
      <c r="L23" s="16" t="n"/>
      <c r="M23" s="15" t="n"/>
      <c r="N23" s="16" t="n"/>
      <c r="O23" s="15" t="n"/>
      <c r="P23" s="16" t="n"/>
      <c r="Q23" s="15" t="n"/>
      <c r="R23" s="16" t="n"/>
      <c r="S23" s="15" t="n"/>
      <c r="T23" s="16" t="n"/>
      <c r="U23" s="15" t="n"/>
      <c r="V23" s="16" t="n"/>
      <c r="W23" s="15" t="n"/>
      <c r="X23" s="16" t="n"/>
      <c r="Y23" s="15" t="n"/>
      <c r="Z23" s="16" t="n"/>
      <c r="AA23" s="15" t="n"/>
      <c r="AB23" s="16" t="n"/>
      <c r="AC23" s="15" t="n"/>
      <c r="AD23" s="16" t="n"/>
      <c r="AE23" s="15" t="n"/>
      <c r="AF23" s="16" t="n"/>
      <c r="AG23" s="15" t="n"/>
      <c r="AH23" s="16" t="n"/>
      <c r="AI23" s="17">
        <f>IFERROR(J23+L23+N23+P23+R23+T23+V23+X23+Z23+AB23+AD23+AF23+AH23,"")</f>
        <v/>
      </c>
      <c r="AJ23" s="18">
        <f>IFERROR(ROUND(AI23/39*100,0),"")</f>
        <v/>
      </c>
      <c r="AK23" s="19">
        <f>IFERROR(IF(AJ23&gt;=80,"🟢 Hyvä",IF(AJ23&gt;=60,"🟡 Kehitys","🔴 Prioriteetti")),"")</f>
        <v/>
      </c>
      <c r="AL23" s="19">
        <f>IFERROR(IF(OR(F23="PHV-huippu",AJ23&lt;60),"⚠️ MAX 60%","OK"),"")</f>
        <v/>
      </c>
      <c r="AM23" s="20" t="n"/>
      <c r="AN23" s="20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n"/>
      <c r="K24" s="15" t="n"/>
      <c r="L24" s="16" t="n"/>
      <c r="M24" s="15" t="n"/>
      <c r="N24" s="16" t="n"/>
      <c r="O24" s="15" t="n"/>
      <c r="P24" s="16" t="n"/>
      <c r="Q24" s="15" t="n"/>
      <c r="R24" s="16" t="n"/>
      <c r="S24" s="15" t="n"/>
      <c r="T24" s="16" t="n"/>
      <c r="U24" s="15" t="n"/>
      <c r="V24" s="16" t="n"/>
      <c r="W24" s="15" t="n"/>
      <c r="X24" s="16" t="n"/>
      <c r="Y24" s="15" t="n"/>
      <c r="Z24" s="16" t="n"/>
      <c r="AA24" s="15" t="n"/>
      <c r="AB24" s="16" t="n"/>
      <c r="AC24" s="15" t="n"/>
      <c r="AD24" s="16" t="n"/>
      <c r="AE24" s="15" t="n"/>
      <c r="AF24" s="16" t="n"/>
      <c r="AG24" s="15" t="n"/>
      <c r="AH24" s="16" t="n"/>
      <c r="AI24" s="17">
        <f>IFERROR(J24+L24+N24+P24+R24+T24+V24+X24+Z24+AB24+AD24+AF24+AH24,"")</f>
        <v/>
      </c>
      <c r="AJ24" s="18">
        <f>IFERROR(ROUND(AI24/39*100,0),"")</f>
        <v/>
      </c>
      <c r="AK24" s="19">
        <f>IFERROR(IF(AJ24&gt;=80,"🟢 Hyvä",IF(AJ24&gt;=60,"🟡 Kehitys","🔴 Prioriteetti")),"")</f>
        <v/>
      </c>
      <c r="AL24" s="19">
        <f>IFERROR(IF(OR(F24="PHV-huippu",AJ24&lt;60),"⚠️ MAX 60%","OK"),"")</f>
        <v/>
      </c>
      <c r="AM24" s="20" t="n"/>
      <c r="AN24" s="20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n"/>
      <c r="K25" s="15" t="n"/>
      <c r="L25" s="16" t="n"/>
      <c r="M25" s="15" t="n"/>
      <c r="N25" s="16" t="n"/>
      <c r="O25" s="15" t="n"/>
      <c r="P25" s="16" t="n"/>
      <c r="Q25" s="15" t="n"/>
      <c r="R25" s="16" t="n"/>
      <c r="S25" s="15" t="n"/>
      <c r="T25" s="16" t="n"/>
      <c r="U25" s="15" t="n"/>
      <c r="V25" s="16" t="n"/>
      <c r="W25" s="15" t="n"/>
      <c r="X25" s="16" t="n"/>
      <c r="Y25" s="15" t="n"/>
      <c r="Z25" s="16" t="n"/>
      <c r="AA25" s="15" t="n"/>
      <c r="AB25" s="16" t="n"/>
      <c r="AC25" s="15" t="n"/>
      <c r="AD25" s="16" t="n"/>
      <c r="AE25" s="15" t="n"/>
      <c r="AF25" s="16" t="n"/>
      <c r="AG25" s="15" t="n"/>
      <c r="AH25" s="16" t="n"/>
      <c r="AI25" s="17">
        <f>IFERROR(J25+L25+N25+P25+R25+T25+V25+X25+Z25+AB25+AD25+AF25+AH25,"")</f>
        <v/>
      </c>
      <c r="AJ25" s="18">
        <f>IFERROR(ROUND(AI25/39*100,0),"")</f>
        <v/>
      </c>
      <c r="AK25" s="19">
        <f>IFERROR(IF(AJ25&gt;=80,"🟢 Hyvä",IF(AJ25&gt;=60,"🟡 Kehitys","🔴 Prioriteetti")),"")</f>
        <v/>
      </c>
      <c r="AL25" s="19">
        <f>IFERROR(IF(OR(F25="PHV-huippu",AJ25&lt;60),"⚠️ MAX 60%","OK"),"")</f>
        <v/>
      </c>
      <c r="AM25" s="20" t="n"/>
      <c r="AN25" s="20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n"/>
      <c r="K26" s="15" t="n"/>
      <c r="L26" s="16" t="n"/>
      <c r="M26" s="15" t="n"/>
      <c r="N26" s="16" t="n"/>
      <c r="O26" s="15" t="n"/>
      <c r="P26" s="16" t="n"/>
      <c r="Q26" s="15" t="n"/>
      <c r="R26" s="16" t="n"/>
      <c r="S26" s="15" t="n"/>
      <c r="T26" s="16" t="n"/>
      <c r="U26" s="15" t="n"/>
      <c r="V26" s="16" t="n"/>
      <c r="W26" s="15" t="n"/>
      <c r="X26" s="16" t="n"/>
      <c r="Y26" s="15" t="n"/>
      <c r="Z26" s="16" t="n"/>
      <c r="AA26" s="15" t="n"/>
      <c r="AB26" s="16" t="n"/>
      <c r="AC26" s="15" t="n"/>
      <c r="AD26" s="16" t="n"/>
      <c r="AE26" s="15" t="n"/>
      <c r="AF26" s="16" t="n"/>
      <c r="AG26" s="15" t="n"/>
      <c r="AH26" s="16" t="n"/>
      <c r="AI26" s="17">
        <f>IFERROR(J26+L26+N26+P26+R26+T26+V26+X26+Z26+AB26+AD26+AF26+AH26,"")</f>
        <v/>
      </c>
      <c r="AJ26" s="18">
        <f>IFERROR(ROUND(AI26/39*100,0),"")</f>
        <v/>
      </c>
      <c r="AK26" s="19">
        <f>IFERROR(IF(AJ26&gt;=80,"🟢 Hyvä",IF(AJ26&gt;=60,"🟡 Kehitys","🔴 Prioriteetti")),"")</f>
        <v/>
      </c>
      <c r="AL26" s="19">
        <f>IFERROR(IF(OR(F26="PHV-huippu",AJ26&lt;60),"⚠️ MAX 60%","OK"),"")</f>
        <v/>
      </c>
      <c r="AM26" s="20" t="n"/>
      <c r="AN26" s="20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n"/>
      <c r="K27" s="15" t="n"/>
      <c r="L27" s="16" t="n"/>
      <c r="M27" s="15" t="n"/>
      <c r="N27" s="16" t="n"/>
      <c r="O27" s="15" t="n"/>
      <c r="P27" s="16" t="n"/>
      <c r="Q27" s="15" t="n"/>
      <c r="R27" s="16" t="n"/>
      <c r="S27" s="15" t="n"/>
      <c r="T27" s="16" t="n"/>
      <c r="U27" s="15" t="n"/>
      <c r="V27" s="16" t="n"/>
      <c r="W27" s="15" t="n"/>
      <c r="X27" s="16" t="n"/>
      <c r="Y27" s="15" t="n"/>
      <c r="Z27" s="16" t="n"/>
      <c r="AA27" s="15" t="n"/>
      <c r="AB27" s="16" t="n"/>
      <c r="AC27" s="15" t="n"/>
      <c r="AD27" s="16" t="n"/>
      <c r="AE27" s="15" t="n"/>
      <c r="AF27" s="16" t="n"/>
      <c r="AG27" s="15" t="n"/>
      <c r="AH27" s="16" t="n"/>
      <c r="AI27" s="17">
        <f>IFERROR(J27+L27+N27+P27+R27+T27+V27+X27+Z27+AB27+AD27+AF27+AH27,"")</f>
        <v/>
      </c>
      <c r="AJ27" s="18">
        <f>IFERROR(ROUND(AI27/39*100,0),"")</f>
        <v/>
      </c>
      <c r="AK27" s="19">
        <f>IFERROR(IF(AJ27&gt;=80,"🟢 Hyvä",IF(AJ27&gt;=60,"🟡 Kehitys","🔴 Prioriteetti")),"")</f>
        <v/>
      </c>
      <c r="AL27" s="19">
        <f>IFERROR(IF(OR(F27="PHV-huippu",AJ27&lt;60),"⚠️ MAX 60%","OK"),"")</f>
        <v/>
      </c>
      <c r="AM27" s="20" t="n"/>
      <c r="AN27" s="20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n"/>
      <c r="K28" s="15" t="n"/>
      <c r="L28" s="16" t="n"/>
      <c r="M28" s="15" t="n"/>
      <c r="N28" s="16" t="n"/>
      <c r="O28" s="15" t="n"/>
      <c r="P28" s="16" t="n"/>
      <c r="Q28" s="15" t="n"/>
      <c r="R28" s="16" t="n"/>
      <c r="S28" s="15" t="n"/>
      <c r="T28" s="16" t="n"/>
      <c r="U28" s="15" t="n"/>
      <c r="V28" s="16" t="n"/>
      <c r="W28" s="15" t="n"/>
      <c r="X28" s="16" t="n"/>
      <c r="Y28" s="15" t="n"/>
      <c r="Z28" s="16" t="n"/>
      <c r="AA28" s="15" t="n"/>
      <c r="AB28" s="16" t="n"/>
      <c r="AC28" s="15" t="n"/>
      <c r="AD28" s="16" t="n"/>
      <c r="AE28" s="15" t="n"/>
      <c r="AF28" s="16" t="n"/>
      <c r="AG28" s="15" t="n"/>
      <c r="AH28" s="16" t="n"/>
      <c r="AI28" s="17">
        <f>IFERROR(J28+L28+N28+P28+R28+T28+V28+X28+Z28+AB28+AD28+AF28+AH28,"")</f>
        <v/>
      </c>
      <c r="AJ28" s="18">
        <f>IFERROR(ROUND(AI28/39*100,0),"")</f>
        <v/>
      </c>
      <c r="AK28" s="19">
        <f>IFERROR(IF(AJ28&gt;=80,"🟢 Hyvä",IF(AJ28&gt;=60,"🟡 Kehitys","🔴 Prioriteetti")),"")</f>
        <v/>
      </c>
      <c r="AL28" s="19">
        <f>IFERROR(IF(OR(F28="PHV-huippu",AJ28&lt;60),"⚠️ MAX 60%","OK"),"")</f>
        <v/>
      </c>
      <c r="AM28" s="20" t="n"/>
      <c r="AN28" s="20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n"/>
      <c r="K29" s="15" t="n"/>
      <c r="L29" s="16" t="n"/>
      <c r="M29" s="15" t="n"/>
      <c r="N29" s="16" t="n"/>
      <c r="O29" s="15" t="n"/>
      <c r="P29" s="16" t="n"/>
      <c r="Q29" s="15" t="n"/>
      <c r="R29" s="16" t="n"/>
      <c r="S29" s="15" t="n"/>
      <c r="T29" s="16" t="n"/>
      <c r="U29" s="15" t="n"/>
      <c r="V29" s="16" t="n"/>
      <c r="W29" s="15" t="n"/>
      <c r="X29" s="16" t="n"/>
      <c r="Y29" s="15" t="n"/>
      <c r="Z29" s="16" t="n"/>
      <c r="AA29" s="15" t="n"/>
      <c r="AB29" s="16" t="n"/>
      <c r="AC29" s="15" t="n"/>
      <c r="AD29" s="16" t="n"/>
      <c r="AE29" s="15" t="n"/>
      <c r="AF29" s="16" t="n"/>
      <c r="AG29" s="15" t="n"/>
      <c r="AH29" s="16" t="n"/>
      <c r="AI29" s="17">
        <f>IFERROR(J29+L29+N29+P29+R29+T29+V29+X29+Z29+AB29+AD29+AF29+AH29,"")</f>
        <v/>
      </c>
      <c r="AJ29" s="18">
        <f>IFERROR(ROUND(AI29/39*100,0),"")</f>
        <v/>
      </c>
      <c r="AK29" s="19">
        <f>IFERROR(IF(AJ29&gt;=80,"🟢 Hyvä",IF(AJ29&gt;=60,"🟡 Kehitys","🔴 Prioriteetti")),"")</f>
        <v/>
      </c>
      <c r="AL29" s="19">
        <f>IFERROR(IF(OR(F29="PHV-huippu",AJ29&lt;60),"⚠️ MAX 60%","OK"),"")</f>
        <v/>
      </c>
      <c r="AM29" s="20" t="n"/>
      <c r="AN29" s="20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n"/>
      <c r="K30" s="15" t="n"/>
      <c r="L30" s="16" t="n"/>
      <c r="M30" s="15" t="n"/>
      <c r="N30" s="16" t="n"/>
      <c r="O30" s="15" t="n"/>
      <c r="P30" s="16" t="n"/>
      <c r="Q30" s="15" t="n"/>
      <c r="R30" s="16" t="n"/>
      <c r="S30" s="15" t="n"/>
      <c r="T30" s="16" t="n"/>
      <c r="U30" s="15" t="n"/>
      <c r="V30" s="16" t="n"/>
      <c r="W30" s="15" t="n"/>
      <c r="X30" s="16" t="n"/>
      <c r="Y30" s="15" t="n"/>
      <c r="Z30" s="16" t="n"/>
      <c r="AA30" s="15" t="n"/>
      <c r="AB30" s="16" t="n"/>
      <c r="AC30" s="15" t="n"/>
      <c r="AD30" s="16" t="n"/>
      <c r="AE30" s="15" t="n"/>
      <c r="AF30" s="16" t="n"/>
      <c r="AG30" s="15" t="n"/>
      <c r="AH30" s="16" t="n"/>
      <c r="AI30" s="17">
        <f>IFERROR(J30+L30+N30+P30+R30+T30+V30+X30+Z30+AB30+AD30+AF30+AH30,"")</f>
        <v/>
      </c>
      <c r="AJ30" s="18">
        <f>IFERROR(ROUND(AI30/39*100,0),"")</f>
        <v/>
      </c>
      <c r="AK30" s="19">
        <f>IFERROR(IF(AJ30&gt;=80,"🟢 Hyvä",IF(AJ30&gt;=60,"🟡 Kehitys","🔴 Prioriteetti")),"")</f>
        <v/>
      </c>
      <c r="AL30" s="19">
        <f>IFERROR(IF(OR(F30="PHV-huippu",AJ30&lt;60),"⚠️ MAX 60%","OK"),"")</f>
        <v/>
      </c>
      <c r="AM30" s="20" t="n"/>
      <c r="AN30" s="20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n"/>
      <c r="K31" s="15" t="n"/>
      <c r="L31" s="16" t="n"/>
      <c r="M31" s="15" t="n"/>
      <c r="N31" s="16" t="n"/>
      <c r="O31" s="15" t="n"/>
      <c r="P31" s="16" t="n"/>
      <c r="Q31" s="15" t="n"/>
      <c r="R31" s="16" t="n"/>
      <c r="S31" s="15" t="n"/>
      <c r="T31" s="16" t="n"/>
      <c r="U31" s="15" t="n"/>
      <c r="V31" s="16" t="n"/>
      <c r="W31" s="15" t="n"/>
      <c r="X31" s="16" t="n"/>
      <c r="Y31" s="15" t="n"/>
      <c r="Z31" s="16" t="n"/>
      <c r="AA31" s="15" t="n"/>
      <c r="AB31" s="16" t="n"/>
      <c r="AC31" s="15" t="n"/>
      <c r="AD31" s="16" t="n"/>
      <c r="AE31" s="15" t="n"/>
      <c r="AF31" s="16" t="n"/>
      <c r="AG31" s="15" t="n"/>
      <c r="AH31" s="16" t="n"/>
      <c r="AI31" s="17">
        <f>IFERROR(J31+L31+N31+P31+R31+T31+V31+X31+Z31+AB31+AD31+AF31+AH31,"")</f>
        <v/>
      </c>
      <c r="AJ31" s="18">
        <f>IFERROR(ROUND(AI31/39*100,0),"")</f>
        <v/>
      </c>
      <c r="AK31" s="19">
        <f>IFERROR(IF(AJ31&gt;=80,"🟢 Hyvä",IF(AJ31&gt;=60,"🟡 Kehitys","🔴 Prioriteetti")),"")</f>
        <v/>
      </c>
      <c r="AL31" s="19">
        <f>IFERROR(IF(OR(F31="PHV-huippu",AJ31&lt;60),"⚠️ MAX 60%","OK"),"")</f>
        <v/>
      </c>
      <c r="AM31" s="20" t="n"/>
      <c r="AN31" s="20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6" t="n"/>
      <c r="K32" s="15" t="n"/>
      <c r="L32" s="16" t="n"/>
      <c r="M32" s="15" t="n"/>
      <c r="N32" s="16" t="n"/>
      <c r="O32" s="15" t="n"/>
      <c r="P32" s="16" t="n"/>
      <c r="Q32" s="15" t="n"/>
      <c r="R32" s="16" t="n"/>
      <c r="S32" s="15" t="n"/>
      <c r="T32" s="16" t="n"/>
      <c r="U32" s="15" t="n"/>
      <c r="V32" s="16" t="n"/>
      <c r="W32" s="15" t="n"/>
      <c r="X32" s="16" t="n"/>
      <c r="Y32" s="15" t="n"/>
      <c r="Z32" s="16" t="n"/>
      <c r="AA32" s="15" t="n"/>
      <c r="AB32" s="16" t="n"/>
      <c r="AC32" s="15" t="n"/>
      <c r="AD32" s="16" t="n"/>
      <c r="AE32" s="15" t="n"/>
      <c r="AF32" s="16" t="n"/>
      <c r="AG32" s="15" t="n"/>
      <c r="AH32" s="16" t="n"/>
      <c r="AI32" s="17">
        <f>IFERROR(J32+L32+N32+P32+R32+T32+V32+X32+Z32+AB32+AD32+AF32+AH32,"")</f>
        <v/>
      </c>
      <c r="AJ32" s="18">
        <f>IFERROR(ROUND(AI32/39*100,0),"")</f>
        <v/>
      </c>
      <c r="AK32" s="19">
        <f>IFERROR(IF(AJ32&gt;=80,"🟢 Hyvä",IF(AJ32&gt;=60,"🟡 Kehitys","🔴 Prioriteetti")),"")</f>
        <v/>
      </c>
      <c r="AL32" s="19">
        <f>IFERROR(IF(OR(F32="PHV-huippu",AJ32&lt;60),"⚠️ MAX 60%","OK"),"")</f>
        <v/>
      </c>
      <c r="AM32" s="20" t="n"/>
      <c r="AN32" s="20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n"/>
      <c r="K33" s="15" t="n"/>
      <c r="L33" s="16" t="n"/>
      <c r="M33" s="15" t="n"/>
      <c r="N33" s="16" t="n"/>
      <c r="O33" s="15" t="n"/>
      <c r="P33" s="16" t="n"/>
      <c r="Q33" s="15" t="n"/>
      <c r="R33" s="16" t="n"/>
      <c r="S33" s="15" t="n"/>
      <c r="T33" s="16" t="n"/>
      <c r="U33" s="15" t="n"/>
      <c r="V33" s="16" t="n"/>
      <c r="W33" s="15" t="n"/>
      <c r="X33" s="16" t="n"/>
      <c r="Y33" s="15" t="n"/>
      <c r="Z33" s="16" t="n"/>
      <c r="AA33" s="15" t="n"/>
      <c r="AB33" s="16" t="n"/>
      <c r="AC33" s="15" t="n"/>
      <c r="AD33" s="16" t="n"/>
      <c r="AE33" s="15" t="n"/>
      <c r="AF33" s="16" t="n"/>
      <c r="AG33" s="15" t="n"/>
      <c r="AH33" s="16" t="n"/>
      <c r="AI33" s="17">
        <f>IFERROR(J33+L33+N33+P33+R33+T33+V33+X33+Z33+AB33+AD33+AF33+AH33,"")</f>
        <v/>
      </c>
      <c r="AJ33" s="18">
        <f>IFERROR(ROUND(AI33/39*100,0),"")</f>
        <v/>
      </c>
      <c r="AK33" s="19">
        <f>IFERROR(IF(AJ33&gt;=80,"🟢 Hyvä",IF(AJ33&gt;=60,"🟡 Kehitys","🔴 Prioriteetti")),"")</f>
        <v/>
      </c>
      <c r="AL33" s="19">
        <f>IFERROR(IF(OR(F33="PHV-huippu",AJ33&lt;60),"⚠️ MAX 60%","OK"),"")</f>
        <v/>
      </c>
      <c r="AM33" s="20" t="n"/>
      <c r="AN33" s="20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6" t="n"/>
      <c r="K34" s="15" t="n"/>
      <c r="L34" s="16" t="n"/>
      <c r="M34" s="15" t="n"/>
      <c r="N34" s="16" t="n"/>
      <c r="O34" s="15" t="n"/>
      <c r="P34" s="16" t="n"/>
      <c r="Q34" s="15" t="n"/>
      <c r="R34" s="16" t="n"/>
      <c r="S34" s="15" t="n"/>
      <c r="T34" s="16" t="n"/>
      <c r="U34" s="15" t="n"/>
      <c r="V34" s="16" t="n"/>
      <c r="W34" s="15" t="n"/>
      <c r="X34" s="16" t="n"/>
      <c r="Y34" s="15" t="n"/>
      <c r="Z34" s="16" t="n"/>
      <c r="AA34" s="15" t="n"/>
      <c r="AB34" s="16" t="n"/>
      <c r="AC34" s="15" t="n"/>
      <c r="AD34" s="16" t="n"/>
      <c r="AE34" s="15" t="n"/>
      <c r="AF34" s="16" t="n"/>
      <c r="AG34" s="15" t="n"/>
      <c r="AH34" s="16" t="n"/>
      <c r="AI34" s="17">
        <f>IFERROR(J34+L34+N34+P34+R34+T34+V34+X34+Z34+AB34+AD34+AF34+AH34,"")</f>
        <v/>
      </c>
      <c r="AJ34" s="18">
        <f>IFERROR(ROUND(AI34/39*100,0),"")</f>
        <v/>
      </c>
      <c r="AK34" s="19">
        <f>IFERROR(IF(AJ34&gt;=80,"🟢 Hyvä",IF(AJ34&gt;=60,"🟡 Kehitys","🔴 Prioriteetti")),"")</f>
        <v/>
      </c>
      <c r="AL34" s="19">
        <f>IFERROR(IF(OR(F34="PHV-huippu",AJ34&lt;60),"⚠️ MAX 60%","OK"),"")</f>
        <v/>
      </c>
      <c r="AM34" s="20" t="n"/>
      <c r="AN34" s="20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6" t="n"/>
      <c r="K35" s="15" t="n"/>
      <c r="L35" s="16" t="n"/>
      <c r="M35" s="15" t="n"/>
      <c r="N35" s="16" t="n"/>
      <c r="O35" s="15" t="n"/>
      <c r="P35" s="16" t="n"/>
      <c r="Q35" s="15" t="n"/>
      <c r="R35" s="16" t="n"/>
      <c r="S35" s="15" t="n"/>
      <c r="T35" s="16" t="n"/>
      <c r="U35" s="15" t="n"/>
      <c r="V35" s="16" t="n"/>
      <c r="W35" s="15" t="n"/>
      <c r="X35" s="16" t="n"/>
      <c r="Y35" s="15" t="n"/>
      <c r="Z35" s="16" t="n"/>
      <c r="AA35" s="15" t="n"/>
      <c r="AB35" s="16" t="n"/>
      <c r="AC35" s="15" t="n"/>
      <c r="AD35" s="16" t="n"/>
      <c r="AE35" s="15" t="n"/>
      <c r="AF35" s="16" t="n"/>
      <c r="AG35" s="15" t="n"/>
      <c r="AH35" s="16" t="n"/>
      <c r="AI35" s="17">
        <f>IFERROR(J35+L35+N35+P35+R35+T35+V35+X35+Z35+AB35+AD35+AF35+AH35,"")</f>
        <v/>
      </c>
      <c r="AJ35" s="18">
        <f>IFERROR(ROUND(AI35/39*100,0),"")</f>
        <v/>
      </c>
      <c r="AK35" s="19">
        <f>IFERROR(IF(AJ35&gt;=80,"🟢 Hyvä",IF(AJ35&gt;=60,"🟡 Kehitys","🔴 Prioriteetti")),"")</f>
        <v/>
      </c>
      <c r="AL35" s="19">
        <f>IFERROR(IF(OR(F35="PHV-huippu",AJ35&lt;60),"⚠️ MAX 60%","OK"),"")</f>
        <v/>
      </c>
      <c r="AM35" s="20" t="n"/>
      <c r="AN35" s="20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6" t="n"/>
      <c r="K36" s="15" t="n"/>
      <c r="L36" s="16" t="n"/>
      <c r="M36" s="15" t="n"/>
      <c r="N36" s="16" t="n"/>
      <c r="O36" s="15" t="n"/>
      <c r="P36" s="16" t="n"/>
      <c r="Q36" s="15" t="n"/>
      <c r="R36" s="16" t="n"/>
      <c r="S36" s="15" t="n"/>
      <c r="T36" s="16" t="n"/>
      <c r="U36" s="15" t="n"/>
      <c r="V36" s="16" t="n"/>
      <c r="W36" s="15" t="n"/>
      <c r="X36" s="16" t="n"/>
      <c r="Y36" s="15" t="n"/>
      <c r="Z36" s="16" t="n"/>
      <c r="AA36" s="15" t="n"/>
      <c r="AB36" s="16" t="n"/>
      <c r="AC36" s="15" t="n"/>
      <c r="AD36" s="16" t="n"/>
      <c r="AE36" s="15" t="n"/>
      <c r="AF36" s="16" t="n"/>
      <c r="AG36" s="15" t="n"/>
      <c r="AH36" s="16" t="n"/>
      <c r="AI36" s="17">
        <f>IFERROR(J36+L36+N36+P36+R36+T36+V36+X36+Z36+AB36+AD36+AF36+AH36,"")</f>
        <v/>
      </c>
      <c r="AJ36" s="18">
        <f>IFERROR(ROUND(AI36/39*100,0),"")</f>
        <v/>
      </c>
      <c r="AK36" s="19">
        <f>IFERROR(IF(AJ36&gt;=80,"🟢 Hyvä",IF(AJ36&gt;=60,"🟡 Kehitys","🔴 Prioriteetti")),"")</f>
        <v/>
      </c>
      <c r="AL36" s="19">
        <f>IFERROR(IF(OR(F36="PHV-huippu",AJ36&lt;60),"⚠️ MAX 60%","OK"),"")</f>
        <v/>
      </c>
      <c r="AM36" s="20" t="n"/>
      <c r="AN36" s="20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6" t="n"/>
      <c r="K37" s="15" t="n"/>
      <c r="L37" s="16" t="n"/>
      <c r="M37" s="15" t="n"/>
      <c r="N37" s="16" t="n"/>
      <c r="O37" s="15" t="n"/>
      <c r="P37" s="16" t="n"/>
      <c r="Q37" s="15" t="n"/>
      <c r="R37" s="16" t="n"/>
      <c r="S37" s="15" t="n"/>
      <c r="T37" s="16" t="n"/>
      <c r="U37" s="15" t="n"/>
      <c r="V37" s="16" t="n"/>
      <c r="W37" s="15" t="n"/>
      <c r="X37" s="16" t="n"/>
      <c r="Y37" s="15" t="n"/>
      <c r="Z37" s="16" t="n"/>
      <c r="AA37" s="15" t="n"/>
      <c r="AB37" s="16" t="n"/>
      <c r="AC37" s="15" t="n"/>
      <c r="AD37" s="16" t="n"/>
      <c r="AE37" s="15" t="n"/>
      <c r="AF37" s="16" t="n"/>
      <c r="AG37" s="15" t="n"/>
      <c r="AH37" s="16" t="n"/>
      <c r="AI37" s="17">
        <f>IFERROR(J37+L37+N37+P37+R37+T37+V37+X37+Z37+AB37+AD37+AF37+AH37,"")</f>
        <v/>
      </c>
      <c r="AJ37" s="18">
        <f>IFERROR(ROUND(AI37/39*100,0),"")</f>
        <v/>
      </c>
      <c r="AK37" s="19">
        <f>IFERROR(IF(AJ37&gt;=80,"🟢 Hyvä",IF(AJ37&gt;=60,"🟡 Kehitys","🔴 Prioriteetti")),"")</f>
        <v/>
      </c>
      <c r="AL37" s="19">
        <f>IFERROR(IF(OR(F37="PHV-huippu",AJ37&lt;60),"⚠️ MAX 60%","OK"),"")</f>
        <v/>
      </c>
      <c r="AM37" s="20" t="n"/>
      <c r="AN37" s="20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6" t="n"/>
      <c r="K38" s="15" t="n"/>
      <c r="L38" s="16" t="n"/>
      <c r="M38" s="15" t="n"/>
      <c r="N38" s="16" t="n"/>
      <c r="O38" s="15" t="n"/>
      <c r="P38" s="16" t="n"/>
      <c r="Q38" s="15" t="n"/>
      <c r="R38" s="16" t="n"/>
      <c r="S38" s="15" t="n"/>
      <c r="T38" s="16" t="n"/>
      <c r="U38" s="15" t="n"/>
      <c r="V38" s="16" t="n"/>
      <c r="W38" s="15" t="n"/>
      <c r="X38" s="16" t="n"/>
      <c r="Y38" s="15" t="n"/>
      <c r="Z38" s="16" t="n"/>
      <c r="AA38" s="15" t="n"/>
      <c r="AB38" s="16" t="n"/>
      <c r="AC38" s="15" t="n"/>
      <c r="AD38" s="16" t="n"/>
      <c r="AE38" s="15" t="n"/>
      <c r="AF38" s="16" t="n"/>
      <c r="AG38" s="15" t="n"/>
      <c r="AH38" s="16" t="n"/>
      <c r="AI38" s="17">
        <f>IFERROR(J38+L38+N38+P38+R38+T38+V38+X38+Z38+AB38+AD38+AF38+AH38,"")</f>
        <v/>
      </c>
      <c r="AJ38" s="18">
        <f>IFERROR(ROUND(AI38/39*100,0),"")</f>
        <v/>
      </c>
      <c r="AK38" s="19">
        <f>IFERROR(IF(AJ38&gt;=80,"🟢 Hyvä",IF(AJ38&gt;=60,"🟡 Kehitys","🔴 Prioriteetti")),"")</f>
        <v/>
      </c>
      <c r="AL38" s="19">
        <f>IFERROR(IF(OR(F38="PHV-huippu",AJ38&lt;60),"⚠️ MAX 60%","OK"),"")</f>
        <v/>
      </c>
      <c r="AM38" s="20" t="n"/>
      <c r="AN38" s="20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6" t="n"/>
      <c r="K39" s="15" t="n"/>
      <c r="L39" s="16" t="n"/>
      <c r="M39" s="15" t="n"/>
      <c r="N39" s="16" t="n"/>
      <c r="O39" s="15" t="n"/>
      <c r="P39" s="16" t="n"/>
      <c r="Q39" s="15" t="n"/>
      <c r="R39" s="16" t="n"/>
      <c r="S39" s="15" t="n"/>
      <c r="T39" s="16" t="n"/>
      <c r="U39" s="15" t="n"/>
      <c r="V39" s="16" t="n"/>
      <c r="W39" s="15" t="n"/>
      <c r="X39" s="16" t="n"/>
      <c r="Y39" s="15" t="n"/>
      <c r="Z39" s="16" t="n"/>
      <c r="AA39" s="15" t="n"/>
      <c r="AB39" s="16" t="n"/>
      <c r="AC39" s="15" t="n"/>
      <c r="AD39" s="16" t="n"/>
      <c r="AE39" s="15" t="n"/>
      <c r="AF39" s="16" t="n"/>
      <c r="AG39" s="15" t="n"/>
      <c r="AH39" s="16" t="n"/>
      <c r="AI39" s="17">
        <f>IFERROR(J39+L39+N39+P39+R39+T39+V39+X39+Z39+AB39+AD39+AF39+AH39,"")</f>
        <v/>
      </c>
      <c r="AJ39" s="18">
        <f>IFERROR(ROUND(AI39/39*100,0),"")</f>
        <v/>
      </c>
      <c r="AK39" s="19">
        <f>IFERROR(IF(AJ39&gt;=80,"🟢 Hyvä",IF(AJ39&gt;=60,"🟡 Kehitys","🔴 Prioriteetti")),"")</f>
        <v/>
      </c>
      <c r="AL39" s="19">
        <f>IFERROR(IF(OR(F39="PHV-huippu",AJ39&lt;60),"⚠️ MAX 60%","OK"),"")</f>
        <v/>
      </c>
      <c r="AM39" s="20" t="n"/>
      <c r="AN39" s="20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6" t="n"/>
      <c r="K40" s="15" t="n"/>
      <c r="L40" s="16" t="n"/>
      <c r="M40" s="15" t="n"/>
      <c r="N40" s="16" t="n"/>
      <c r="O40" s="15" t="n"/>
      <c r="P40" s="16" t="n"/>
      <c r="Q40" s="15" t="n"/>
      <c r="R40" s="16" t="n"/>
      <c r="S40" s="15" t="n"/>
      <c r="T40" s="16" t="n"/>
      <c r="U40" s="15" t="n"/>
      <c r="V40" s="16" t="n"/>
      <c r="W40" s="15" t="n"/>
      <c r="X40" s="16" t="n"/>
      <c r="Y40" s="15" t="n"/>
      <c r="Z40" s="16" t="n"/>
      <c r="AA40" s="15" t="n"/>
      <c r="AB40" s="16" t="n"/>
      <c r="AC40" s="15" t="n"/>
      <c r="AD40" s="16" t="n"/>
      <c r="AE40" s="15" t="n"/>
      <c r="AF40" s="16" t="n"/>
      <c r="AG40" s="15" t="n"/>
      <c r="AH40" s="16" t="n"/>
      <c r="AI40" s="17">
        <f>IFERROR(J40+L40+N40+P40+R40+T40+V40+X40+Z40+AB40+AD40+AF40+AH40,"")</f>
        <v/>
      </c>
      <c r="AJ40" s="18">
        <f>IFERROR(ROUND(AI40/39*100,0),"")</f>
        <v/>
      </c>
      <c r="AK40" s="19">
        <f>IFERROR(IF(AJ40&gt;=80,"🟢 Hyvä",IF(AJ40&gt;=60,"🟡 Kehitys","🔴 Prioriteetti")),"")</f>
        <v/>
      </c>
      <c r="AL40" s="19">
        <f>IFERROR(IF(OR(F40="PHV-huippu",AJ40&lt;60),"⚠️ MAX 60%","OK"),"")</f>
        <v/>
      </c>
      <c r="AM40" s="20" t="n"/>
      <c r="AN40" s="20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6" t="n"/>
      <c r="K41" s="15" t="n"/>
      <c r="L41" s="16" t="n"/>
      <c r="M41" s="15" t="n"/>
      <c r="N41" s="16" t="n"/>
      <c r="O41" s="15" t="n"/>
      <c r="P41" s="16" t="n"/>
      <c r="Q41" s="15" t="n"/>
      <c r="R41" s="16" t="n"/>
      <c r="S41" s="15" t="n"/>
      <c r="T41" s="16" t="n"/>
      <c r="U41" s="15" t="n"/>
      <c r="V41" s="16" t="n"/>
      <c r="W41" s="15" t="n"/>
      <c r="X41" s="16" t="n"/>
      <c r="Y41" s="15" t="n"/>
      <c r="Z41" s="16" t="n"/>
      <c r="AA41" s="15" t="n"/>
      <c r="AB41" s="16" t="n"/>
      <c r="AC41" s="15" t="n"/>
      <c r="AD41" s="16" t="n"/>
      <c r="AE41" s="15" t="n"/>
      <c r="AF41" s="16" t="n"/>
      <c r="AG41" s="15" t="n"/>
      <c r="AH41" s="16" t="n"/>
      <c r="AI41" s="17">
        <f>IFERROR(J41+L41+N41+P41+R41+T41+V41+X41+Z41+AB41+AD41+AF41+AH41,"")</f>
        <v/>
      </c>
      <c r="AJ41" s="18">
        <f>IFERROR(ROUND(AI41/39*100,0),"")</f>
        <v/>
      </c>
      <c r="AK41" s="19">
        <f>IFERROR(IF(AJ41&gt;=80,"🟢 Hyvä",IF(AJ41&gt;=60,"🟡 Kehitys","🔴 Prioriteetti")),"")</f>
        <v/>
      </c>
      <c r="AL41" s="19">
        <f>IFERROR(IF(OR(F41="PHV-huippu",AJ41&lt;60),"⚠️ MAX 60%","OK"),"")</f>
        <v/>
      </c>
      <c r="AM41" s="20" t="n"/>
      <c r="AN41" s="20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6" t="n"/>
      <c r="K42" s="15" t="n"/>
      <c r="L42" s="16" t="n"/>
      <c r="M42" s="15" t="n"/>
      <c r="N42" s="16" t="n"/>
      <c r="O42" s="15" t="n"/>
      <c r="P42" s="16" t="n"/>
      <c r="Q42" s="15" t="n"/>
      <c r="R42" s="16" t="n"/>
      <c r="S42" s="15" t="n"/>
      <c r="T42" s="16" t="n"/>
      <c r="U42" s="15" t="n"/>
      <c r="V42" s="16" t="n"/>
      <c r="W42" s="15" t="n"/>
      <c r="X42" s="16" t="n"/>
      <c r="Y42" s="15" t="n"/>
      <c r="Z42" s="16" t="n"/>
      <c r="AA42" s="15" t="n"/>
      <c r="AB42" s="16" t="n"/>
      <c r="AC42" s="15" t="n"/>
      <c r="AD42" s="16" t="n"/>
      <c r="AE42" s="15" t="n"/>
      <c r="AF42" s="16" t="n"/>
      <c r="AG42" s="15" t="n"/>
      <c r="AH42" s="16" t="n"/>
      <c r="AI42" s="17">
        <f>IFERROR(J42+L42+N42+P42+R42+T42+V42+X42+Z42+AB42+AD42+AF42+AH42,"")</f>
        <v/>
      </c>
      <c r="AJ42" s="18">
        <f>IFERROR(ROUND(AI42/39*100,0),"")</f>
        <v/>
      </c>
      <c r="AK42" s="19">
        <f>IFERROR(IF(AJ42&gt;=80,"🟢 Hyvä",IF(AJ42&gt;=60,"🟡 Kehitys","🔴 Prioriteetti")),"")</f>
        <v/>
      </c>
      <c r="AL42" s="19">
        <f>IFERROR(IF(OR(F42="PHV-huippu",AJ42&lt;60),"⚠️ MAX 60%","OK"),"")</f>
        <v/>
      </c>
      <c r="AM42" s="20" t="n"/>
      <c r="AN42" s="20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6" t="n"/>
      <c r="K43" s="15" t="n"/>
      <c r="L43" s="16" t="n"/>
      <c r="M43" s="15" t="n"/>
      <c r="N43" s="16" t="n"/>
      <c r="O43" s="15" t="n"/>
      <c r="P43" s="16" t="n"/>
      <c r="Q43" s="15" t="n"/>
      <c r="R43" s="16" t="n"/>
      <c r="S43" s="15" t="n"/>
      <c r="T43" s="16" t="n"/>
      <c r="U43" s="15" t="n"/>
      <c r="V43" s="16" t="n"/>
      <c r="W43" s="15" t="n"/>
      <c r="X43" s="16" t="n"/>
      <c r="Y43" s="15" t="n"/>
      <c r="Z43" s="16" t="n"/>
      <c r="AA43" s="15" t="n"/>
      <c r="AB43" s="16" t="n"/>
      <c r="AC43" s="15" t="n"/>
      <c r="AD43" s="16" t="n"/>
      <c r="AE43" s="15" t="n"/>
      <c r="AF43" s="16" t="n"/>
      <c r="AG43" s="15" t="n"/>
      <c r="AH43" s="16" t="n"/>
      <c r="AI43" s="17">
        <f>IFERROR(J43+L43+N43+P43+R43+T43+V43+X43+Z43+AB43+AD43+AF43+AH43,"")</f>
        <v/>
      </c>
      <c r="AJ43" s="18">
        <f>IFERROR(ROUND(AI43/39*100,0),"")</f>
        <v/>
      </c>
      <c r="AK43" s="19">
        <f>IFERROR(IF(AJ43&gt;=80,"🟢 Hyvä",IF(AJ43&gt;=60,"🟡 Kehitys","🔴 Prioriteetti")),"")</f>
        <v/>
      </c>
      <c r="AL43" s="19">
        <f>IFERROR(IF(OR(F43="PHV-huippu",AJ43&lt;60),"⚠️ MAX 60%","OK"),"")</f>
        <v/>
      </c>
      <c r="AM43" s="20" t="n"/>
      <c r="AN43" s="20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6" t="n"/>
      <c r="K44" s="15" t="n"/>
      <c r="L44" s="16" t="n"/>
      <c r="M44" s="15" t="n"/>
      <c r="N44" s="16" t="n"/>
      <c r="O44" s="15" t="n"/>
      <c r="P44" s="16" t="n"/>
      <c r="Q44" s="15" t="n"/>
      <c r="R44" s="16" t="n"/>
      <c r="S44" s="15" t="n"/>
      <c r="T44" s="16" t="n"/>
      <c r="U44" s="15" t="n"/>
      <c r="V44" s="16" t="n"/>
      <c r="W44" s="15" t="n"/>
      <c r="X44" s="16" t="n"/>
      <c r="Y44" s="15" t="n"/>
      <c r="Z44" s="16" t="n"/>
      <c r="AA44" s="15" t="n"/>
      <c r="AB44" s="16" t="n"/>
      <c r="AC44" s="15" t="n"/>
      <c r="AD44" s="16" t="n"/>
      <c r="AE44" s="15" t="n"/>
      <c r="AF44" s="16" t="n"/>
      <c r="AG44" s="15" t="n"/>
      <c r="AH44" s="16" t="n"/>
      <c r="AI44" s="17">
        <f>IFERROR(J44+L44+N44+P44+R44+T44+V44+X44+Z44+AB44+AD44+AF44+AH44,"")</f>
        <v/>
      </c>
      <c r="AJ44" s="18">
        <f>IFERROR(ROUND(AI44/39*100,0),"")</f>
        <v/>
      </c>
      <c r="AK44" s="19">
        <f>IFERROR(IF(AJ44&gt;=80,"🟢 Hyvä",IF(AJ44&gt;=60,"🟡 Kehitys","🔴 Prioriteetti")),"")</f>
        <v/>
      </c>
      <c r="AL44" s="19">
        <f>IFERROR(IF(OR(F44="PHV-huippu",AJ44&lt;60),"⚠️ MAX 60%","OK"),"")</f>
        <v/>
      </c>
      <c r="AM44" s="20" t="n"/>
      <c r="AN44" s="20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6" t="n"/>
      <c r="K45" s="15" t="n"/>
      <c r="L45" s="16" t="n"/>
      <c r="M45" s="15" t="n"/>
      <c r="N45" s="16" t="n"/>
      <c r="O45" s="15" t="n"/>
      <c r="P45" s="16" t="n"/>
      <c r="Q45" s="15" t="n"/>
      <c r="R45" s="16" t="n"/>
      <c r="S45" s="15" t="n"/>
      <c r="T45" s="16" t="n"/>
      <c r="U45" s="15" t="n"/>
      <c r="V45" s="16" t="n"/>
      <c r="W45" s="15" t="n"/>
      <c r="X45" s="16" t="n"/>
      <c r="Y45" s="15" t="n"/>
      <c r="Z45" s="16" t="n"/>
      <c r="AA45" s="15" t="n"/>
      <c r="AB45" s="16" t="n"/>
      <c r="AC45" s="15" t="n"/>
      <c r="AD45" s="16" t="n"/>
      <c r="AE45" s="15" t="n"/>
      <c r="AF45" s="16" t="n"/>
      <c r="AG45" s="15" t="n"/>
      <c r="AH45" s="16" t="n"/>
      <c r="AI45" s="17">
        <f>IFERROR(J45+L45+N45+P45+R45+T45+V45+X45+Z45+AB45+AD45+AF45+AH45,"")</f>
        <v/>
      </c>
      <c r="AJ45" s="18">
        <f>IFERROR(ROUND(AI45/39*100,0),"")</f>
        <v/>
      </c>
      <c r="AK45" s="19">
        <f>IFERROR(IF(AJ45&gt;=80,"🟢 Hyvä",IF(AJ45&gt;=60,"🟡 Kehitys","🔴 Prioriteetti")),"")</f>
        <v/>
      </c>
      <c r="AL45" s="19">
        <f>IFERROR(IF(OR(F45="PHV-huippu",AJ45&lt;60),"⚠️ MAX 60%","OK"),"")</f>
        <v/>
      </c>
      <c r="AM45" s="20" t="n"/>
      <c r="AN45" s="20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6" t="n"/>
      <c r="K46" s="15" t="n"/>
      <c r="L46" s="16" t="n"/>
      <c r="M46" s="15" t="n"/>
      <c r="N46" s="16" t="n"/>
      <c r="O46" s="15" t="n"/>
      <c r="P46" s="16" t="n"/>
      <c r="Q46" s="15" t="n"/>
      <c r="R46" s="16" t="n"/>
      <c r="S46" s="15" t="n"/>
      <c r="T46" s="16" t="n"/>
      <c r="U46" s="15" t="n"/>
      <c r="V46" s="16" t="n"/>
      <c r="W46" s="15" t="n"/>
      <c r="X46" s="16" t="n"/>
      <c r="Y46" s="15" t="n"/>
      <c r="Z46" s="16" t="n"/>
      <c r="AA46" s="15" t="n"/>
      <c r="AB46" s="16" t="n"/>
      <c r="AC46" s="15" t="n"/>
      <c r="AD46" s="16" t="n"/>
      <c r="AE46" s="15" t="n"/>
      <c r="AF46" s="16" t="n"/>
      <c r="AG46" s="15" t="n"/>
      <c r="AH46" s="16" t="n"/>
      <c r="AI46" s="17">
        <f>IFERROR(J46+L46+N46+P46+R46+T46+V46+X46+Z46+AB46+AD46+AF46+AH46,"")</f>
        <v/>
      </c>
      <c r="AJ46" s="18">
        <f>IFERROR(ROUND(AI46/39*100,0),"")</f>
        <v/>
      </c>
      <c r="AK46" s="19">
        <f>IFERROR(IF(AJ46&gt;=80,"🟢 Hyvä",IF(AJ46&gt;=60,"🟡 Kehitys","🔴 Prioriteetti")),"")</f>
        <v/>
      </c>
      <c r="AL46" s="19">
        <f>IFERROR(IF(OR(F46="PHV-huippu",AJ46&lt;60),"⚠️ MAX 60%","OK"),"")</f>
        <v/>
      </c>
      <c r="AM46" s="20" t="n"/>
      <c r="AN46" s="20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6" t="n"/>
      <c r="K47" s="15" t="n"/>
      <c r="L47" s="16" t="n"/>
      <c r="M47" s="15" t="n"/>
      <c r="N47" s="16" t="n"/>
      <c r="O47" s="15" t="n"/>
      <c r="P47" s="16" t="n"/>
      <c r="Q47" s="15" t="n"/>
      <c r="R47" s="16" t="n"/>
      <c r="S47" s="15" t="n"/>
      <c r="T47" s="16" t="n"/>
      <c r="U47" s="15" t="n"/>
      <c r="V47" s="16" t="n"/>
      <c r="W47" s="15" t="n"/>
      <c r="X47" s="16" t="n"/>
      <c r="Y47" s="15" t="n"/>
      <c r="Z47" s="16" t="n"/>
      <c r="AA47" s="15" t="n"/>
      <c r="AB47" s="16" t="n"/>
      <c r="AC47" s="15" t="n"/>
      <c r="AD47" s="16" t="n"/>
      <c r="AE47" s="15" t="n"/>
      <c r="AF47" s="16" t="n"/>
      <c r="AG47" s="15" t="n"/>
      <c r="AH47" s="16" t="n"/>
      <c r="AI47" s="17">
        <f>IFERROR(J47+L47+N47+P47+R47+T47+V47+X47+Z47+AB47+AD47+AF47+AH47,"")</f>
        <v/>
      </c>
      <c r="AJ47" s="18">
        <f>IFERROR(ROUND(AI47/39*100,0),"")</f>
        <v/>
      </c>
      <c r="AK47" s="19">
        <f>IFERROR(IF(AJ47&gt;=80,"🟢 Hyvä",IF(AJ47&gt;=60,"🟡 Kehitys","🔴 Prioriteetti")),"")</f>
        <v/>
      </c>
      <c r="AL47" s="19">
        <f>IFERROR(IF(OR(F47="PHV-huippu",AJ47&lt;60),"⚠️ MAX 60%","OK"),"")</f>
        <v/>
      </c>
      <c r="AM47" s="20" t="n"/>
      <c r="AN47" s="20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6" t="n"/>
      <c r="K48" s="15" t="n"/>
      <c r="L48" s="16" t="n"/>
      <c r="M48" s="15" t="n"/>
      <c r="N48" s="16" t="n"/>
      <c r="O48" s="15" t="n"/>
      <c r="P48" s="16" t="n"/>
      <c r="Q48" s="15" t="n"/>
      <c r="R48" s="16" t="n"/>
      <c r="S48" s="15" t="n"/>
      <c r="T48" s="16" t="n"/>
      <c r="U48" s="15" t="n"/>
      <c r="V48" s="16" t="n"/>
      <c r="W48" s="15" t="n"/>
      <c r="X48" s="16" t="n"/>
      <c r="Y48" s="15" t="n"/>
      <c r="Z48" s="16" t="n"/>
      <c r="AA48" s="15" t="n"/>
      <c r="AB48" s="16" t="n"/>
      <c r="AC48" s="15" t="n"/>
      <c r="AD48" s="16" t="n"/>
      <c r="AE48" s="15" t="n"/>
      <c r="AF48" s="16" t="n"/>
      <c r="AG48" s="15" t="n"/>
      <c r="AH48" s="16" t="n"/>
      <c r="AI48" s="17">
        <f>IFERROR(J48+L48+N48+P48+R48+T48+V48+X48+Z48+AB48+AD48+AF48+AH48,"")</f>
        <v/>
      </c>
      <c r="AJ48" s="18">
        <f>IFERROR(ROUND(AI48/39*100,0),"")</f>
        <v/>
      </c>
      <c r="AK48" s="19">
        <f>IFERROR(IF(AJ48&gt;=80,"🟢 Hyvä",IF(AJ48&gt;=60,"🟡 Kehitys","🔴 Prioriteetti")),"")</f>
        <v/>
      </c>
      <c r="AL48" s="19">
        <f>IFERROR(IF(OR(F48="PHV-huippu",AJ48&lt;60),"⚠️ MAX 60%","OK"),"")</f>
        <v/>
      </c>
      <c r="AM48" s="20" t="n"/>
      <c r="AN48" s="20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6" t="n"/>
      <c r="K49" s="15" t="n"/>
      <c r="L49" s="16" t="n"/>
      <c r="M49" s="15" t="n"/>
      <c r="N49" s="16" t="n"/>
      <c r="O49" s="15" t="n"/>
      <c r="P49" s="16" t="n"/>
      <c r="Q49" s="15" t="n"/>
      <c r="R49" s="16" t="n"/>
      <c r="S49" s="15" t="n"/>
      <c r="T49" s="16" t="n"/>
      <c r="U49" s="15" t="n"/>
      <c r="V49" s="16" t="n"/>
      <c r="W49" s="15" t="n"/>
      <c r="X49" s="16" t="n"/>
      <c r="Y49" s="15" t="n"/>
      <c r="Z49" s="16" t="n"/>
      <c r="AA49" s="15" t="n"/>
      <c r="AB49" s="16" t="n"/>
      <c r="AC49" s="15" t="n"/>
      <c r="AD49" s="16" t="n"/>
      <c r="AE49" s="15" t="n"/>
      <c r="AF49" s="16" t="n"/>
      <c r="AG49" s="15" t="n"/>
      <c r="AH49" s="16" t="n"/>
      <c r="AI49" s="17">
        <f>IFERROR(J49+L49+N49+P49+R49+T49+V49+X49+Z49+AB49+AD49+AF49+AH49,"")</f>
        <v/>
      </c>
      <c r="AJ49" s="18">
        <f>IFERROR(ROUND(AI49/39*100,0),"")</f>
        <v/>
      </c>
      <c r="AK49" s="19">
        <f>IFERROR(IF(AJ49&gt;=80,"🟢 Hyvä",IF(AJ49&gt;=60,"🟡 Kehitys","🔴 Prioriteetti")),"")</f>
        <v/>
      </c>
      <c r="AL49" s="19">
        <f>IFERROR(IF(OR(F49="PHV-huippu",AJ49&lt;60),"⚠️ MAX 60%","OK"),"")</f>
        <v/>
      </c>
      <c r="AM49" s="20" t="n"/>
      <c r="AN49" s="20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6" t="n"/>
      <c r="K50" s="15" t="n"/>
      <c r="L50" s="16" t="n"/>
      <c r="M50" s="15" t="n"/>
      <c r="N50" s="16" t="n"/>
      <c r="O50" s="15" t="n"/>
      <c r="P50" s="16" t="n"/>
      <c r="Q50" s="15" t="n"/>
      <c r="R50" s="16" t="n"/>
      <c r="S50" s="15" t="n"/>
      <c r="T50" s="16" t="n"/>
      <c r="U50" s="15" t="n"/>
      <c r="V50" s="16" t="n"/>
      <c r="W50" s="15" t="n"/>
      <c r="X50" s="16" t="n"/>
      <c r="Y50" s="15" t="n"/>
      <c r="Z50" s="16" t="n"/>
      <c r="AA50" s="15" t="n"/>
      <c r="AB50" s="16" t="n"/>
      <c r="AC50" s="15" t="n"/>
      <c r="AD50" s="16" t="n"/>
      <c r="AE50" s="15" t="n"/>
      <c r="AF50" s="16" t="n"/>
      <c r="AG50" s="15" t="n"/>
      <c r="AH50" s="16" t="n"/>
      <c r="AI50" s="17">
        <f>IFERROR(J50+L50+N50+P50+R50+T50+V50+X50+Z50+AB50+AD50+AF50+AH50,"")</f>
        <v/>
      </c>
      <c r="AJ50" s="18">
        <f>IFERROR(ROUND(AI50/39*100,0),"")</f>
        <v/>
      </c>
      <c r="AK50" s="19">
        <f>IFERROR(IF(AJ50&gt;=80,"🟢 Hyvä",IF(AJ50&gt;=60,"🟡 Kehitys","🔴 Prioriteetti")),"")</f>
        <v/>
      </c>
      <c r="AL50" s="19">
        <f>IFERROR(IF(OR(F50="PHV-huippu",AJ50&lt;60),"⚠️ MAX 60%","OK"),"")</f>
        <v/>
      </c>
      <c r="AM50" s="20" t="n"/>
      <c r="AN50" s="20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6" t="n"/>
      <c r="K51" s="15" t="n"/>
      <c r="L51" s="16" t="n"/>
      <c r="M51" s="15" t="n"/>
      <c r="N51" s="16" t="n"/>
      <c r="O51" s="15" t="n"/>
      <c r="P51" s="16" t="n"/>
      <c r="Q51" s="15" t="n"/>
      <c r="R51" s="16" t="n"/>
      <c r="S51" s="15" t="n"/>
      <c r="T51" s="16" t="n"/>
      <c r="U51" s="15" t="n"/>
      <c r="V51" s="16" t="n"/>
      <c r="W51" s="15" t="n"/>
      <c r="X51" s="16" t="n"/>
      <c r="Y51" s="15" t="n"/>
      <c r="Z51" s="16" t="n"/>
      <c r="AA51" s="15" t="n"/>
      <c r="AB51" s="16" t="n"/>
      <c r="AC51" s="15" t="n"/>
      <c r="AD51" s="16" t="n"/>
      <c r="AE51" s="15" t="n"/>
      <c r="AF51" s="16" t="n"/>
      <c r="AG51" s="15" t="n"/>
      <c r="AH51" s="16" t="n"/>
      <c r="AI51" s="17">
        <f>IFERROR(J51+L51+N51+P51+R51+T51+V51+X51+Z51+AB51+AD51+AF51+AH51,"")</f>
        <v/>
      </c>
      <c r="AJ51" s="18">
        <f>IFERROR(ROUND(AI51/39*100,0),"")</f>
        <v/>
      </c>
      <c r="AK51" s="19">
        <f>IFERROR(IF(AJ51&gt;=80,"🟢 Hyvä",IF(AJ51&gt;=60,"🟡 Kehitys","🔴 Prioriteetti")),"")</f>
        <v/>
      </c>
      <c r="AL51" s="19">
        <f>IFERROR(IF(OR(F51="PHV-huippu",AJ51&lt;60),"⚠️ MAX 60%","OK"),"")</f>
        <v/>
      </c>
      <c r="AM51" s="20" t="n"/>
      <c r="AN51" s="20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6" t="n"/>
      <c r="K52" s="15" t="n"/>
      <c r="L52" s="16" t="n"/>
      <c r="M52" s="15" t="n"/>
      <c r="N52" s="16" t="n"/>
      <c r="O52" s="15" t="n"/>
      <c r="P52" s="16" t="n"/>
      <c r="Q52" s="15" t="n"/>
      <c r="R52" s="16" t="n"/>
      <c r="S52" s="15" t="n"/>
      <c r="T52" s="16" t="n"/>
      <c r="U52" s="15" t="n"/>
      <c r="V52" s="16" t="n"/>
      <c r="W52" s="15" t="n"/>
      <c r="X52" s="16" t="n"/>
      <c r="Y52" s="15" t="n"/>
      <c r="Z52" s="16" t="n"/>
      <c r="AA52" s="15" t="n"/>
      <c r="AB52" s="16" t="n"/>
      <c r="AC52" s="15" t="n"/>
      <c r="AD52" s="16" t="n"/>
      <c r="AE52" s="15" t="n"/>
      <c r="AF52" s="16" t="n"/>
      <c r="AG52" s="15" t="n"/>
      <c r="AH52" s="16" t="n"/>
      <c r="AI52" s="17">
        <f>IFERROR(J52+L52+N52+P52+R52+T52+V52+X52+Z52+AB52+AD52+AF52+AH52,"")</f>
        <v/>
      </c>
      <c r="AJ52" s="18">
        <f>IFERROR(ROUND(AI52/39*100,0),"")</f>
        <v/>
      </c>
      <c r="AK52" s="19">
        <f>IFERROR(IF(AJ52&gt;=80,"🟢 Hyvä",IF(AJ52&gt;=60,"🟡 Kehitys","🔴 Prioriteetti")),"")</f>
        <v/>
      </c>
      <c r="AL52" s="19">
        <f>IFERROR(IF(OR(F52="PHV-huippu",AJ52&lt;60),"⚠️ MAX 60%","OK"),"")</f>
        <v/>
      </c>
      <c r="AM52" s="20" t="n"/>
      <c r="AN52" s="20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6" t="n"/>
      <c r="K53" s="15" t="n"/>
      <c r="L53" s="16" t="n"/>
      <c r="M53" s="15" t="n"/>
      <c r="N53" s="16" t="n"/>
      <c r="O53" s="15" t="n"/>
      <c r="P53" s="16" t="n"/>
      <c r="Q53" s="15" t="n"/>
      <c r="R53" s="16" t="n"/>
      <c r="S53" s="15" t="n"/>
      <c r="T53" s="16" t="n"/>
      <c r="U53" s="15" t="n"/>
      <c r="V53" s="16" t="n"/>
      <c r="W53" s="15" t="n"/>
      <c r="X53" s="16" t="n"/>
      <c r="Y53" s="15" t="n"/>
      <c r="Z53" s="16" t="n"/>
      <c r="AA53" s="15" t="n"/>
      <c r="AB53" s="16" t="n"/>
      <c r="AC53" s="15" t="n"/>
      <c r="AD53" s="16" t="n"/>
      <c r="AE53" s="15" t="n"/>
      <c r="AF53" s="16" t="n"/>
      <c r="AG53" s="15" t="n"/>
      <c r="AH53" s="16" t="n"/>
      <c r="AI53" s="17">
        <f>IFERROR(J53+L53+N53+P53+R53+T53+V53+X53+Z53+AB53+AD53+AF53+AH53,"")</f>
        <v/>
      </c>
      <c r="AJ53" s="18">
        <f>IFERROR(ROUND(AI53/39*100,0),"")</f>
        <v/>
      </c>
      <c r="AK53" s="19">
        <f>IFERROR(IF(AJ53&gt;=80,"🟢 Hyvä",IF(AJ53&gt;=60,"🟡 Kehitys","🔴 Prioriteetti")),"")</f>
        <v/>
      </c>
      <c r="AL53" s="19">
        <f>IFERROR(IF(OR(F53="PHV-huippu",AJ53&lt;60),"⚠️ MAX 60%","OK"),"")</f>
        <v/>
      </c>
      <c r="AM53" s="20" t="n"/>
      <c r="AN53" s="20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6" t="n"/>
      <c r="K54" s="15" t="n"/>
      <c r="L54" s="16" t="n"/>
      <c r="M54" s="15" t="n"/>
      <c r="N54" s="16" t="n"/>
      <c r="O54" s="15" t="n"/>
      <c r="P54" s="16" t="n"/>
      <c r="Q54" s="15" t="n"/>
      <c r="R54" s="16" t="n"/>
      <c r="S54" s="15" t="n"/>
      <c r="T54" s="16" t="n"/>
      <c r="U54" s="15" t="n"/>
      <c r="V54" s="16" t="n"/>
      <c r="W54" s="15" t="n"/>
      <c r="X54" s="16" t="n"/>
      <c r="Y54" s="15" t="n"/>
      <c r="Z54" s="16" t="n"/>
      <c r="AA54" s="15" t="n"/>
      <c r="AB54" s="16" t="n"/>
      <c r="AC54" s="15" t="n"/>
      <c r="AD54" s="16" t="n"/>
      <c r="AE54" s="15" t="n"/>
      <c r="AF54" s="16" t="n"/>
      <c r="AG54" s="15" t="n"/>
      <c r="AH54" s="16" t="n"/>
      <c r="AI54" s="17">
        <f>IFERROR(J54+L54+N54+P54+R54+T54+V54+X54+Z54+AB54+AD54+AF54+AH54,"")</f>
        <v/>
      </c>
      <c r="AJ54" s="18">
        <f>IFERROR(ROUND(AI54/39*100,0),"")</f>
        <v/>
      </c>
      <c r="AK54" s="19">
        <f>IFERROR(IF(AJ54&gt;=80,"🟢 Hyvä",IF(AJ54&gt;=60,"🟡 Kehitys","🔴 Prioriteetti")),"")</f>
        <v/>
      </c>
      <c r="AL54" s="19">
        <f>IFERROR(IF(OR(F54="PHV-huippu",AJ54&lt;60),"⚠️ MAX 60%","OK"),"")</f>
        <v/>
      </c>
      <c r="AM54" s="20" t="n"/>
      <c r="AN54" s="20" t="n"/>
    </row>
  </sheetData>
  <mergeCells count="2">
    <mergeCell ref="A2:AN2"/>
    <mergeCell ref="A1:AN1"/>
  </mergeCells>
  <dataValidations count="650">
    <dataValidation sqref="J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1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1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1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1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1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1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1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1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1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1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2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2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2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2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2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2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2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2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2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2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3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3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3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3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3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3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3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3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3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3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4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4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4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4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4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45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46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47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48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49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50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51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52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53" showDropDown="0" showInputMessage="0" showErrorMessage="1" allowBlank="0" errorTitle="Virheellinen arvo" error="Syötä vain 1, 2 tai 3" type="whole" operator="between">
      <formula1>1</formula1>
      <formula2>3</formula2>
    </dataValidation>
    <dataValidation sqref="J5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L5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N5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P5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R5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T5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V5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X5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Z5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B5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D5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F54" showDropDown="0" showInputMessage="0" showErrorMessage="1" allowBlank="0" errorTitle="Virheellinen arvo" error="Syötä vain 1, 2 tai 3" type="whole" operator="between">
      <formula1>1</formula1>
      <formula2>3</formula2>
    </dataValidation>
    <dataValidation sqref="AH54" showDropDown="0" showInputMessage="0" showErrorMessage="1" allowBlank="0" errorTitle="Virheellinen arvo" error="Syötä vain 1, 2 tai 3" type="whole" operator="between">
      <formula1>1</formula1>
      <formula2>3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N54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5" customWidth="1" min="3" max="3"/>
    <col width="5" customWidth="1" min="4" max="4"/>
    <col width="10" customWidth="1" min="5" max="5"/>
    <col width="7" customWidth="1" min="6" max="6"/>
    <col width="10" customWidth="1" min="7" max="7"/>
    <col width="10" customWidth="1" min="8" max="8"/>
    <col width="11" customWidth="1" min="9" max="9"/>
    <col width="9" customWidth="1" min="10" max="10"/>
    <col width="13" customWidth="1" min="11" max="11"/>
    <col width="9" customWidth="1" min="12" max="12"/>
    <col width="11" customWidth="1" min="13" max="13"/>
    <col width="9" customWidth="1" min="14" max="14"/>
    <col width="11" customWidth="1" min="15" max="15"/>
    <col width="9" customWidth="1" min="16" max="16"/>
    <col width="9" customWidth="1" min="17" max="17"/>
    <col width="9" customWidth="1" min="18" max="18"/>
    <col width="11" customWidth="1" min="19" max="19"/>
    <col width="9" customWidth="1" min="20" max="20"/>
    <col width="13" customWidth="1" min="21" max="21"/>
    <col width="7" customWidth="1" min="22" max="22"/>
    <col width="13" customWidth="1" min="23" max="23"/>
    <col width="7" customWidth="1" min="24" max="24"/>
    <col width="11" customWidth="1" min="25" max="25"/>
    <col width="7" customWidth="1" min="26" max="26"/>
    <col width="11" customWidth="1" min="27" max="27"/>
    <col width="7" customWidth="1" min="28" max="28"/>
    <col width="11" customWidth="1" min="29" max="29"/>
    <col width="7" customWidth="1" min="30" max="30"/>
    <col width="10" customWidth="1" min="31" max="31"/>
    <col width="7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16" customWidth="1" min="39" max="39"/>
    <col width="10" customWidth="1" min="40" max="40"/>
  </cols>
  <sheetData>
    <row r="1" ht="22" customHeight="1">
      <c r="A1" s="24" t="inlineStr">
        <is>
          <t>HARJOITETTAVUUSKARTOITUS U19 — 16–19-vuotiaat | Voimatestit 5RM (Lohko A) + Kehonpainotestit (Lohko B)</t>
        </is>
      </c>
    </row>
    <row r="2" ht="16" customHeight="1">
      <c r="A2" s="25" t="inlineStr">
        <is>
          <t>Pisteet: 🔴 1p = rajoitteita/kehitettävää kriittisesti  |  🟡 2p = kehitettävää  |  🟢 3p = hallitsee hyvin  |  Pisteet 1–3 per testi</t>
        </is>
      </c>
    </row>
    <row r="3" ht="18" customHeight="1">
      <c r="A3" s="26" t="inlineStr">
        <is>
          <t>Seura:</t>
        </is>
      </c>
      <c r="C3" s="26" t="inlineStr">
        <is>
          <t>Kausi:</t>
        </is>
      </c>
      <c r="E3" s="26" t="inlineStr">
        <is>
          <t>Testipäivä (LOHKO A+B):</t>
        </is>
      </c>
      <c r="F3" s="27" t="n">
        <v>45915</v>
      </c>
      <c r="G3" s="26" t="inlineStr">
        <is>
          <t>Joukkue:</t>
        </is>
      </c>
      <c r="H3" s="28" t="inlineStr">
        <is>
          <t>← MUUTA tämä oikeaksi testipäiväksi!</t>
        </is>
      </c>
      <c r="I3" s="29" t="inlineStr">
        <is>
          <t>🏋️ LOHKO A — Voimatestit 5RM (kg ja kg/BW) — voidaan tehdä eri päivänä</t>
        </is>
      </c>
      <c r="U3" s="30" t="inlineStr">
        <is>
          <t>🏃 LOHKO B — Kehonpainotestit 1–3p (max 21p) → FLEI</t>
        </is>
      </c>
    </row>
    <row r="4" ht="36" customHeight="1">
      <c r="A4" s="31" t="inlineStr">
        <is>
          <t>PelaajaID</t>
        </is>
      </c>
      <c r="B4" s="31" t="inlineStr">
        <is>
          <t>Nimi</t>
        </is>
      </c>
      <c r="C4" s="31" t="inlineStr">
        <is>
          <t>Sukup
(P/T)</t>
        </is>
      </c>
      <c r="D4" s="31" t="inlineStr">
        <is>
          <t>Ikä
(v)</t>
        </is>
      </c>
      <c r="E4" s="31" t="inlineStr">
        <is>
          <t>Testaus
pvm</t>
        </is>
      </c>
      <c r="F4" s="31" t="inlineStr">
        <is>
          <t>PHV-
tila</t>
        </is>
      </c>
      <c r="G4" s="31" t="inlineStr">
        <is>
          <t>Joukkue</t>
        </is>
      </c>
      <c r="H4" s="31" t="inlineStr">
        <is>
          <t>Arvioija</t>
        </is>
      </c>
      <c r="I4" s="32" t="inlineStr">
        <is>
          <t>Takakyykky 5RM
(kg)</t>
        </is>
      </c>
      <c r="J4" s="33" t="inlineStr">
        <is>
          <t>Suht. voima
(kg/BW)</t>
        </is>
      </c>
      <c r="K4" s="32" t="inlineStr">
        <is>
          <t>Trap bar maastaveto 5RM
(kg)</t>
        </is>
      </c>
      <c r="L4" s="33" t="inlineStr">
        <is>
          <t>Suht. voima
(kg/BW)</t>
        </is>
      </c>
      <c r="M4" s="32" t="inlineStr">
        <is>
          <t>Rinnalleveto 5RM
(kg)</t>
        </is>
      </c>
      <c r="N4" s="33" t="inlineStr">
        <is>
          <t>Suht. voima
(kg/BW)</t>
        </is>
      </c>
      <c r="O4" s="32" t="inlineStr">
        <is>
          <t>1-jalan kyykky 5RM
(kg)</t>
        </is>
      </c>
      <c r="P4" s="33" t="inlineStr">
        <is>
          <t>Suht. voima
(kg/BW)</t>
        </is>
      </c>
      <c r="Q4" s="32" t="inlineStr">
        <is>
          <t>Leuanvedot
(tst)</t>
        </is>
      </c>
      <c r="R4" s="33" t="inlineStr">
        <is>
          <t>Suht. voima
(kg/BW)</t>
        </is>
      </c>
      <c r="S4" s="32" t="inlineStr">
        <is>
          <t>Penkkipunnerrus 5RM
(kg)</t>
        </is>
      </c>
      <c r="T4" s="33" t="inlineStr">
        <is>
          <t>Suht. voima
(kg/BW)</t>
        </is>
      </c>
      <c r="U4" s="31" t="inlineStr">
        <is>
          <t>Jalkojennosto riipunnasta
(tulos)</t>
        </is>
      </c>
      <c r="V4" s="34" t="inlineStr">
        <is>
          <t>Pist.
1–3</t>
        </is>
      </c>
      <c r="W4" s="31" t="inlineStr">
        <is>
          <t>Lonkan aktiivinen ojennus
(tulos)</t>
        </is>
      </c>
      <c r="X4" s="34" t="inlineStr">
        <is>
          <t>Pist.
1–3</t>
        </is>
      </c>
      <c r="Y4" s="31" t="inlineStr">
        <is>
          <t>Yhden jalan päkiänousu
(tulos)</t>
        </is>
      </c>
      <c r="Z4" s="34" t="inlineStr">
        <is>
          <t>Pist.
1–3</t>
        </is>
      </c>
      <c r="AA4" s="31" t="inlineStr">
        <is>
          <t>SLR neuraalinen
(tulos)</t>
        </is>
      </c>
      <c r="AB4" s="34" t="inlineStr">
        <is>
          <t>Pist.
1–3</t>
        </is>
      </c>
      <c r="AC4" s="31" t="inlineStr">
        <is>
          <t>Thomas-testi
(tulos)</t>
        </is>
      </c>
      <c r="AD4" s="34" t="inlineStr">
        <is>
          <t>Pist.
1–3</t>
        </is>
      </c>
      <c r="AE4" s="31" t="inlineStr">
        <is>
          <t>Pituushyppy
(tulos)</t>
        </is>
      </c>
      <c r="AF4" s="34" t="inlineStr">
        <is>
          <t>Pist.
1–3</t>
        </is>
      </c>
      <c r="AG4" s="31" t="inlineStr">
        <is>
          <t>5-loikka
(tulos)</t>
        </is>
      </c>
      <c r="AH4" s="34" t="inlineStr">
        <is>
          <t>Pist.
1–3</t>
        </is>
      </c>
      <c r="AI4" s="35" t="inlineStr">
        <is>
          <t>Kehonp.
pisteet</t>
        </is>
      </c>
      <c r="AJ4" s="35" t="inlineStr">
        <is>
          <t>FLEI
(%)</t>
        </is>
      </c>
      <c r="AK4" s="35" t="inlineStr">
        <is>
          <t>FLEI-
taso</t>
        </is>
      </c>
      <c r="AL4" s="35" t="inlineStr">
        <is>
          <t>Kuorma-
rajoitin</t>
        </is>
      </c>
      <c r="AM4" s="35" t="inlineStr">
        <is>
          <t>Huomiot</t>
        </is>
      </c>
      <c r="AN4" s="35" t="inlineStr">
        <is>
          <t>ASI-
huomio</t>
        </is>
      </c>
    </row>
    <row r="5">
      <c r="A5" s="36" t="n"/>
      <c r="B5" s="37" t="n"/>
      <c r="C5" s="36" t="n"/>
      <c r="D5" s="36" t="n"/>
      <c r="E5" s="38" t="n"/>
      <c r="F5" s="39" t="n"/>
      <c r="G5" s="36" t="n"/>
      <c r="H5" s="36" t="n"/>
      <c r="I5" s="40" t="n"/>
      <c r="J5" s="41">
        <f>IFERROR(IF(I5="","",I5),"")</f>
        <v/>
      </c>
      <c r="K5" s="40" t="n"/>
      <c r="L5" s="41">
        <f>IFERROR(IF(K5="","",K5),"")</f>
        <v/>
      </c>
      <c r="M5" s="40" t="n"/>
      <c r="N5" s="41">
        <f>IFERROR(IF(M5="","",M5),"")</f>
        <v/>
      </c>
      <c r="O5" s="40" t="n"/>
      <c r="P5" s="41">
        <f>IFERROR(IF(O5="","",O5),"")</f>
        <v/>
      </c>
      <c r="Q5" s="42" t="n"/>
      <c r="R5" s="41">
        <f>IFERROR(IF(Q5="","",Q5),"")</f>
        <v/>
      </c>
      <c r="S5" s="40" t="n"/>
      <c r="T5" s="41">
        <f>IFERROR(IF(S5="","",S5),"")</f>
        <v/>
      </c>
      <c r="U5" s="39" t="n"/>
      <c r="V5" s="43" t="n"/>
      <c r="W5" s="39" t="n"/>
      <c r="X5" s="43" t="n"/>
      <c r="Y5" s="39" t="n"/>
      <c r="Z5" s="43" t="n"/>
      <c r="AA5" s="39" t="n"/>
      <c r="AB5" s="43" t="n"/>
      <c r="AC5" s="39" t="n"/>
      <c r="AD5" s="43" t="n"/>
      <c r="AE5" s="39" t="n"/>
      <c r="AF5" s="43" t="n"/>
      <c r="AG5" s="39" t="n"/>
      <c r="AH5" s="43" t="n"/>
      <c r="AI5" s="44">
        <f>IFERROR(IF(V5="",0,V5)+IF(X5="",0,X5)+IF(Z5="",0,Z5)+IF(AB5="",0,AB5)+IF(AD5="",0,AD5)+IF(AF5="",0,AF5)+IF(AH5="",0,AH5),"")</f>
        <v/>
      </c>
      <c r="AJ5" s="44">
        <f>IFERROR(ROUND(AI5/21*100,0),"")</f>
        <v/>
      </c>
      <c r="AK5" s="45">
        <f>IFERROR(IF(AJ5&gt;=80,"🟢 Hyvä",IF(AJ5&gt;=60,"🟡 Kehitys","🔴 Prioriteetti")),"")</f>
        <v/>
      </c>
      <c r="AL5" s="45">
        <f>IFERROR(IF(OR(F5="PHV-huippu",AJ5&lt;60),"⚠️ MAX 60%","OK"),"")</f>
        <v/>
      </c>
      <c r="AM5" s="46" t="n"/>
      <c r="AN5" s="46" t="n"/>
    </row>
    <row r="6">
      <c r="A6" s="47" t="n"/>
      <c r="B6" s="48" t="n"/>
      <c r="C6" s="47" t="n"/>
      <c r="D6" s="47" t="n"/>
      <c r="E6" s="49" t="n"/>
      <c r="F6" s="39" t="n"/>
      <c r="G6" s="47" t="n"/>
      <c r="H6" s="47" t="n"/>
      <c r="I6" s="40" t="n"/>
      <c r="J6" s="41">
        <f>IFERROR(IF(I6="","",I6),"")</f>
        <v/>
      </c>
      <c r="K6" s="40" t="n"/>
      <c r="L6" s="41">
        <f>IFERROR(IF(K6="","",K6),"")</f>
        <v/>
      </c>
      <c r="M6" s="40" t="n"/>
      <c r="N6" s="41">
        <f>IFERROR(IF(M6="","",M6),"")</f>
        <v/>
      </c>
      <c r="O6" s="40" t="n"/>
      <c r="P6" s="41">
        <f>IFERROR(IF(O6="","",O6),"")</f>
        <v/>
      </c>
      <c r="Q6" s="42" t="n"/>
      <c r="R6" s="41">
        <f>IFERROR(IF(Q6="","",Q6),"")</f>
        <v/>
      </c>
      <c r="S6" s="40" t="n"/>
      <c r="T6" s="41">
        <f>IFERROR(IF(S6="","",S6),"")</f>
        <v/>
      </c>
      <c r="U6" s="39" t="n"/>
      <c r="V6" s="43" t="n"/>
      <c r="W6" s="39" t="n"/>
      <c r="X6" s="43" t="n"/>
      <c r="Y6" s="39" t="n"/>
      <c r="Z6" s="43" t="n"/>
      <c r="AA6" s="39" t="n"/>
      <c r="AB6" s="43" t="n"/>
      <c r="AC6" s="39" t="n"/>
      <c r="AD6" s="43" t="n"/>
      <c r="AE6" s="39" t="n"/>
      <c r="AF6" s="43" t="n"/>
      <c r="AG6" s="39" t="n"/>
      <c r="AH6" s="43" t="n"/>
      <c r="AI6" s="44">
        <f>IFERROR(IF(V6="",0,V6)+IF(X6="",0,X6)+IF(Z6="",0,Z6)+IF(AB6="",0,AB6)+IF(AD6="",0,AD6)+IF(AF6="",0,AF6)+IF(AH6="",0,AH6),"")</f>
        <v/>
      </c>
      <c r="AJ6" s="44">
        <f>IFERROR(ROUND(AI6/21*100,0),"")</f>
        <v/>
      </c>
      <c r="AK6" s="45">
        <f>IFERROR(IF(AJ6&gt;=80,"🟢 Hyvä",IF(AJ6&gt;=60,"🟡 Kehitys","🔴 Prioriteetti")),"")</f>
        <v/>
      </c>
      <c r="AL6" s="45">
        <f>IFERROR(IF(OR(F6="PHV-huippu",AJ6&lt;60),"⚠️ MAX 60%","OK"),"")</f>
        <v/>
      </c>
      <c r="AM6" s="50" t="n"/>
      <c r="AN6" s="50" t="n"/>
    </row>
    <row r="7">
      <c r="A7" s="36" t="n"/>
      <c r="B7" s="37" t="n"/>
      <c r="C7" s="36" t="n"/>
      <c r="D7" s="36" t="n"/>
      <c r="E7" s="38" t="n"/>
      <c r="F7" s="39" t="n"/>
      <c r="G7" s="36" t="n"/>
      <c r="H7" s="36" t="n"/>
      <c r="I7" s="40" t="n"/>
      <c r="J7" s="41">
        <f>IFERROR(IF(I7="","",I7),"")</f>
        <v/>
      </c>
      <c r="K7" s="40" t="n"/>
      <c r="L7" s="41">
        <f>IFERROR(IF(K7="","",K7),"")</f>
        <v/>
      </c>
      <c r="M7" s="40" t="n"/>
      <c r="N7" s="41">
        <f>IFERROR(IF(M7="","",M7),"")</f>
        <v/>
      </c>
      <c r="O7" s="40" t="n"/>
      <c r="P7" s="41">
        <f>IFERROR(IF(O7="","",O7),"")</f>
        <v/>
      </c>
      <c r="Q7" s="42" t="n"/>
      <c r="R7" s="41">
        <f>IFERROR(IF(Q7="","",Q7),"")</f>
        <v/>
      </c>
      <c r="S7" s="40" t="n"/>
      <c r="T7" s="41">
        <f>IFERROR(IF(S7="","",S7),"")</f>
        <v/>
      </c>
      <c r="U7" s="39" t="n"/>
      <c r="V7" s="43" t="n"/>
      <c r="W7" s="39" t="n"/>
      <c r="X7" s="43" t="n"/>
      <c r="Y7" s="39" t="n"/>
      <c r="Z7" s="43" t="n"/>
      <c r="AA7" s="39" t="n"/>
      <c r="AB7" s="43" t="n"/>
      <c r="AC7" s="39" t="n"/>
      <c r="AD7" s="43" t="n"/>
      <c r="AE7" s="39" t="n"/>
      <c r="AF7" s="43" t="n"/>
      <c r="AG7" s="39" t="n"/>
      <c r="AH7" s="43" t="n"/>
      <c r="AI7" s="44">
        <f>IFERROR(IF(V7="",0,V7)+IF(X7="",0,X7)+IF(Z7="",0,Z7)+IF(AB7="",0,AB7)+IF(AD7="",0,AD7)+IF(AF7="",0,AF7)+IF(AH7="",0,AH7),"")</f>
        <v/>
      </c>
      <c r="AJ7" s="44">
        <f>IFERROR(ROUND(AI7/21*100,0),"")</f>
        <v/>
      </c>
      <c r="AK7" s="45">
        <f>IFERROR(IF(AJ7&gt;=80,"🟢 Hyvä",IF(AJ7&gt;=60,"🟡 Kehitys","🔴 Prioriteetti")),"")</f>
        <v/>
      </c>
      <c r="AL7" s="45">
        <f>IFERROR(IF(OR(F7="PHV-huippu",AJ7&lt;60),"⚠️ MAX 60%","OK"),"")</f>
        <v/>
      </c>
      <c r="AM7" s="46" t="n"/>
      <c r="AN7" s="46" t="n"/>
    </row>
    <row r="8">
      <c r="A8" s="47" t="n"/>
      <c r="B8" s="48" t="n"/>
      <c r="C8" s="47" t="n"/>
      <c r="D8" s="47" t="n"/>
      <c r="E8" s="49" t="n"/>
      <c r="F8" s="39" t="n"/>
      <c r="G8" s="47" t="n"/>
      <c r="H8" s="47" t="n"/>
      <c r="I8" s="40" t="n"/>
      <c r="J8" s="41">
        <f>IFERROR(IF(I8="","",I8),"")</f>
        <v/>
      </c>
      <c r="K8" s="40" t="n"/>
      <c r="L8" s="41">
        <f>IFERROR(IF(K8="","",K8),"")</f>
        <v/>
      </c>
      <c r="M8" s="40" t="n"/>
      <c r="N8" s="41">
        <f>IFERROR(IF(M8="","",M8),"")</f>
        <v/>
      </c>
      <c r="O8" s="40" t="n"/>
      <c r="P8" s="41">
        <f>IFERROR(IF(O8="","",O8),"")</f>
        <v/>
      </c>
      <c r="Q8" s="42" t="n"/>
      <c r="R8" s="41">
        <f>IFERROR(IF(Q8="","",Q8),"")</f>
        <v/>
      </c>
      <c r="S8" s="40" t="n"/>
      <c r="T8" s="41">
        <f>IFERROR(IF(S8="","",S8),"")</f>
        <v/>
      </c>
      <c r="U8" s="39" t="n"/>
      <c r="V8" s="43" t="n"/>
      <c r="W8" s="39" t="n"/>
      <c r="X8" s="43" t="n"/>
      <c r="Y8" s="39" t="n"/>
      <c r="Z8" s="43" t="n"/>
      <c r="AA8" s="39" t="n"/>
      <c r="AB8" s="43" t="n"/>
      <c r="AC8" s="39" t="n"/>
      <c r="AD8" s="43" t="n"/>
      <c r="AE8" s="39" t="n"/>
      <c r="AF8" s="43" t="n"/>
      <c r="AG8" s="39" t="n"/>
      <c r="AH8" s="43" t="n"/>
      <c r="AI8" s="44">
        <f>IFERROR(IF(V8="",0,V8)+IF(X8="",0,X8)+IF(Z8="",0,Z8)+IF(AB8="",0,AB8)+IF(AD8="",0,AD8)+IF(AF8="",0,AF8)+IF(AH8="",0,AH8),"")</f>
        <v/>
      </c>
      <c r="AJ8" s="44">
        <f>IFERROR(ROUND(AI8/21*100,0),"")</f>
        <v/>
      </c>
      <c r="AK8" s="45">
        <f>IFERROR(IF(AJ8&gt;=80,"🟢 Hyvä",IF(AJ8&gt;=60,"🟡 Kehitys","🔴 Prioriteetti")),"")</f>
        <v/>
      </c>
      <c r="AL8" s="45">
        <f>IFERROR(IF(OR(F8="PHV-huippu",AJ8&lt;60),"⚠️ MAX 60%","OK"),"")</f>
        <v/>
      </c>
      <c r="AM8" s="50" t="n"/>
      <c r="AN8" s="50" t="n"/>
    </row>
    <row r="9">
      <c r="A9" s="36" t="n"/>
      <c r="B9" s="37" t="n"/>
      <c r="C9" s="36" t="n"/>
      <c r="D9" s="36" t="n"/>
      <c r="E9" s="38" t="n"/>
      <c r="F9" s="39" t="n"/>
      <c r="G9" s="36" t="n"/>
      <c r="H9" s="36" t="n"/>
      <c r="I9" s="40" t="n"/>
      <c r="J9" s="41">
        <f>IFERROR(IF(I9="","",I9),"")</f>
        <v/>
      </c>
      <c r="K9" s="40" t="n"/>
      <c r="L9" s="41">
        <f>IFERROR(IF(K9="","",K9),"")</f>
        <v/>
      </c>
      <c r="M9" s="40" t="n"/>
      <c r="N9" s="41">
        <f>IFERROR(IF(M9="","",M9),"")</f>
        <v/>
      </c>
      <c r="O9" s="40" t="n"/>
      <c r="P9" s="41">
        <f>IFERROR(IF(O9="","",O9),"")</f>
        <v/>
      </c>
      <c r="Q9" s="42" t="n"/>
      <c r="R9" s="41">
        <f>IFERROR(IF(Q9="","",Q9),"")</f>
        <v/>
      </c>
      <c r="S9" s="40" t="n"/>
      <c r="T9" s="41">
        <f>IFERROR(IF(S9="","",S9),"")</f>
        <v/>
      </c>
      <c r="U9" s="39" t="n"/>
      <c r="V9" s="43" t="n"/>
      <c r="W9" s="39" t="n"/>
      <c r="X9" s="43" t="n"/>
      <c r="Y9" s="39" t="n"/>
      <c r="Z9" s="43" t="n"/>
      <c r="AA9" s="39" t="n"/>
      <c r="AB9" s="43" t="n"/>
      <c r="AC9" s="39" t="n"/>
      <c r="AD9" s="43" t="n"/>
      <c r="AE9" s="39" t="n"/>
      <c r="AF9" s="43" t="n"/>
      <c r="AG9" s="39" t="n"/>
      <c r="AH9" s="43" t="n"/>
      <c r="AI9" s="44">
        <f>IFERROR(IF(V9="",0,V9)+IF(X9="",0,X9)+IF(Z9="",0,Z9)+IF(AB9="",0,AB9)+IF(AD9="",0,AD9)+IF(AF9="",0,AF9)+IF(AH9="",0,AH9),"")</f>
        <v/>
      </c>
      <c r="AJ9" s="44">
        <f>IFERROR(ROUND(AI9/21*100,0),"")</f>
        <v/>
      </c>
      <c r="AK9" s="45">
        <f>IFERROR(IF(AJ9&gt;=80,"🟢 Hyvä",IF(AJ9&gt;=60,"🟡 Kehitys","🔴 Prioriteetti")),"")</f>
        <v/>
      </c>
      <c r="AL9" s="45">
        <f>IFERROR(IF(OR(F9="PHV-huippu",AJ9&lt;60),"⚠️ MAX 60%","OK"),"")</f>
        <v/>
      </c>
      <c r="AM9" s="46" t="n"/>
      <c r="AN9" s="46" t="n"/>
    </row>
    <row r="10">
      <c r="A10" s="47" t="n"/>
      <c r="B10" s="48" t="n"/>
      <c r="C10" s="47" t="n"/>
      <c r="D10" s="47" t="n"/>
      <c r="E10" s="49" t="n"/>
      <c r="F10" s="39" t="n"/>
      <c r="G10" s="47" t="n"/>
      <c r="H10" s="47" t="n"/>
      <c r="I10" s="40" t="n"/>
      <c r="J10" s="41">
        <f>IFERROR(IF(I10="","",I10),"")</f>
        <v/>
      </c>
      <c r="K10" s="40" t="n"/>
      <c r="L10" s="41">
        <f>IFERROR(IF(K10="","",K10),"")</f>
        <v/>
      </c>
      <c r="M10" s="40" t="n"/>
      <c r="N10" s="41">
        <f>IFERROR(IF(M10="","",M10),"")</f>
        <v/>
      </c>
      <c r="O10" s="40" t="n"/>
      <c r="P10" s="41">
        <f>IFERROR(IF(O10="","",O10),"")</f>
        <v/>
      </c>
      <c r="Q10" s="42" t="n"/>
      <c r="R10" s="41">
        <f>IFERROR(IF(Q10="","",Q10),"")</f>
        <v/>
      </c>
      <c r="S10" s="40" t="n"/>
      <c r="T10" s="41">
        <f>IFERROR(IF(S10="","",S10),"")</f>
        <v/>
      </c>
      <c r="U10" s="39" t="n"/>
      <c r="V10" s="43" t="n"/>
      <c r="W10" s="39" t="n"/>
      <c r="X10" s="43" t="n"/>
      <c r="Y10" s="39" t="n"/>
      <c r="Z10" s="43" t="n"/>
      <c r="AA10" s="39" t="n"/>
      <c r="AB10" s="43" t="n"/>
      <c r="AC10" s="39" t="n"/>
      <c r="AD10" s="43" t="n"/>
      <c r="AE10" s="39" t="n"/>
      <c r="AF10" s="43" t="n"/>
      <c r="AG10" s="39" t="n"/>
      <c r="AH10" s="43" t="n"/>
      <c r="AI10" s="44">
        <f>IFERROR(IF(V10="",0,V10)+IF(X10="",0,X10)+IF(Z10="",0,Z10)+IF(AB10="",0,AB10)+IF(AD10="",0,AD10)+IF(AF10="",0,AF10)+IF(AH10="",0,AH10),"")</f>
        <v/>
      </c>
      <c r="AJ10" s="44">
        <f>IFERROR(ROUND(AI10/21*100,0),"")</f>
        <v/>
      </c>
      <c r="AK10" s="45">
        <f>IFERROR(IF(AJ10&gt;=80,"🟢 Hyvä",IF(AJ10&gt;=60,"🟡 Kehitys","🔴 Prioriteetti")),"")</f>
        <v/>
      </c>
      <c r="AL10" s="45">
        <f>IFERROR(IF(OR(F10="PHV-huippu",AJ10&lt;60),"⚠️ MAX 60%","OK"),"")</f>
        <v/>
      </c>
      <c r="AM10" s="50" t="n"/>
      <c r="AN10" s="50" t="n"/>
    </row>
    <row r="11">
      <c r="A11" s="36" t="n"/>
      <c r="B11" s="37" t="n"/>
      <c r="C11" s="36" t="n"/>
      <c r="D11" s="36" t="n"/>
      <c r="E11" s="38" t="n"/>
      <c r="F11" s="39" t="n"/>
      <c r="G11" s="36" t="n"/>
      <c r="H11" s="36" t="n"/>
      <c r="I11" s="40" t="n"/>
      <c r="J11" s="41">
        <f>IFERROR(IF(I11="","",I11),"")</f>
        <v/>
      </c>
      <c r="K11" s="40" t="n"/>
      <c r="L11" s="41">
        <f>IFERROR(IF(K11="","",K11),"")</f>
        <v/>
      </c>
      <c r="M11" s="40" t="n"/>
      <c r="N11" s="41">
        <f>IFERROR(IF(M11="","",M11),"")</f>
        <v/>
      </c>
      <c r="O11" s="40" t="n"/>
      <c r="P11" s="41">
        <f>IFERROR(IF(O11="","",O11),"")</f>
        <v/>
      </c>
      <c r="Q11" s="42" t="n"/>
      <c r="R11" s="41">
        <f>IFERROR(IF(Q11="","",Q11),"")</f>
        <v/>
      </c>
      <c r="S11" s="40" t="n"/>
      <c r="T11" s="41">
        <f>IFERROR(IF(S11="","",S11),"")</f>
        <v/>
      </c>
      <c r="U11" s="39" t="n"/>
      <c r="V11" s="43" t="n"/>
      <c r="W11" s="39" t="n"/>
      <c r="X11" s="43" t="n"/>
      <c r="Y11" s="39" t="n"/>
      <c r="Z11" s="43" t="n"/>
      <c r="AA11" s="39" t="n"/>
      <c r="AB11" s="43" t="n"/>
      <c r="AC11" s="39" t="n"/>
      <c r="AD11" s="43" t="n"/>
      <c r="AE11" s="39" t="n"/>
      <c r="AF11" s="43" t="n"/>
      <c r="AG11" s="39" t="n"/>
      <c r="AH11" s="43" t="n"/>
      <c r="AI11" s="44">
        <f>IFERROR(IF(V11="",0,V11)+IF(X11="",0,X11)+IF(Z11="",0,Z11)+IF(AB11="",0,AB11)+IF(AD11="",0,AD11)+IF(AF11="",0,AF11)+IF(AH11="",0,AH11),"")</f>
        <v/>
      </c>
      <c r="AJ11" s="44">
        <f>IFERROR(ROUND(AI11/21*100,0),"")</f>
        <v/>
      </c>
      <c r="AK11" s="45">
        <f>IFERROR(IF(AJ11&gt;=80,"🟢 Hyvä",IF(AJ11&gt;=60,"🟡 Kehitys","🔴 Prioriteetti")),"")</f>
        <v/>
      </c>
      <c r="AL11" s="45">
        <f>IFERROR(IF(OR(F11="PHV-huippu",AJ11&lt;60),"⚠️ MAX 60%","OK"),"")</f>
        <v/>
      </c>
      <c r="AM11" s="46" t="n"/>
      <c r="AN11" s="46" t="n"/>
    </row>
    <row r="12">
      <c r="A12" s="47" t="n"/>
      <c r="B12" s="48" t="n"/>
      <c r="C12" s="47" t="n"/>
      <c r="D12" s="47" t="n"/>
      <c r="E12" s="49" t="n"/>
      <c r="F12" s="39" t="n"/>
      <c r="G12" s="47" t="n"/>
      <c r="H12" s="47" t="n"/>
      <c r="I12" s="40" t="n"/>
      <c r="J12" s="41">
        <f>IFERROR(IF(I12="","",I12),"")</f>
        <v/>
      </c>
      <c r="K12" s="40" t="n"/>
      <c r="L12" s="41">
        <f>IFERROR(IF(K12="","",K12),"")</f>
        <v/>
      </c>
      <c r="M12" s="40" t="n"/>
      <c r="N12" s="41">
        <f>IFERROR(IF(M12="","",M12),"")</f>
        <v/>
      </c>
      <c r="O12" s="40" t="n"/>
      <c r="P12" s="41">
        <f>IFERROR(IF(O12="","",O12),"")</f>
        <v/>
      </c>
      <c r="Q12" s="42" t="n"/>
      <c r="R12" s="41">
        <f>IFERROR(IF(Q12="","",Q12),"")</f>
        <v/>
      </c>
      <c r="S12" s="40" t="n"/>
      <c r="T12" s="41">
        <f>IFERROR(IF(S12="","",S12),"")</f>
        <v/>
      </c>
      <c r="U12" s="39" t="n"/>
      <c r="V12" s="43" t="n"/>
      <c r="W12" s="39" t="n"/>
      <c r="X12" s="43" t="n"/>
      <c r="Y12" s="39" t="n"/>
      <c r="Z12" s="43" t="n"/>
      <c r="AA12" s="39" t="n"/>
      <c r="AB12" s="43" t="n"/>
      <c r="AC12" s="39" t="n"/>
      <c r="AD12" s="43" t="n"/>
      <c r="AE12" s="39" t="n"/>
      <c r="AF12" s="43" t="n"/>
      <c r="AG12" s="39" t="n"/>
      <c r="AH12" s="43" t="n"/>
      <c r="AI12" s="44">
        <f>IFERROR(IF(V12="",0,V12)+IF(X12="",0,X12)+IF(Z12="",0,Z12)+IF(AB12="",0,AB12)+IF(AD12="",0,AD12)+IF(AF12="",0,AF12)+IF(AH12="",0,AH12),"")</f>
        <v/>
      </c>
      <c r="AJ12" s="44">
        <f>IFERROR(ROUND(AI12/21*100,0),"")</f>
        <v/>
      </c>
      <c r="AK12" s="45">
        <f>IFERROR(IF(AJ12&gt;=80,"🟢 Hyvä",IF(AJ12&gt;=60,"🟡 Kehitys","🔴 Prioriteetti")),"")</f>
        <v/>
      </c>
      <c r="AL12" s="45">
        <f>IFERROR(IF(OR(F12="PHV-huippu",AJ12&lt;60),"⚠️ MAX 60%","OK"),"")</f>
        <v/>
      </c>
      <c r="AM12" s="50" t="n"/>
      <c r="AN12" s="50" t="n"/>
    </row>
    <row r="13">
      <c r="A13" s="36" t="n"/>
      <c r="B13" s="37" t="n"/>
      <c r="C13" s="36" t="n"/>
      <c r="D13" s="36" t="n"/>
      <c r="E13" s="38" t="n"/>
      <c r="F13" s="39" t="n"/>
      <c r="G13" s="36" t="n"/>
      <c r="H13" s="36" t="n"/>
      <c r="I13" s="40" t="n"/>
      <c r="J13" s="41">
        <f>IFERROR(IF(I13="","",I13),"")</f>
        <v/>
      </c>
      <c r="K13" s="40" t="n"/>
      <c r="L13" s="41">
        <f>IFERROR(IF(K13="","",K13),"")</f>
        <v/>
      </c>
      <c r="M13" s="40" t="n"/>
      <c r="N13" s="41">
        <f>IFERROR(IF(M13="","",M13),"")</f>
        <v/>
      </c>
      <c r="O13" s="40" t="n"/>
      <c r="P13" s="41">
        <f>IFERROR(IF(O13="","",O13),"")</f>
        <v/>
      </c>
      <c r="Q13" s="42" t="n"/>
      <c r="R13" s="41">
        <f>IFERROR(IF(Q13="","",Q13),"")</f>
        <v/>
      </c>
      <c r="S13" s="40" t="n"/>
      <c r="T13" s="41">
        <f>IFERROR(IF(S13="","",S13),"")</f>
        <v/>
      </c>
      <c r="U13" s="39" t="n"/>
      <c r="V13" s="43" t="n"/>
      <c r="W13" s="39" t="n"/>
      <c r="X13" s="43" t="n"/>
      <c r="Y13" s="39" t="n"/>
      <c r="Z13" s="43" t="n"/>
      <c r="AA13" s="39" t="n"/>
      <c r="AB13" s="43" t="n"/>
      <c r="AC13" s="39" t="n"/>
      <c r="AD13" s="43" t="n"/>
      <c r="AE13" s="39" t="n"/>
      <c r="AF13" s="43" t="n"/>
      <c r="AG13" s="39" t="n"/>
      <c r="AH13" s="43" t="n"/>
      <c r="AI13" s="44">
        <f>IFERROR(IF(V13="",0,V13)+IF(X13="",0,X13)+IF(Z13="",0,Z13)+IF(AB13="",0,AB13)+IF(AD13="",0,AD13)+IF(AF13="",0,AF13)+IF(AH13="",0,AH13),"")</f>
        <v/>
      </c>
      <c r="AJ13" s="44">
        <f>IFERROR(ROUND(AI13/21*100,0),"")</f>
        <v/>
      </c>
      <c r="AK13" s="45">
        <f>IFERROR(IF(AJ13&gt;=80,"🟢 Hyvä",IF(AJ13&gt;=60,"🟡 Kehitys","🔴 Prioriteetti")),"")</f>
        <v/>
      </c>
      <c r="AL13" s="45">
        <f>IFERROR(IF(OR(F13="PHV-huippu",AJ13&lt;60),"⚠️ MAX 60%","OK"),"")</f>
        <v/>
      </c>
      <c r="AM13" s="46" t="n"/>
      <c r="AN13" s="46" t="n"/>
    </row>
    <row r="14">
      <c r="A14" s="47" t="n"/>
      <c r="B14" s="48" t="n"/>
      <c r="C14" s="47" t="n"/>
      <c r="D14" s="47" t="n"/>
      <c r="E14" s="49" t="n"/>
      <c r="F14" s="39" t="n"/>
      <c r="G14" s="47" t="n"/>
      <c r="H14" s="47" t="n"/>
      <c r="I14" s="40" t="n"/>
      <c r="J14" s="41">
        <f>IFERROR(IF(I14="","",I14),"")</f>
        <v/>
      </c>
      <c r="K14" s="40" t="n"/>
      <c r="L14" s="41">
        <f>IFERROR(IF(K14="","",K14),"")</f>
        <v/>
      </c>
      <c r="M14" s="40" t="n"/>
      <c r="N14" s="41">
        <f>IFERROR(IF(M14="","",M14),"")</f>
        <v/>
      </c>
      <c r="O14" s="40" t="n"/>
      <c r="P14" s="41">
        <f>IFERROR(IF(O14="","",O14),"")</f>
        <v/>
      </c>
      <c r="Q14" s="42" t="n"/>
      <c r="R14" s="41">
        <f>IFERROR(IF(Q14="","",Q14),"")</f>
        <v/>
      </c>
      <c r="S14" s="40" t="n"/>
      <c r="T14" s="41">
        <f>IFERROR(IF(S14="","",S14),"")</f>
        <v/>
      </c>
      <c r="U14" s="39" t="n"/>
      <c r="V14" s="43" t="n"/>
      <c r="W14" s="39" t="n"/>
      <c r="X14" s="43" t="n"/>
      <c r="Y14" s="39" t="n"/>
      <c r="Z14" s="43" t="n"/>
      <c r="AA14" s="39" t="n"/>
      <c r="AB14" s="43" t="n"/>
      <c r="AC14" s="39" t="n"/>
      <c r="AD14" s="43" t="n"/>
      <c r="AE14" s="39" t="n"/>
      <c r="AF14" s="43" t="n"/>
      <c r="AG14" s="39" t="n"/>
      <c r="AH14" s="43" t="n"/>
      <c r="AI14" s="44">
        <f>IFERROR(IF(V14="",0,V14)+IF(X14="",0,X14)+IF(Z14="",0,Z14)+IF(AB14="",0,AB14)+IF(AD14="",0,AD14)+IF(AF14="",0,AF14)+IF(AH14="",0,AH14),"")</f>
        <v/>
      </c>
      <c r="AJ14" s="44">
        <f>IFERROR(ROUND(AI14/21*100,0),"")</f>
        <v/>
      </c>
      <c r="AK14" s="45">
        <f>IFERROR(IF(AJ14&gt;=80,"🟢 Hyvä",IF(AJ14&gt;=60,"🟡 Kehitys","🔴 Prioriteetti")),"")</f>
        <v/>
      </c>
      <c r="AL14" s="45">
        <f>IFERROR(IF(OR(F14="PHV-huippu",AJ14&lt;60),"⚠️ MAX 60%","OK"),"")</f>
        <v/>
      </c>
      <c r="AM14" s="50" t="n"/>
      <c r="AN14" s="50" t="n"/>
    </row>
    <row r="15">
      <c r="A15" s="36" t="n"/>
      <c r="B15" s="37" t="n"/>
      <c r="C15" s="36" t="n"/>
      <c r="D15" s="36" t="n"/>
      <c r="E15" s="38" t="n"/>
      <c r="F15" s="39" t="n"/>
      <c r="G15" s="36" t="n"/>
      <c r="H15" s="36" t="n"/>
      <c r="I15" s="40" t="n"/>
      <c r="J15" s="41">
        <f>IFERROR(IF(I15="","",I15),"")</f>
        <v/>
      </c>
      <c r="K15" s="40" t="n"/>
      <c r="L15" s="41">
        <f>IFERROR(IF(K15="","",K15),"")</f>
        <v/>
      </c>
      <c r="M15" s="40" t="n"/>
      <c r="N15" s="41">
        <f>IFERROR(IF(M15="","",M15),"")</f>
        <v/>
      </c>
      <c r="O15" s="40" t="n"/>
      <c r="P15" s="41">
        <f>IFERROR(IF(O15="","",O15),"")</f>
        <v/>
      </c>
      <c r="Q15" s="42" t="n"/>
      <c r="R15" s="41">
        <f>IFERROR(IF(Q15="","",Q15),"")</f>
        <v/>
      </c>
      <c r="S15" s="40" t="n"/>
      <c r="T15" s="41">
        <f>IFERROR(IF(S15="","",S15),"")</f>
        <v/>
      </c>
      <c r="U15" s="39" t="n"/>
      <c r="V15" s="43" t="n"/>
      <c r="W15" s="39" t="n"/>
      <c r="X15" s="43" t="n"/>
      <c r="Y15" s="39" t="n"/>
      <c r="Z15" s="43" t="n"/>
      <c r="AA15" s="39" t="n"/>
      <c r="AB15" s="43" t="n"/>
      <c r="AC15" s="39" t="n"/>
      <c r="AD15" s="43" t="n"/>
      <c r="AE15" s="39" t="n"/>
      <c r="AF15" s="43" t="n"/>
      <c r="AG15" s="39" t="n"/>
      <c r="AH15" s="43" t="n"/>
      <c r="AI15" s="44">
        <f>IFERROR(IF(V15="",0,V15)+IF(X15="",0,X15)+IF(Z15="",0,Z15)+IF(AB15="",0,AB15)+IF(AD15="",0,AD15)+IF(AF15="",0,AF15)+IF(AH15="",0,AH15),"")</f>
        <v/>
      </c>
      <c r="AJ15" s="44">
        <f>IFERROR(ROUND(AI15/21*100,0),"")</f>
        <v/>
      </c>
      <c r="AK15" s="45">
        <f>IFERROR(IF(AJ15&gt;=80,"🟢 Hyvä",IF(AJ15&gt;=60,"🟡 Kehitys","🔴 Prioriteetti")),"")</f>
        <v/>
      </c>
      <c r="AL15" s="45">
        <f>IFERROR(IF(OR(F15="PHV-huippu",AJ15&lt;60),"⚠️ MAX 60%","OK"),"")</f>
        <v/>
      </c>
      <c r="AM15" s="46" t="n"/>
      <c r="AN15" s="46" t="n"/>
    </row>
    <row r="16">
      <c r="A16" s="47" t="n"/>
      <c r="B16" s="48" t="n"/>
      <c r="C16" s="47" t="n"/>
      <c r="D16" s="47" t="n"/>
      <c r="E16" s="49" t="n"/>
      <c r="F16" s="39" t="n"/>
      <c r="G16" s="47" t="n"/>
      <c r="H16" s="47" t="n"/>
      <c r="I16" s="40" t="n"/>
      <c r="J16" s="41">
        <f>IFERROR(IF(I16="","",I16),"")</f>
        <v/>
      </c>
      <c r="K16" s="40" t="n"/>
      <c r="L16" s="41">
        <f>IFERROR(IF(K16="","",K16),"")</f>
        <v/>
      </c>
      <c r="M16" s="40" t="n"/>
      <c r="N16" s="41">
        <f>IFERROR(IF(M16="","",M16),"")</f>
        <v/>
      </c>
      <c r="O16" s="40" t="n"/>
      <c r="P16" s="41">
        <f>IFERROR(IF(O16="","",O16),"")</f>
        <v/>
      </c>
      <c r="Q16" s="42" t="n"/>
      <c r="R16" s="41">
        <f>IFERROR(IF(Q16="","",Q16),"")</f>
        <v/>
      </c>
      <c r="S16" s="40" t="n"/>
      <c r="T16" s="41">
        <f>IFERROR(IF(S16="","",S16),"")</f>
        <v/>
      </c>
      <c r="U16" s="39" t="n"/>
      <c r="V16" s="43" t="n"/>
      <c r="W16" s="39" t="n"/>
      <c r="X16" s="43" t="n"/>
      <c r="Y16" s="39" t="n"/>
      <c r="Z16" s="43" t="n"/>
      <c r="AA16" s="39" t="n"/>
      <c r="AB16" s="43" t="n"/>
      <c r="AC16" s="39" t="n"/>
      <c r="AD16" s="43" t="n"/>
      <c r="AE16" s="39" t="n"/>
      <c r="AF16" s="43" t="n"/>
      <c r="AG16" s="39" t="n"/>
      <c r="AH16" s="43" t="n"/>
      <c r="AI16" s="44">
        <f>IFERROR(IF(V16="",0,V16)+IF(X16="",0,X16)+IF(Z16="",0,Z16)+IF(AB16="",0,AB16)+IF(AD16="",0,AD16)+IF(AF16="",0,AF16)+IF(AH16="",0,AH16),"")</f>
        <v/>
      </c>
      <c r="AJ16" s="44">
        <f>IFERROR(ROUND(AI16/21*100,0),"")</f>
        <v/>
      </c>
      <c r="AK16" s="45">
        <f>IFERROR(IF(AJ16&gt;=80,"🟢 Hyvä",IF(AJ16&gt;=60,"🟡 Kehitys","🔴 Prioriteetti")),"")</f>
        <v/>
      </c>
      <c r="AL16" s="45">
        <f>IFERROR(IF(OR(F16="PHV-huippu",AJ16&lt;60),"⚠️ MAX 60%","OK"),"")</f>
        <v/>
      </c>
      <c r="AM16" s="50" t="n"/>
      <c r="AN16" s="50" t="n"/>
    </row>
    <row r="17">
      <c r="A17" s="36" t="n"/>
      <c r="B17" s="37" t="n"/>
      <c r="C17" s="36" t="n"/>
      <c r="D17" s="36" t="n"/>
      <c r="E17" s="38" t="n"/>
      <c r="F17" s="39" t="n"/>
      <c r="G17" s="36" t="n"/>
      <c r="H17" s="36" t="n"/>
      <c r="I17" s="40" t="n"/>
      <c r="J17" s="41">
        <f>IFERROR(IF(I17="","",I17),"")</f>
        <v/>
      </c>
      <c r="K17" s="40" t="n"/>
      <c r="L17" s="41">
        <f>IFERROR(IF(K17="","",K17),"")</f>
        <v/>
      </c>
      <c r="M17" s="40" t="n"/>
      <c r="N17" s="41">
        <f>IFERROR(IF(M17="","",M17),"")</f>
        <v/>
      </c>
      <c r="O17" s="40" t="n"/>
      <c r="P17" s="41">
        <f>IFERROR(IF(O17="","",O17),"")</f>
        <v/>
      </c>
      <c r="Q17" s="42" t="n"/>
      <c r="R17" s="41">
        <f>IFERROR(IF(Q17="","",Q17),"")</f>
        <v/>
      </c>
      <c r="S17" s="40" t="n"/>
      <c r="T17" s="41">
        <f>IFERROR(IF(S17="","",S17),"")</f>
        <v/>
      </c>
      <c r="U17" s="39" t="n"/>
      <c r="V17" s="43" t="n"/>
      <c r="W17" s="39" t="n"/>
      <c r="X17" s="43" t="n"/>
      <c r="Y17" s="39" t="n"/>
      <c r="Z17" s="43" t="n"/>
      <c r="AA17" s="39" t="n"/>
      <c r="AB17" s="43" t="n"/>
      <c r="AC17" s="39" t="n"/>
      <c r="AD17" s="43" t="n"/>
      <c r="AE17" s="39" t="n"/>
      <c r="AF17" s="43" t="n"/>
      <c r="AG17" s="39" t="n"/>
      <c r="AH17" s="43" t="n"/>
      <c r="AI17" s="44">
        <f>IFERROR(IF(V17="",0,V17)+IF(X17="",0,X17)+IF(Z17="",0,Z17)+IF(AB17="",0,AB17)+IF(AD17="",0,AD17)+IF(AF17="",0,AF17)+IF(AH17="",0,AH17),"")</f>
        <v/>
      </c>
      <c r="AJ17" s="44">
        <f>IFERROR(ROUND(AI17/21*100,0),"")</f>
        <v/>
      </c>
      <c r="AK17" s="45">
        <f>IFERROR(IF(AJ17&gt;=80,"🟢 Hyvä",IF(AJ17&gt;=60,"🟡 Kehitys","🔴 Prioriteetti")),"")</f>
        <v/>
      </c>
      <c r="AL17" s="45">
        <f>IFERROR(IF(OR(F17="PHV-huippu",AJ17&lt;60),"⚠️ MAX 60%","OK"),"")</f>
        <v/>
      </c>
      <c r="AM17" s="46" t="n"/>
      <c r="AN17" s="46" t="n"/>
    </row>
    <row r="18">
      <c r="A18" s="47" t="n"/>
      <c r="B18" s="48" t="n"/>
      <c r="C18" s="47" t="n"/>
      <c r="D18" s="47" t="n"/>
      <c r="E18" s="49" t="n"/>
      <c r="F18" s="39" t="n"/>
      <c r="G18" s="47" t="n"/>
      <c r="H18" s="47" t="n"/>
      <c r="I18" s="40" t="n"/>
      <c r="J18" s="41">
        <f>IFERROR(IF(I18="","",I18),"")</f>
        <v/>
      </c>
      <c r="K18" s="40" t="n"/>
      <c r="L18" s="41">
        <f>IFERROR(IF(K18="","",K18),"")</f>
        <v/>
      </c>
      <c r="M18" s="40" t="n"/>
      <c r="N18" s="41">
        <f>IFERROR(IF(M18="","",M18),"")</f>
        <v/>
      </c>
      <c r="O18" s="40" t="n"/>
      <c r="P18" s="41">
        <f>IFERROR(IF(O18="","",O18),"")</f>
        <v/>
      </c>
      <c r="Q18" s="42" t="n"/>
      <c r="R18" s="41">
        <f>IFERROR(IF(Q18="","",Q18),"")</f>
        <v/>
      </c>
      <c r="S18" s="40" t="n"/>
      <c r="T18" s="41">
        <f>IFERROR(IF(S18="","",S18),"")</f>
        <v/>
      </c>
      <c r="U18" s="39" t="n"/>
      <c r="V18" s="43" t="n"/>
      <c r="W18" s="39" t="n"/>
      <c r="X18" s="43" t="n"/>
      <c r="Y18" s="39" t="n"/>
      <c r="Z18" s="43" t="n"/>
      <c r="AA18" s="39" t="n"/>
      <c r="AB18" s="43" t="n"/>
      <c r="AC18" s="39" t="n"/>
      <c r="AD18" s="43" t="n"/>
      <c r="AE18" s="39" t="n"/>
      <c r="AF18" s="43" t="n"/>
      <c r="AG18" s="39" t="n"/>
      <c r="AH18" s="43" t="n"/>
      <c r="AI18" s="44">
        <f>IFERROR(IF(V18="",0,V18)+IF(X18="",0,X18)+IF(Z18="",0,Z18)+IF(AB18="",0,AB18)+IF(AD18="",0,AD18)+IF(AF18="",0,AF18)+IF(AH18="",0,AH18),"")</f>
        <v/>
      </c>
      <c r="AJ18" s="44">
        <f>IFERROR(ROUND(AI18/21*100,0),"")</f>
        <v/>
      </c>
      <c r="AK18" s="45">
        <f>IFERROR(IF(AJ18&gt;=80,"🟢 Hyvä",IF(AJ18&gt;=60,"🟡 Kehitys","🔴 Prioriteetti")),"")</f>
        <v/>
      </c>
      <c r="AL18" s="45">
        <f>IFERROR(IF(OR(F18="PHV-huippu",AJ18&lt;60),"⚠️ MAX 60%","OK"),"")</f>
        <v/>
      </c>
      <c r="AM18" s="50" t="n"/>
      <c r="AN18" s="50" t="n"/>
    </row>
    <row r="19">
      <c r="A19" s="36" t="n"/>
      <c r="B19" s="37" t="n"/>
      <c r="C19" s="36" t="n"/>
      <c r="D19" s="36" t="n"/>
      <c r="E19" s="38" t="n"/>
      <c r="F19" s="39" t="n"/>
      <c r="G19" s="36" t="n"/>
      <c r="H19" s="36" t="n"/>
      <c r="I19" s="40" t="n"/>
      <c r="J19" s="41">
        <f>IFERROR(IF(I19="","",I19),"")</f>
        <v/>
      </c>
      <c r="K19" s="40" t="n"/>
      <c r="L19" s="41">
        <f>IFERROR(IF(K19="","",K19),"")</f>
        <v/>
      </c>
      <c r="M19" s="40" t="n"/>
      <c r="N19" s="41">
        <f>IFERROR(IF(M19="","",M19),"")</f>
        <v/>
      </c>
      <c r="O19" s="40" t="n"/>
      <c r="P19" s="41">
        <f>IFERROR(IF(O19="","",O19),"")</f>
        <v/>
      </c>
      <c r="Q19" s="42" t="n"/>
      <c r="R19" s="41">
        <f>IFERROR(IF(Q19="","",Q19),"")</f>
        <v/>
      </c>
      <c r="S19" s="40" t="n"/>
      <c r="T19" s="41">
        <f>IFERROR(IF(S19="","",S19),"")</f>
        <v/>
      </c>
      <c r="U19" s="39" t="n"/>
      <c r="V19" s="43" t="n"/>
      <c r="W19" s="39" t="n"/>
      <c r="X19" s="43" t="n"/>
      <c r="Y19" s="39" t="n"/>
      <c r="Z19" s="43" t="n"/>
      <c r="AA19" s="39" t="n"/>
      <c r="AB19" s="43" t="n"/>
      <c r="AC19" s="39" t="n"/>
      <c r="AD19" s="43" t="n"/>
      <c r="AE19" s="39" t="n"/>
      <c r="AF19" s="43" t="n"/>
      <c r="AG19" s="39" t="n"/>
      <c r="AH19" s="43" t="n"/>
      <c r="AI19" s="44">
        <f>IFERROR(IF(V19="",0,V19)+IF(X19="",0,X19)+IF(Z19="",0,Z19)+IF(AB19="",0,AB19)+IF(AD19="",0,AD19)+IF(AF19="",0,AF19)+IF(AH19="",0,AH19),"")</f>
        <v/>
      </c>
      <c r="AJ19" s="44">
        <f>IFERROR(ROUND(AI19/21*100,0),"")</f>
        <v/>
      </c>
      <c r="AK19" s="45">
        <f>IFERROR(IF(AJ19&gt;=80,"🟢 Hyvä",IF(AJ19&gt;=60,"🟡 Kehitys","🔴 Prioriteetti")),"")</f>
        <v/>
      </c>
      <c r="AL19" s="45">
        <f>IFERROR(IF(OR(F19="PHV-huippu",AJ19&lt;60),"⚠️ MAX 60%","OK"),"")</f>
        <v/>
      </c>
      <c r="AM19" s="46" t="n"/>
      <c r="AN19" s="46" t="n"/>
    </row>
    <row r="20">
      <c r="A20" s="47" t="n"/>
      <c r="B20" s="48" t="n"/>
      <c r="C20" s="47" t="n"/>
      <c r="D20" s="47" t="n"/>
      <c r="E20" s="49" t="n"/>
      <c r="F20" s="39" t="n"/>
      <c r="G20" s="47" t="n"/>
      <c r="H20" s="47" t="n"/>
      <c r="I20" s="40" t="n"/>
      <c r="J20" s="41">
        <f>IFERROR(IF(I20="","",I20),"")</f>
        <v/>
      </c>
      <c r="K20" s="40" t="n"/>
      <c r="L20" s="41">
        <f>IFERROR(IF(K20="","",K20),"")</f>
        <v/>
      </c>
      <c r="M20" s="40" t="n"/>
      <c r="N20" s="41">
        <f>IFERROR(IF(M20="","",M20),"")</f>
        <v/>
      </c>
      <c r="O20" s="40" t="n"/>
      <c r="P20" s="41">
        <f>IFERROR(IF(O20="","",O20),"")</f>
        <v/>
      </c>
      <c r="Q20" s="42" t="n"/>
      <c r="R20" s="41">
        <f>IFERROR(IF(Q20="","",Q20),"")</f>
        <v/>
      </c>
      <c r="S20" s="40" t="n"/>
      <c r="T20" s="41">
        <f>IFERROR(IF(S20="","",S20),"")</f>
        <v/>
      </c>
      <c r="U20" s="39" t="n"/>
      <c r="V20" s="43" t="n"/>
      <c r="W20" s="39" t="n"/>
      <c r="X20" s="43" t="n"/>
      <c r="Y20" s="39" t="n"/>
      <c r="Z20" s="43" t="n"/>
      <c r="AA20" s="39" t="n"/>
      <c r="AB20" s="43" t="n"/>
      <c r="AC20" s="39" t="n"/>
      <c r="AD20" s="43" t="n"/>
      <c r="AE20" s="39" t="n"/>
      <c r="AF20" s="43" t="n"/>
      <c r="AG20" s="39" t="n"/>
      <c r="AH20" s="43" t="n"/>
      <c r="AI20" s="44">
        <f>IFERROR(IF(V20="",0,V20)+IF(X20="",0,X20)+IF(Z20="",0,Z20)+IF(AB20="",0,AB20)+IF(AD20="",0,AD20)+IF(AF20="",0,AF20)+IF(AH20="",0,AH20),"")</f>
        <v/>
      </c>
      <c r="AJ20" s="44">
        <f>IFERROR(ROUND(AI20/21*100,0),"")</f>
        <v/>
      </c>
      <c r="AK20" s="45">
        <f>IFERROR(IF(AJ20&gt;=80,"🟢 Hyvä",IF(AJ20&gt;=60,"🟡 Kehitys","🔴 Prioriteetti")),"")</f>
        <v/>
      </c>
      <c r="AL20" s="45">
        <f>IFERROR(IF(OR(F20="PHV-huippu",AJ20&lt;60),"⚠️ MAX 60%","OK"),"")</f>
        <v/>
      </c>
      <c r="AM20" s="50" t="n"/>
      <c r="AN20" s="50" t="n"/>
    </row>
    <row r="21">
      <c r="A21" s="36" t="n"/>
      <c r="B21" s="37" t="n"/>
      <c r="C21" s="36" t="n"/>
      <c r="D21" s="36" t="n"/>
      <c r="E21" s="38" t="n"/>
      <c r="F21" s="39" t="n"/>
      <c r="G21" s="36" t="n"/>
      <c r="H21" s="36" t="n"/>
      <c r="I21" s="40" t="n"/>
      <c r="J21" s="41">
        <f>IFERROR(IF(I21="","",I21),"")</f>
        <v/>
      </c>
      <c r="K21" s="40" t="n"/>
      <c r="L21" s="41">
        <f>IFERROR(IF(K21="","",K21),"")</f>
        <v/>
      </c>
      <c r="M21" s="40" t="n"/>
      <c r="N21" s="41">
        <f>IFERROR(IF(M21="","",M21),"")</f>
        <v/>
      </c>
      <c r="O21" s="40" t="n"/>
      <c r="P21" s="41">
        <f>IFERROR(IF(O21="","",O21),"")</f>
        <v/>
      </c>
      <c r="Q21" s="42" t="n"/>
      <c r="R21" s="41">
        <f>IFERROR(IF(Q21="","",Q21),"")</f>
        <v/>
      </c>
      <c r="S21" s="40" t="n"/>
      <c r="T21" s="41">
        <f>IFERROR(IF(S21="","",S21),"")</f>
        <v/>
      </c>
      <c r="U21" s="39" t="n"/>
      <c r="V21" s="43" t="n"/>
      <c r="W21" s="39" t="n"/>
      <c r="X21" s="43" t="n"/>
      <c r="Y21" s="39" t="n"/>
      <c r="Z21" s="43" t="n"/>
      <c r="AA21" s="39" t="n"/>
      <c r="AB21" s="43" t="n"/>
      <c r="AC21" s="39" t="n"/>
      <c r="AD21" s="43" t="n"/>
      <c r="AE21" s="39" t="n"/>
      <c r="AF21" s="43" t="n"/>
      <c r="AG21" s="39" t="n"/>
      <c r="AH21" s="43" t="n"/>
      <c r="AI21" s="44">
        <f>IFERROR(IF(V21="",0,V21)+IF(X21="",0,X21)+IF(Z21="",0,Z21)+IF(AB21="",0,AB21)+IF(AD21="",0,AD21)+IF(AF21="",0,AF21)+IF(AH21="",0,AH21),"")</f>
        <v/>
      </c>
      <c r="AJ21" s="44">
        <f>IFERROR(ROUND(AI21/21*100,0),"")</f>
        <v/>
      </c>
      <c r="AK21" s="45">
        <f>IFERROR(IF(AJ21&gt;=80,"🟢 Hyvä",IF(AJ21&gt;=60,"🟡 Kehitys","🔴 Prioriteetti")),"")</f>
        <v/>
      </c>
      <c r="AL21" s="45">
        <f>IFERROR(IF(OR(F21="PHV-huippu",AJ21&lt;60),"⚠️ MAX 60%","OK"),"")</f>
        <v/>
      </c>
      <c r="AM21" s="46" t="n"/>
      <c r="AN21" s="46" t="n"/>
    </row>
    <row r="22">
      <c r="A22" s="47" t="n"/>
      <c r="B22" s="48" t="n"/>
      <c r="C22" s="47" t="n"/>
      <c r="D22" s="47" t="n"/>
      <c r="E22" s="49" t="n"/>
      <c r="F22" s="39" t="n"/>
      <c r="G22" s="47" t="n"/>
      <c r="H22" s="47" t="n"/>
      <c r="I22" s="40" t="n"/>
      <c r="J22" s="41">
        <f>IFERROR(IF(I22="","",I22),"")</f>
        <v/>
      </c>
      <c r="K22" s="40" t="n"/>
      <c r="L22" s="41">
        <f>IFERROR(IF(K22="","",K22),"")</f>
        <v/>
      </c>
      <c r="M22" s="40" t="n"/>
      <c r="N22" s="41">
        <f>IFERROR(IF(M22="","",M22),"")</f>
        <v/>
      </c>
      <c r="O22" s="40" t="n"/>
      <c r="P22" s="41">
        <f>IFERROR(IF(O22="","",O22),"")</f>
        <v/>
      </c>
      <c r="Q22" s="42" t="n"/>
      <c r="R22" s="41">
        <f>IFERROR(IF(Q22="","",Q22),"")</f>
        <v/>
      </c>
      <c r="S22" s="40" t="n"/>
      <c r="T22" s="41">
        <f>IFERROR(IF(S22="","",S22),"")</f>
        <v/>
      </c>
      <c r="U22" s="39" t="n"/>
      <c r="V22" s="43" t="n"/>
      <c r="W22" s="39" t="n"/>
      <c r="X22" s="43" t="n"/>
      <c r="Y22" s="39" t="n"/>
      <c r="Z22" s="43" t="n"/>
      <c r="AA22" s="39" t="n"/>
      <c r="AB22" s="43" t="n"/>
      <c r="AC22" s="39" t="n"/>
      <c r="AD22" s="43" t="n"/>
      <c r="AE22" s="39" t="n"/>
      <c r="AF22" s="43" t="n"/>
      <c r="AG22" s="39" t="n"/>
      <c r="AH22" s="43" t="n"/>
      <c r="AI22" s="44">
        <f>IFERROR(IF(V22="",0,V22)+IF(X22="",0,X22)+IF(Z22="",0,Z22)+IF(AB22="",0,AB22)+IF(AD22="",0,AD22)+IF(AF22="",0,AF22)+IF(AH22="",0,AH22),"")</f>
        <v/>
      </c>
      <c r="AJ22" s="44">
        <f>IFERROR(ROUND(AI22/21*100,0),"")</f>
        <v/>
      </c>
      <c r="AK22" s="45">
        <f>IFERROR(IF(AJ22&gt;=80,"🟢 Hyvä",IF(AJ22&gt;=60,"🟡 Kehitys","🔴 Prioriteetti")),"")</f>
        <v/>
      </c>
      <c r="AL22" s="45">
        <f>IFERROR(IF(OR(F22="PHV-huippu",AJ22&lt;60),"⚠️ MAX 60%","OK"),"")</f>
        <v/>
      </c>
      <c r="AM22" s="50" t="n"/>
      <c r="AN22" s="50" t="n"/>
    </row>
    <row r="23">
      <c r="A23" s="36" t="n"/>
      <c r="B23" s="37" t="n"/>
      <c r="C23" s="36" t="n"/>
      <c r="D23" s="36" t="n"/>
      <c r="E23" s="38" t="n"/>
      <c r="F23" s="39" t="n"/>
      <c r="G23" s="36" t="n"/>
      <c r="H23" s="36" t="n"/>
      <c r="I23" s="40" t="n"/>
      <c r="J23" s="41">
        <f>IFERROR(IF(I23="","",I23),"")</f>
        <v/>
      </c>
      <c r="K23" s="40" t="n"/>
      <c r="L23" s="41">
        <f>IFERROR(IF(K23="","",K23),"")</f>
        <v/>
      </c>
      <c r="M23" s="40" t="n"/>
      <c r="N23" s="41">
        <f>IFERROR(IF(M23="","",M23),"")</f>
        <v/>
      </c>
      <c r="O23" s="40" t="n"/>
      <c r="P23" s="41">
        <f>IFERROR(IF(O23="","",O23),"")</f>
        <v/>
      </c>
      <c r="Q23" s="42" t="n"/>
      <c r="R23" s="41">
        <f>IFERROR(IF(Q23="","",Q23),"")</f>
        <v/>
      </c>
      <c r="S23" s="40" t="n"/>
      <c r="T23" s="41">
        <f>IFERROR(IF(S23="","",S23),"")</f>
        <v/>
      </c>
      <c r="U23" s="39" t="n"/>
      <c r="V23" s="43" t="n"/>
      <c r="W23" s="39" t="n"/>
      <c r="X23" s="43" t="n"/>
      <c r="Y23" s="39" t="n"/>
      <c r="Z23" s="43" t="n"/>
      <c r="AA23" s="39" t="n"/>
      <c r="AB23" s="43" t="n"/>
      <c r="AC23" s="39" t="n"/>
      <c r="AD23" s="43" t="n"/>
      <c r="AE23" s="39" t="n"/>
      <c r="AF23" s="43" t="n"/>
      <c r="AG23" s="39" t="n"/>
      <c r="AH23" s="43" t="n"/>
      <c r="AI23" s="44">
        <f>IFERROR(IF(V23="",0,V23)+IF(X23="",0,X23)+IF(Z23="",0,Z23)+IF(AB23="",0,AB23)+IF(AD23="",0,AD23)+IF(AF23="",0,AF23)+IF(AH23="",0,AH23),"")</f>
        <v/>
      </c>
      <c r="AJ23" s="44">
        <f>IFERROR(ROUND(AI23/21*100,0),"")</f>
        <v/>
      </c>
      <c r="AK23" s="45">
        <f>IFERROR(IF(AJ23&gt;=80,"🟢 Hyvä",IF(AJ23&gt;=60,"🟡 Kehitys","🔴 Prioriteetti")),"")</f>
        <v/>
      </c>
      <c r="AL23" s="45">
        <f>IFERROR(IF(OR(F23="PHV-huippu",AJ23&lt;60),"⚠️ MAX 60%","OK"),"")</f>
        <v/>
      </c>
      <c r="AM23" s="46" t="n"/>
      <c r="AN23" s="46" t="n"/>
    </row>
    <row r="24">
      <c r="A24" s="47" t="n"/>
      <c r="B24" s="48" t="n"/>
      <c r="C24" s="47" t="n"/>
      <c r="D24" s="47" t="n"/>
      <c r="E24" s="49" t="n"/>
      <c r="F24" s="39" t="n"/>
      <c r="G24" s="47" t="n"/>
      <c r="H24" s="47" t="n"/>
      <c r="I24" s="40" t="n"/>
      <c r="J24" s="41">
        <f>IFERROR(IF(I24="","",I24),"")</f>
        <v/>
      </c>
      <c r="K24" s="40" t="n"/>
      <c r="L24" s="41">
        <f>IFERROR(IF(K24="","",K24),"")</f>
        <v/>
      </c>
      <c r="M24" s="40" t="n"/>
      <c r="N24" s="41">
        <f>IFERROR(IF(M24="","",M24),"")</f>
        <v/>
      </c>
      <c r="O24" s="40" t="n"/>
      <c r="P24" s="41">
        <f>IFERROR(IF(O24="","",O24),"")</f>
        <v/>
      </c>
      <c r="Q24" s="42" t="n"/>
      <c r="R24" s="41">
        <f>IFERROR(IF(Q24="","",Q24),"")</f>
        <v/>
      </c>
      <c r="S24" s="40" t="n"/>
      <c r="T24" s="41">
        <f>IFERROR(IF(S24="","",S24),"")</f>
        <v/>
      </c>
      <c r="U24" s="39" t="n"/>
      <c r="V24" s="43" t="n"/>
      <c r="W24" s="39" t="n"/>
      <c r="X24" s="43" t="n"/>
      <c r="Y24" s="39" t="n"/>
      <c r="Z24" s="43" t="n"/>
      <c r="AA24" s="39" t="n"/>
      <c r="AB24" s="43" t="n"/>
      <c r="AC24" s="39" t="n"/>
      <c r="AD24" s="43" t="n"/>
      <c r="AE24" s="39" t="n"/>
      <c r="AF24" s="43" t="n"/>
      <c r="AG24" s="39" t="n"/>
      <c r="AH24" s="43" t="n"/>
      <c r="AI24" s="44">
        <f>IFERROR(IF(V24="",0,V24)+IF(X24="",0,X24)+IF(Z24="",0,Z24)+IF(AB24="",0,AB24)+IF(AD24="",0,AD24)+IF(AF24="",0,AF24)+IF(AH24="",0,AH24),"")</f>
        <v/>
      </c>
      <c r="AJ24" s="44">
        <f>IFERROR(ROUND(AI24/21*100,0),"")</f>
        <v/>
      </c>
      <c r="AK24" s="45">
        <f>IFERROR(IF(AJ24&gt;=80,"🟢 Hyvä",IF(AJ24&gt;=60,"🟡 Kehitys","🔴 Prioriteetti")),"")</f>
        <v/>
      </c>
      <c r="AL24" s="45">
        <f>IFERROR(IF(OR(F24="PHV-huippu",AJ24&lt;60),"⚠️ MAX 60%","OK"),"")</f>
        <v/>
      </c>
      <c r="AM24" s="50" t="n"/>
      <c r="AN24" s="50" t="n"/>
    </row>
    <row r="25">
      <c r="A25" s="36" t="n"/>
      <c r="B25" s="37" t="n"/>
      <c r="C25" s="36" t="n"/>
      <c r="D25" s="36" t="n"/>
      <c r="E25" s="38" t="n"/>
      <c r="F25" s="39" t="n"/>
      <c r="G25" s="36" t="n"/>
      <c r="H25" s="36" t="n"/>
      <c r="I25" s="40" t="n"/>
      <c r="J25" s="41">
        <f>IFERROR(IF(I25="","",I25),"")</f>
        <v/>
      </c>
      <c r="K25" s="40" t="n"/>
      <c r="L25" s="41">
        <f>IFERROR(IF(K25="","",K25),"")</f>
        <v/>
      </c>
      <c r="M25" s="40" t="n"/>
      <c r="N25" s="41">
        <f>IFERROR(IF(M25="","",M25),"")</f>
        <v/>
      </c>
      <c r="O25" s="40" t="n"/>
      <c r="P25" s="41">
        <f>IFERROR(IF(O25="","",O25),"")</f>
        <v/>
      </c>
      <c r="Q25" s="42" t="n"/>
      <c r="R25" s="41">
        <f>IFERROR(IF(Q25="","",Q25),"")</f>
        <v/>
      </c>
      <c r="S25" s="40" t="n"/>
      <c r="T25" s="41">
        <f>IFERROR(IF(S25="","",S25),"")</f>
        <v/>
      </c>
      <c r="U25" s="39" t="n"/>
      <c r="V25" s="43" t="n"/>
      <c r="W25" s="39" t="n"/>
      <c r="X25" s="43" t="n"/>
      <c r="Y25" s="39" t="n"/>
      <c r="Z25" s="43" t="n"/>
      <c r="AA25" s="39" t="n"/>
      <c r="AB25" s="43" t="n"/>
      <c r="AC25" s="39" t="n"/>
      <c r="AD25" s="43" t="n"/>
      <c r="AE25" s="39" t="n"/>
      <c r="AF25" s="43" t="n"/>
      <c r="AG25" s="39" t="n"/>
      <c r="AH25" s="43" t="n"/>
      <c r="AI25" s="44">
        <f>IFERROR(IF(V25="",0,V25)+IF(X25="",0,X25)+IF(Z25="",0,Z25)+IF(AB25="",0,AB25)+IF(AD25="",0,AD25)+IF(AF25="",0,AF25)+IF(AH25="",0,AH25),"")</f>
        <v/>
      </c>
      <c r="AJ25" s="44">
        <f>IFERROR(ROUND(AI25/21*100,0),"")</f>
        <v/>
      </c>
      <c r="AK25" s="45">
        <f>IFERROR(IF(AJ25&gt;=80,"🟢 Hyvä",IF(AJ25&gt;=60,"🟡 Kehitys","🔴 Prioriteetti")),"")</f>
        <v/>
      </c>
      <c r="AL25" s="45">
        <f>IFERROR(IF(OR(F25="PHV-huippu",AJ25&lt;60),"⚠️ MAX 60%","OK"),"")</f>
        <v/>
      </c>
      <c r="AM25" s="46" t="n"/>
      <c r="AN25" s="46" t="n"/>
    </row>
    <row r="26">
      <c r="A26" s="47" t="n"/>
      <c r="B26" s="48" t="n"/>
      <c r="C26" s="47" t="n"/>
      <c r="D26" s="47" t="n"/>
      <c r="E26" s="49" t="n"/>
      <c r="F26" s="39" t="n"/>
      <c r="G26" s="47" t="n"/>
      <c r="H26" s="47" t="n"/>
      <c r="I26" s="40" t="n"/>
      <c r="J26" s="41">
        <f>IFERROR(IF(I26="","",I26),"")</f>
        <v/>
      </c>
      <c r="K26" s="40" t="n"/>
      <c r="L26" s="41">
        <f>IFERROR(IF(K26="","",K26),"")</f>
        <v/>
      </c>
      <c r="M26" s="40" t="n"/>
      <c r="N26" s="41">
        <f>IFERROR(IF(M26="","",M26),"")</f>
        <v/>
      </c>
      <c r="O26" s="40" t="n"/>
      <c r="P26" s="41">
        <f>IFERROR(IF(O26="","",O26),"")</f>
        <v/>
      </c>
      <c r="Q26" s="42" t="n"/>
      <c r="R26" s="41">
        <f>IFERROR(IF(Q26="","",Q26),"")</f>
        <v/>
      </c>
      <c r="S26" s="40" t="n"/>
      <c r="T26" s="41">
        <f>IFERROR(IF(S26="","",S26),"")</f>
        <v/>
      </c>
      <c r="U26" s="39" t="n"/>
      <c r="V26" s="43" t="n"/>
      <c r="W26" s="39" t="n"/>
      <c r="X26" s="43" t="n"/>
      <c r="Y26" s="39" t="n"/>
      <c r="Z26" s="43" t="n"/>
      <c r="AA26" s="39" t="n"/>
      <c r="AB26" s="43" t="n"/>
      <c r="AC26" s="39" t="n"/>
      <c r="AD26" s="43" t="n"/>
      <c r="AE26" s="39" t="n"/>
      <c r="AF26" s="43" t="n"/>
      <c r="AG26" s="39" t="n"/>
      <c r="AH26" s="43" t="n"/>
      <c r="AI26" s="44">
        <f>IFERROR(IF(V26="",0,V26)+IF(X26="",0,X26)+IF(Z26="",0,Z26)+IF(AB26="",0,AB26)+IF(AD26="",0,AD26)+IF(AF26="",0,AF26)+IF(AH26="",0,AH26),"")</f>
        <v/>
      </c>
      <c r="AJ26" s="44">
        <f>IFERROR(ROUND(AI26/21*100,0),"")</f>
        <v/>
      </c>
      <c r="AK26" s="45">
        <f>IFERROR(IF(AJ26&gt;=80,"🟢 Hyvä",IF(AJ26&gt;=60,"🟡 Kehitys","🔴 Prioriteetti")),"")</f>
        <v/>
      </c>
      <c r="AL26" s="45">
        <f>IFERROR(IF(OR(F26="PHV-huippu",AJ26&lt;60),"⚠️ MAX 60%","OK"),"")</f>
        <v/>
      </c>
      <c r="AM26" s="50" t="n"/>
      <c r="AN26" s="50" t="n"/>
    </row>
    <row r="27">
      <c r="A27" s="36" t="n"/>
      <c r="B27" s="37" t="n"/>
      <c r="C27" s="36" t="n"/>
      <c r="D27" s="36" t="n"/>
      <c r="E27" s="38" t="n"/>
      <c r="F27" s="39" t="n"/>
      <c r="G27" s="36" t="n"/>
      <c r="H27" s="36" t="n"/>
      <c r="I27" s="40" t="n"/>
      <c r="J27" s="41">
        <f>IFERROR(IF(I27="","",I27),"")</f>
        <v/>
      </c>
      <c r="K27" s="40" t="n"/>
      <c r="L27" s="41">
        <f>IFERROR(IF(K27="","",K27),"")</f>
        <v/>
      </c>
      <c r="M27" s="40" t="n"/>
      <c r="N27" s="41">
        <f>IFERROR(IF(M27="","",M27),"")</f>
        <v/>
      </c>
      <c r="O27" s="40" t="n"/>
      <c r="P27" s="41">
        <f>IFERROR(IF(O27="","",O27),"")</f>
        <v/>
      </c>
      <c r="Q27" s="42" t="n"/>
      <c r="R27" s="41">
        <f>IFERROR(IF(Q27="","",Q27),"")</f>
        <v/>
      </c>
      <c r="S27" s="40" t="n"/>
      <c r="T27" s="41">
        <f>IFERROR(IF(S27="","",S27),"")</f>
        <v/>
      </c>
      <c r="U27" s="39" t="n"/>
      <c r="V27" s="43" t="n"/>
      <c r="W27" s="39" t="n"/>
      <c r="X27" s="43" t="n"/>
      <c r="Y27" s="39" t="n"/>
      <c r="Z27" s="43" t="n"/>
      <c r="AA27" s="39" t="n"/>
      <c r="AB27" s="43" t="n"/>
      <c r="AC27" s="39" t="n"/>
      <c r="AD27" s="43" t="n"/>
      <c r="AE27" s="39" t="n"/>
      <c r="AF27" s="43" t="n"/>
      <c r="AG27" s="39" t="n"/>
      <c r="AH27" s="43" t="n"/>
      <c r="AI27" s="44">
        <f>IFERROR(IF(V27="",0,V27)+IF(X27="",0,X27)+IF(Z27="",0,Z27)+IF(AB27="",0,AB27)+IF(AD27="",0,AD27)+IF(AF27="",0,AF27)+IF(AH27="",0,AH27),"")</f>
        <v/>
      </c>
      <c r="AJ27" s="44">
        <f>IFERROR(ROUND(AI27/21*100,0),"")</f>
        <v/>
      </c>
      <c r="AK27" s="45">
        <f>IFERROR(IF(AJ27&gt;=80,"🟢 Hyvä",IF(AJ27&gt;=60,"🟡 Kehitys","🔴 Prioriteetti")),"")</f>
        <v/>
      </c>
      <c r="AL27" s="45">
        <f>IFERROR(IF(OR(F27="PHV-huippu",AJ27&lt;60),"⚠️ MAX 60%","OK"),"")</f>
        <v/>
      </c>
      <c r="AM27" s="46" t="n"/>
      <c r="AN27" s="46" t="n"/>
    </row>
    <row r="28">
      <c r="A28" s="47" t="n"/>
      <c r="B28" s="48" t="n"/>
      <c r="C28" s="47" t="n"/>
      <c r="D28" s="47" t="n"/>
      <c r="E28" s="49" t="n"/>
      <c r="F28" s="39" t="n"/>
      <c r="G28" s="47" t="n"/>
      <c r="H28" s="47" t="n"/>
      <c r="I28" s="40" t="n"/>
      <c r="J28" s="41">
        <f>IFERROR(IF(I28="","",I28),"")</f>
        <v/>
      </c>
      <c r="K28" s="40" t="n"/>
      <c r="L28" s="41">
        <f>IFERROR(IF(K28="","",K28),"")</f>
        <v/>
      </c>
      <c r="M28" s="40" t="n"/>
      <c r="N28" s="41">
        <f>IFERROR(IF(M28="","",M28),"")</f>
        <v/>
      </c>
      <c r="O28" s="40" t="n"/>
      <c r="P28" s="41">
        <f>IFERROR(IF(O28="","",O28),"")</f>
        <v/>
      </c>
      <c r="Q28" s="42" t="n"/>
      <c r="R28" s="41">
        <f>IFERROR(IF(Q28="","",Q28),"")</f>
        <v/>
      </c>
      <c r="S28" s="40" t="n"/>
      <c r="T28" s="41">
        <f>IFERROR(IF(S28="","",S28),"")</f>
        <v/>
      </c>
      <c r="U28" s="39" t="n"/>
      <c r="V28" s="43" t="n"/>
      <c r="W28" s="39" t="n"/>
      <c r="X28" s="43" t="n"/>
      <c r="Y28" s="39" t="n"/>
      <c r="Z28" s="43" t="n"/>
      <c r="AA28" s="39" t="n"/>
      <c r="AB28" s="43" t="n"/>
      <c r="AC28" s="39" t="n"/>
      <c r="AD28" s="43" t="n"/>
      <c r="AE28" s="39" t="n"/>
      <c r="AF28" s="43" t="n"/>
      <c r="AG28" s="39" t="n"/>
      <c r="AH28" s="43" t="n"/>
      <c r="AI28" s="44">
        <f>IFERROR(IF(V28="",0,V28)+IF(X28="",0,X28)+IF(Z28="",0,Z28)+IF(AB28="",0,AB28)+IF(AD28="",0,AD28)+IF(AF28="",0,AF28)+IF(AH28="",0,AH28),"")</f>
        <v/>
      </c>
      <c r="AJ28" s="44">
        <f>IFERROR(ROUND(AI28/21*100,0),"")</f>
        <v/>
      </c>
      <c r="AK28" s="45">
        <f>IFERROR(IF(AJ28&gt;=80,"🟢 Hyvä",IF(AJ28&gt;=60,"🟡 Kehitys","🔴 Prioriteetti")),"")</f>
        <v/>
      </c>
      <c r="AL28" s="45">
        <f>IFERROR(IF(OR(F28="PHV-huippu",AJ28&lt;60),"⚠️ MAX 60%","OK"),"")</f>
        <v/>
      </c>
      <c r="AM28" s="50" t="n"/>
      <c r="AN28" s="50" t="n"/>
    </row>
    <row r="29">
      <c r="A29" s="36" t="n"/>
      <c r="B29" s="37" t="n"/>
      <c r="C29" s="36" t="n"/>
      <c r="D29" s="36" t="n"/>
      <c r="E29" s="38" t="n"/>
      <c r="F29" s="39" t="n"/>
      <c r="G29" s="36" t="n"/>
      <c r="H29" s="36" t="n"/>
      <c r="I29" s="40" t="n"/>
      <c r="J29" s="41">
        <f>IFERROR(IF(I29="","",I29),"")</f>
        <v/>
      </c>
      <c r="K29" s="40" t="n"/>
      <c r="L29" s="41">
        <f>IFERROR(IF(K29="","",K29),"")</f>
        <v/>
      </c>
      <c r="M29" s="40" t="n"/>
      <c r="N29" s="41">
        <f>IFERROR(IF(M29="","",M29),"")</f>
        <v/>
      </c>
      <c r="O29" s="40" t="n"/>
      <c r="P29" s="41">
        <f>IFERROR(IF(O29="","",O29),"")</f>
        <v/>
      </c>
      <c r="Q29" s="42" t="n"/>
      <c r="R29" s="41">
        <f>IFERROR(IF(Q29="","",Q29),"")</f>
        <v/>
      </c>
      <c r="S29" s="40" t="n"/>
      <c r="T29" s="41">
        <f>IFERROR(IF(S29="","",S29),"")</f>
        <v/>
      </c>
      <c r="U29" s="39" t="n"/>
      <c r="V29" s="43" t="n"/>
      <c r="W29" s="39" t="n"/>
      <c r="X29" s="43" t="n"/>
      <c r="Y29" s="39" t="n"/>
      <c r="Z29" s="43" t="n"/>
      <c r="AA29" s="39" t="n"/>
      <c r="AB29" s="43" t="n"/>
      <c r="AC29" s="39" t="n"/>
      <c r="AD29" s="43" t="n"/>
      <c r="AE29" s="39" t="n"/>
      <c r="AF29" s="43" t="n"/>
      <c r="AG29" s="39" t="n"/>
      <c r="AH29" s="43" t="n"/>
      <c r="AI29" s="44">
        <f>IFERROR(IF(V29="",0,V29)+IF(X29="",0,X29)+IF(Z29="",0,Z29)+IF(AB29="",0,AB29)+IF(AD29="",0,AD29)+IF(AF29="",0,AF29)+IF(AH29="",0,AH29),"")</f>
        <v/>
      </c>
      <c r="AJ29" s="44">
        <f>IFERROR(ROUND(AI29/21*100,0),"")</f>
        <v/>
      </c>
      <c r="AK29" s="45">
        <f>IFERROR(IF(AJ29&gt;=80,"🟢 Hyvä",IF(AJ29&gt;=60,"🟡 Kehitys","🔴 Prioriteetti")),"")</f>
        <v/>
      </c>
      <c r="AL29" s="45">
        <f>IFERROR(IF(OR(F29="PHV-huippu",AJ29&lt;60),"⚠️ MAX 60%","OK"),"")</f>
        <v/>
      </c>
      <c r="AM29" s="46" t="n"/>
      <c r="AN29" s="46" t="n"/>
    </row>
    <row r="30">
      <c r="A30" s="47" t="n"/>
      <c r="B30" s="48" t="n"/>
      <c r="C30" s="47" t="n"/>
      <c r="D30" s="47" t="n"/>
      <c r="E30" s="49" t="n"/>
      <c r="F30" s="39" t="n"/>
      <c r="G30" s="47" t="n"/>
      <c r="H30" s="47" t="n"/>
      <c r="I30" s="40" t="n"/>
      <c r="J30" s="41">
        <f>IFERROR(IF(I30="","",I30),"")</f>
        <v/>
      </c>
      <c r="K30" s="40" t="n"/>
      <c r="L30" s="41">
        <f>IFERROR(IF(K30="","",K30),"")</f>
        <v/>
      </c>
      <c r="M30" s="40" t="n"/>
      <c r="N30" s="41">
        <f>IFERROR(IF(M30="","",M30),"")</f>
        <v/>
      </c>
      <c r="O30" s="40" t="n"/>
      <c r="P30" s="41">
        <f>IFERROR(IF(O30="","",O30),"")</f>
        <v/>
      </c>
      <c r="Q30" s="42" t="n"/>
      <c r="R30" s="41">
        <f>IFERROR(IF(Q30="","",Q30),"")</f>
        <v/>
      </c>
      <c r="S30" s="40" t="n"/>
      <c r="T30" s="41">
        <f>IFERROR(IF(S30="","",S30),"")</f>
        <v/>
      </c>
      <c r="U30" s="39" t="n"/>
      <c r="V30" s="43" t="n"/>
      <c r="W30" s="39" t="n"/>
      <c r="X30" s="43" t="n"/>
      <c r="Y30" s="39" t="n"/>
      <c r="Z30" s="43" t="n"/>
      <c r="AA30" s="39" t="n"/>
      <c r="AB30" s="43" t="n"/>
      <c r="AC30" s="39" t="n"/>
      <c r="AD30" s="43" t="n"/>
      <c r="AE30" s="39" t="n"/>
      <c r="AF30" s="43" t="n"/>
      <c r="AG30" s="39" t="n"/>
      <c r="AH30" s="43" t="n"/>
      <c r="AI30" s="44">
        <f>IFERROR(IF(V30="",0,V30)+IF(X30="",0,X30)+IF(Z30="",0,Z30)+IF(AB30="",0,AB30)+IF(AD30="",0,AD30)+IF(AF30="",0,AF30)+IF(AH30="",0,AH30),"")</f>
        <v/>
      </c>
      <c r="AJ30" s="44">
        <f>IFERROR(ROUND(AI30/21*100,0),"")</f>
        <v/>
      </c>
      <c r="AK30" s="45">
        <f>IFERROR(IF(AJ30&gt;=80,"🟢 Hyvä",IF(AJ30&gt;=60,"🟡 Kehitys","🔴 Prioriteetti")),"")</f>
        <v/>
      </c>
      <c r="AL30" s="45">
        <f>IFERROR(IF(OR(F30="PHV-huippu",AJ30&lt;60),"⚠️ MAX 60%","OK"),"")</f>
        <v/>
      </c>
      <c r="AM30" s="50" t="n"/>
      <c r="AN30" s="50" t="n"/>
    </row>
    <row r="31">
      <c r="A31" s="36" t="n"/>
      <c r="B31" s="37" t="n"/>
      <c r="C31" s="36" t="n"/>
      <c r="D31" s="36" t="n"/>
      <c r="E31" s="38" t="n"/>
      <c r="F31" s="39" t="n"/>
      <c r="G31" s="36" t="n"/>
      <c r="H31" s="36" t="n"/>
      <c r="I31" s="40" t="n"/>
      <c r="J31" s="41">
        <f>IFERROR(IF(I31="","",I31),"")</f>
        <v/>
      </c>
      <c r="K31" s="40" t="n"/>
      <c r="L31" s="41">
        <f>IFERROR(IF(K31="","",K31),"")</f>
        <v/>
      </c>
      <c r="M31" s="40" t="n"/>
      <c r="N31" s="41">
        <f>IFERROR(IF(M31="","",M31),"")</f>
        <v/>
      </c>
      <c r="O31" s="40" t="n"/>
      <c r="P31" s="41">
        <f>IFERROR(IF(O31="","",O31),"")</f>
        <v/>
      </c>
      <c r="Q31" s="42" t="n"/>
      <c r="R31" s="41">
        <f>IFERROR(IF(Q31="","",Q31),"")</f>
        <v/>
      </c>
      <c r="S31" s="40" t="n"/>
      <c r="T31" s="41">
        <f>IFERROR(IF(S31="","",S31),"")</f>
        <v/>
      </c>
      <c r="U31" s="39" t="n"/>
      <c r="V31" s="43" t="n"/>
      <c r="W31" s="39" t="n"/>
      <c r="X31" s="43" t="n"/>
      <c r="Y31" s="39" t="n"/>
      <c r="Z31" s="43" t="n"/>
      <c r="AA31" s="39" t="n"/>
      <c r="AB31" s="43" t="n"/>
      <c r="AC31" s="39" t="n"/>
      <c r="AD31" s="43" t="n"/>
      <c r="AE31" s="39" t="n"/>
      <c r="AF31" s="43" t="n"/>
      <c r="AG31" s="39" t="n"/>
      <c r="AH31" s="43" t="n"/>
      <c r="AI31" s="44">
        <f>IFERROR(IF(V31="",0,V31)+IF(X31="",0,X31)+IF(Z31="",0,Z31)+IF(AB31="",0,AB31)+IF(AD31="",0,AD31)+IF(AF31="",0,AF31)+IF(AH31="",0,AH31),"")</f>
        <v/>
      </c>
      <c r="AJ31" s="44">
        <f>IFERROR(ROUND(AI31/21*100,0),"")</f>
        <v/>
      </c>
      <c r="AK31" s="45">
        <f>IFERROR(IF(AJ31&gt;=80,"🟢 Hyvä",IF(AJ31&gt;=60,"🟡 Kehitys","🔴 Prioriteetti")),"")</f>
        <v/>
      </c>
      <c r="AL31" s="45">
        <f>IFERROR(IF(OR(F31="PHV-huippu",AJ31&lt;60),"⚠️ MAX 60%","OK"),"")</f>
        <v/>
      </c>
      <c r="AM31" s="46" t="n"/>
      <c r="AN31" s="46" t="n"/>
    </row>
    <row r="32">
      <c r="A32" s="47" t="n"/>
      <c r="B32" s="48" t="n"/>
      <c r="C32" s="47" t="n"/>
      <c r="D32" s="47" t="n"/>
      <c r="E32" s="49" t="n"/>
      <c r="F32" s="39" t="n"/>
      <c r="G32" s="47" t="n"/>
      <c r="H32" s="47" t="n"/>
      <c r="I32" s="40" t="n"/>
      <c r="J32" s="41">
        <f>IFERROR(IF(I32="","",I32),"")</f>
        <v/>
      </c>
      <c r="K32" s="40" t="n"/>
      <c r="L32" s="41">
        <f>IFERROR(IF(K32="","",K32),"")</f>
        <v/>
      </c>
      <c r="M32" s="40" t="n"/>
      <c r="N32" s="41">
        <f>IFERROR(IF(M32="","",M32),"")</f>
        <v/>
      </c>
      <c r="O32" s="40" t="n"/>
      <c r="P32" s="41">
        <f>IFERROR(IF(O32="","",O32),"")</f>
        <v/>
      </c>
      <c r="Q32" s="42" t="n"/>
      <c r="R32" s="41">
        <f>IFERROR(IF(Q32="","",Q32),"")</f>
        <v/>
      </c>
      <c r="S32" s="40" t="n"/>
      <c r="T32" s="41">
        <f>IFERROR(IF(S32="","",S32),"")</f>
        <v/>
      </c>
      <c r="U32" s="39" t="n"/>
      <c r="V32" s="43" t="n"/>
      <c r="W32" s="39" t="n"/>
      <c r="X32" s="43" t="n"/>
      <c r="Y32" s="39" t="n"/>
      <c r="Z32" s="43" t="n"/>
      <c r="AA32" s="39" t="n"/>
      <c r="AB32" s="43" t="n"/>
      <c r="AC32" s="39" t="n"/>
      <c r="AD32" s="43" t="n"/>
      <c r="AE32" s="39" t="n"/>
      <c r="AF32" s="43" t="n"/>
      <c r="AG32" s="39" t="n"/>
      <c r="AH32" s="43" t="n"/>
      <c r="AI32" s="44">
        <f>IFERROR(IF(V32="",0,V32)+IF(X32="",0,X32)+IF(Z32="",0,Z32)+IF(AB32="",0,AB32)+IF(AD32="",0,AD32)+IF(AF32="",0,AF32)+IF(AH32="",0,AH32),"")</f>
        <v/>
      </c>
      <c r="AJ32" s="44">
        <f>IFERROR(ROUND(AI32/21*100,0),"")</f>
        <v/>
      </c>
      <c r="AK32" s="45">
        <f>IFERROR(IF(AJ32&gt;=80,"🟢 Hyvä",IF(AJ32&gt;=60,"🟡 Kehitys","🔴 Prioriteetti")),"")</f>
        <v/>
      </c>
      <c r="AL32" s="45">
        <f>IFERROR(IF(OR(F32="PHV-huippu",AJ32&lt;60),"⚠️ MAX 60%","OK"),"")</f>
        <v/>
      </c>
      <c r="AM32" s="50" t="n"/>
      <c r="AN32" s="50" t="n"/>
    </row>
    <row r="33">
      <c r="A33" s="36" t="n"/>
      <c r="B33" s="37" t="n"/>
      <c r="C33" s="36" t="n"/>
      <c r="D33" s="36" t="n"/>
      <c r="E33" s="38" t="n"/>
      <c r="F33" s="39" t="n"/>
      <c r="G33" s="36" t="n"/>
      <c r="H33" s="36" t="n"/>
      <c r="I33" s="40" t="n"/>
      <c r="J33" s="41">
        <f>IFERROR(IF(I33="","",I33),"")</f>
        <v/>
      </c>
      <c r="K33" s="40" t="n"/>
      <c r="L33" s="41">
        <f>IFERROR(IF(K33="","",K33),"")</f>
        <v/>
      </c>
      <c r="M33" s="40" t="n"/>
      <c r="N33" s="41">
        <f>IFERROR(IF(M33="","",M33),"")</f>
        <v/>
      </c>
      <c r="O33" s="40" t="n"/>
      <c r="P33" s="41">
        <f>IFERROR(IF(O33="","",O33),"")</f>
        <v/>
      </c>
      <c r="Q33" s="42" t="n"/>
      <c r="R33" s="41">
        <f>IFERROR(IF(Q33="","",Q33),"")</f>
        <v/>
      </c>
      <c r="S33" s="40" t="n"/>
      <c r="T33" s="41">
        <f>IFERROR(IF(S33="","",S33),"")</f>
        <v/>
      </c>
      <c r="U33" s="39" t="n"/>
      <c r="V33" s="43" t="n"/>
      <c r="W33" s="39" t="n"/>
      <c r="X33" s="43" t="n"/>
      <c r="Y33" s="39" t="n"/>
      <c r="Z33" s="43" t="n"/>
      <c r="AA33" s="39" t="n"/>
      <c r="AB33" s="43" t="n"/>
      <c r="AC33" s="39" t="n"/>
      <c r="AD33" s="43" t="n"/>
      <c r="AE33" s="39" t="n"/>
      <c r="AF33" s="43" t="n"/>
      <c r="AG33" s="39" t="n"/>
      <c r="AH33" s="43" t="n"/>
      <c r="AI33" s="44">
        <f>IFERROR(IF(V33="",0,V33)+IF(X33="",0,X33)+IF(Z33="",0,Z33)+IF(AB33="",0,AB33)+IF(AD33="",0,AD33)+IF(AF33="",0,AF33)+IF(AH33="",0,AH33),"")</f>
        <v/>
      </c>
      <c r="AJ33" s="44">
        <f>IFERROR(ROUND(AI33/21*100,0),"")</f>
        <v/>
      </c>
      <c r="AK33" s="45">
        <f>IFERROR(IF(AJ33&gt;=80,"🟢 Hyvä",IF(AJ33&gt;=60,"🟡 Kehitys","🔴 Prioriteetti")),"")</f>
        <v/>
      </c>
      <c r="AL33" s="45">
        <f>IFERROR(IF(OR(F33="PHV-huippu",AJ33&lt;60),"⚠️ MAX 60%","OK"),"")</f>
        <v/>
      </c>
      <c r="AM33" s="46" t="n"/>
      <c r="AN33" s="46" t="n"/>
    </row>
    <row r="34">
      <c r="A34" s="47" t="n"/>
      <c r="B34" s="48" t="n"/>
      <c r="C34" s="47" t="n"/>
      <c r="D34" s="47" t="n"/>
      <c r="E34" s="49" t="n"/>
      <c r="F34" s="39" t="n"/>
      <c r="G34" s="47" t="n"/>
      <c r="H34" s="47" t="n"/>
      <c r="I34" s="40" t="n"/>
      <c r="J34" s="41">
        <f>IFERROR(IF(I34="","",I34),"")</f>
        <v/>
      </c>
      <c r="K34" s="40" t="n"/>
      <c r="L34" s="41">
        <f>IFERROR(IF(K34="","",K34),"")</f>
        <v/>
      </c>
      <c r="M34" s="40" t="n"/>
      <c r="N34" s="41">
        <f>IFERROR(IF(M34="","",M34),"")</f>
        <v/>
      </c>
      <c r="O34" s="40" t="n"/>
      <c r="P34" s="41">
        <f>IFERROR(IF(O34="","",O34),"")</f>
        <v/>
      </c>
      <c r="Q34" s="42" t="n"/>
      <c r="R34" s="41">
        <f>IFERROR(IF(Q34="","",Q34),"")</f>
        <v/>
      </c>
      <c r="S34" s="40" t="n"/>
      <c r="T34" s="41">
        <f>IFERROR(IF(S34="","",S34),"")</f>
        <v/>
      </c>
      <c r="U34" s="39" t="n"/>
      <c r="V34" s="43" t="n"/>
      <c r="W34" s="39" t="n"/>
      <c r="X34" s="43" t="n"/>
      <c r="Y34" s="39" t="n"/>
      <c r="Z34" s="43" t="n"/>
      <c r="AA34" s="39" t="n"/>
      <c r="AB34" s="43" t="n"/>
      <c r="AC34" s="39" t="n"/>
      <c r="AD34" s="43" t="n"/>
      <c r="AE34" s="39" t="n"/>
      <c r="AF34" s="43" t="n"/>
      <c r="AG34" s="39" t="n"/>
      <c r="AH34" s="43" t="n"/>
      <c r="AI34" s="44">
        <f>IFERROR(IF(V34="",0,V34)+IF(X34="",0,X34)+IF(Z34="",0,Z34)+IF(AB34="",0,AB34)+IF(AD34="",0,AD34)+IF(AF34="",0,AF34)+IF(AH34="",0,AH34),"")</f>
        <v/>
      </c>
      <c r="AJ34" s="44">
        <f>IFERROR(ROUND(AI34/21*100,0),"")</f>
        <v/>
      </c>
      <c r="AK34" s="45">
        <f>IFERROR(IF(AJ34&gt;=80,"🟢 Hyvä",IF(AJ34&gt;=60,"🟡 Kehitys","🔴 Prioriteetti")),"")</f>
        <v/>
      </c>
      <c r="AL34" s="45">
        <f>IFERROR(IF(OR(F34="PHV-huippu",AJ34&lt;60),"⚠️ MAX 60%","OK"),"")</f>
        <v/>
      </c>
      <c r="AM34" s="50" t="n"/>
      <c r="AN34" s="50" t="n"/>
    </row>
    <row r="35">
      <c r="A35" s="36" t="n"/>
      <c r="B35" s="37" t="n"/>
      <c r="C35" s="36" t="n"/>
      <c r="D35" s="36" t="n"/>
      <c r="E35" s="38" t="n"/>
      <c r="F35" s="39" t="n"/>
      <c r="G35" s="36" t="n"/>
      <c r="H35" s="36" t="n"/>
      <c r="I35" s="40" t="n"/>
      <c r="J35" s="41">
        <f>IFERROR(IF(I35="","",I35),"")</f>
        <v/>
      </c>
      <c r="K35" s="40" t="n"/>
      <c r="L35" s="41">
        <f>IFERROR(IF(K35="","",K35),"")</f>
        <v/>
      </c>
      <c r="M35" s="40" t="n"/>
      <c r="N35" s="41">
        <f>IFERROR(IF(M35="","",M35),"")</f>
        <v/>
      </c>
      <c r="O35" s="40" t="n"/>
      <c r="P35" s="41">
        <f>IFERROR(IF(O35="","",O35),"")</f>
        <v/>
      </c>
      <c r="Q35" s="42" t="n"/>
      <c r="R35" s="41">
        <f>IFERROR(IF(Q35="","",Q35),"")</f>
        <v/>
      </c>
      <c r="S35" s="40" t="n"/>
      <c r="T35" s="41">
        <f>IFERROR(IF(S35="","",S35),"")</f>
        <v/>
      </c>
      <c r="U35" s="39" t="n"/>
      <c r="V35" s="43" t="n"/>
      <c r="W35" s="39" t="n"/>
      <c r="X35" s="43" t="n"/>
      <c r="Y35" s="39" t="n"/>
      <c r="Z35" s="43" t="n"/>
      <c r="AA35" s="39" t="n"/>
      <c r="AB35" s="43" t="n"/>
      <c r="AC35" s="39" t="n"/>
      <c r="AD35" s="43" t="n"/>
      <c r="AE35" s="39" t="n"/>
      <c r="AF35" s="43" t="n"/>
      <c r="AG35" s="39" t="n"/>
      <c r="AH35" s="43" t="n"/>
      <c r="AI35" s="44">
        <f>IFERROR(IF(V35="",0,V35)+IF(X35="",0,X35)+IF(Z35="",0,Z35)+IF(AB35="",0,AB35)+IF(AD35="",0,AD35)+IF(AF35="",0,AF35)+IF(AH35="",0,AH35),"")</f>
        <v/>
      </c>
      <c r="AJ35" s="44">
        <f>IFERROR(ROUND(AI35/21*100,0),"")</f>
        <v/>
      </c>
      <c r="AK35" s="45">
        <f>IFERROR(IF(AJ35&gt;=80,"🟢 Hyvä",IF(AJ35&gt;=60,"🟡 Kehitys","🔴 Prioriteetti")),"")</f>
        <v/>
      </c>
      <c r="AL35" s="45">
        <f>IFERROR(IF(OR(F35="PHV-huippu",AJ35&lt;60),"⚠️ MAX 60%","OK"),"")</f>
        <v/>
      </c>
      <c r="AM35" s="46" t="n"/>
      <c r="AN35" s="46" t="n"/>
    </row>
    <row r="36">
      <c r="A36" s="47" t="n"/>
      <c r="B36" s="48" t="n"/>
      <c r="C36" s="47" t="n"/>
      <c r="D36" s="47" t="n"/>
      <c r="E36" s="49" t="n"/>
      <c r="F36" s="39" t="n"/>
      <c r="G36" s="47" t="n"/>
      <c r="H36" s="47" t="n"/>
      <c r="I36" s="40" t="n"/>
      <c r="J36" s="41">
        <f>IFERROR(IF(I36="","",I36),"")</f>
        <v/>
      </c>
      <c r="K36" s="40" t="n"/>
      <c r="L36" s="41">
        <f>IFERROR(IF(K36="","",K36),"")</f>
        <v/>
      </c>
      <c r="M36" s="40" t="n"/>
      <c r="N36" s="41">
        <f>IFERROR(IF(M36="","",M36),"")</f>
        <v/>
      </c>
      <c r="O36" s="40" t="n"/>
      <c r="P36" s="41">
        <f>IFERROR(IF(O36="","",O36),"")</f>
        <v/>
      </c>
      <c r="Q36" s="42" t="n"/>
      <c r="R36" s="41">
        <f>IFERROR(IF(Q36="","",Q36),"")</f>
        <v/>
      </c>
      <c r="S36" s="40" t="n"/>
      <c r="T36" s="41">
        <f>IFERROR(IF(S36="","",S36),"")</f>
        <v/>
      </c>
      <c r="U36" s="39" t="n"/>
      <c r="V36" s="43" t="n"/>
      <c r="W36" s="39" t="n"/>
      <c r="X36" s="43" t="n"/>
      <c r="Y36" s="39" t="n"/>
      <c r="Z36" s="43" t="n"/>
      <c r="AA36" s="39" t="n"/>
      <c r="AB36" s="43" t="n"/>
      <c r="AC36" s="39" t="n"/>
      <c r="AD36" s="43" t="n"/>
      <c r="AE36" s="39" t="n"/>
      <c r="AF36" s="43" t="n"/>
      <c r="AG36" s="39" t="n"/>
      <c r="AH36" s="43" t="n"/>
      <c r="AI36" s="44">
        <f>IFERROR(IF(V36="",0,V36)+IF(X36="",0,X36)+IF(Z36="",0,Z36)+IF(AB36="",0,AB36)+IF(AD36="",0,AD36)+IF(AF36="",0,AF36)+IF(AH36="",0,AH36),"")</f>
        <v/>
      </c>
      <c r="AJ36" s="44">
        <f>IFERROR(ROUND(AI36/21*100,0),"")</f>
        <v/>
      </c>
      <c r="AK36" s="45">
        <f>IFERROR(IF(AJ36&gt;=80,"🟢 Hyvä",IF(AJ36&gt;=60,"🟡 Kehitys","🔴 Prioriteetti")),"")</f>
        <v/>
      </c>
      <c r="AL36" s="45">
        <f>IFERROR(IF(OR(F36="PHV-huippu",AJ36&lt;60),"⚠️ MAX 60%","OK"),"")</f>
        <v/>
      </c>
      <c r="AM36" s="50" t="n"/>
      <c r="AN36" s="50" t="n"/>
    </row>
    <row r="37">
      <c r="A37" s="36" t="n"/>
      <c r="B37" s="37" t="n"/>
      <c r="C37" s="36" t="n"/>
      <c r="D37" s="36" t="n"/>
      <c r="E37" s="38" t="n"/>
      <c r="F37" s="39" t="n"/>
      <c r="G37" s="36" t="n"/>
      <c r="H37" s="36" t="n"/>
      <c r="I37" s="40" t="n"/>
      <c r="J37" s="41">
        <f>IFERROR(IF(I37="","",I37),"")</f>
        <v/>
      </c>
      <c r="K37" s="40" t="n"/>
      <c r="L37" s="41">
        <f>IFERROR(IF(K37="","",K37),"")</f>
        <v/>
      </c>
      <c r="M37" s="40" t="n"/>
      <c r="N37" s="41">
        <f>IFERROR(IF(M37="","",M37),"")</f>
        <v/>
      </c>
      <c r="O37" s="40" t="n"/>
      <c r="P37" s="41">
        <f>IFERROR(IF(O37="","",O37),"")</f>
        <v/>
      </c>
      <c r="Q37" s="42" t="n"/>
      <c r="R37" s="41">
        <f>IFERROR(IF(Q37="","",Q37),"")</f>
        <v/>
      </c>
      <c r="S37" s="40" t="n"/>
      <c r="T37" s="41">
        <f>IFERROR(IF(S37="","",S37),"")</f>
        <v/>
      </c>
      <c r="U37" s="39" t="n"/>
      <c r="V37" s="43" t="n"/>
      <c r="W37" s="39" t="n"/>
      <c r="X37" s="43" t="n"/>
      <c r="Y37" s="39" t="n"/>
      <c r="Z37" s="43" t="n"/>
      <c r="AA37" s="39" t="n"/>
      <c r="AB37" s="43" t="n"/>
      <c r="AC37" s="39" t="n"/>
      <c r="AD37" s="43" t="n"/>
      <c r="AE37" s="39" t="n"/>
      <c r="AF37" s="43" t="n"/>
      <c r="AG37" s="39" t="n"/>
      <c r="AH37" s="43" t="n"/>
      <c r="AI37" s="44">
        <f>IFERROR(IF(V37="",0,V37)+IF(X37="",0,X37)+IF(Z37="",0,Z37)+IF(AB37="",0,AB37)+IF(AD37="",0,AD37)+IF(AF37="",0,AF37)+IF(AH37="",0,AH37),"")</f>
        <v/>
      </c>
      <c r="AJ37" s="44">
        <f>IFERROR(ROUND(AI37/21*100,0),"")</f>
        <v/>
      </c>
      <c r="AK37" s="45">
        <f>IFERROR(IF(AJ37&gt;=80,"🟢 Hyvä",IF(AJ37&gt;=60,"🟡 Kehitys","🔴 Prioriteetti")),"")</f>
        <v/>
      </c>
      <c r="AL37" s="45">
        <f>IFERROR(IF(OR(F37="PHV-huippu",AJ37&lt;60),"⚠️ MAX 60%","OK"),"")</f>
        <v/>
      </c>
      <c r="AM37" s="46" t="n"/>
      <c r="AN37" s="46" t="n"/>
    </row>
    <row r="38">
      <c r="A38" s="47" t="n"/>
      <c r="B38" s="48" t="n"/>
      <c r="C38" s="47" t="n"/>
      <c r="D38" s="47" t="n"/>
      <c r="E38" s="49" t="n"/>
      <c r="F38" s="39" t="n"/>
      <c r="G38" s="47" t="n"/>
      <c r="H38" s="47" t="n"/>
      <c r="I38" s="40" t="n"/>
      <c r="J38" s="41">
        <f>IFERROR(IF(I38="","",I38),"")</f>
        <v/>
      </c>
      <c r="K38" s="40" t="n"/>
      <c r="L38" s="41">
        <f>IFERROR(IF(K38="","",K38),"")</f>
        <v/>
      </c>
      <c r="M38" s="40" t="n"/>
      <c r="N38" s="41">
        <f>IFERROR(IF(M38="","",M38),"")</f>
        <v/>
      </c>
      <c r="O38" s="40" t="n"/>
      <c r="P38" s="41">
        <f>IFERROR(IF(O38="","",O38),"")</f>
        <v/>
      </c>
      <c r="Q38" s="42" t="n"/>
      <c r="R38" s="41">
        <f>IFERROR(IF(Q38="","",Q38),"")</f>
        <v/>
      </c>
      <c r="S38" s="40" t="n"/>
      <c r="T38" s="41">
        <f>IFERROR(IF(S38="","",S38),"")</f>
        <v/>
      </c>
      <c r="U38" s="39" t="n"/>
      <c r="V38" s="43" t="n"/>
      <c r="W38" s="39" t="n"/>
      <c r="X38" s="43" t="n"/>
      <c r="Y38" s="39" t="n"/>
      <c r="Z38" s="43" t="n"/>
      <c r="AA38" s="39" t="n"/>
      <c r="AB38" s="43" t="n"/>
      <c r="AC38" s="39" t="n"/>
      <c r="AD38" s="43" t="n"/>
      <c r="AE38" s="39" t="n"/>
      <c r="AF38" s="43" t="n"/>
      <c r="AG38" s="39" t="n"/>
      <c r="AH38" s="43" t="n"/>
      <c r="AI38" s="44">
        <f>IFERROR(IF(V38="",0,V38)+IF(X38="",0,X38)+IF(Z38="",0,Z38)+IF(AB38="",0,AB38)+IF(AD38="",0,AD38)+IF(AF38="",0,AF38)+IF(AH38="",0,AH38),"")</f>
        <v/>
      </c>
      <c r="AJ38" s="44">
        <f>IFERROR(ROUND(AI38/21*100,0),"")</f>
        <v/>
      </c>
      <c r="AK38" s="45">
        <f>IFERROR(IF(AJ38&gt;=80,"🟢 Hyvä",IF(AJ38&gt;=60,"🟡 Kehitys","🔴 Prioriteetti")),"")</f>
        <v/>
      </c>
      <c r="AL38" s="45">
        <f>IFERROR(IF(OR(F38="PHV-huippu",AJ38&lt;60),"⚠️ MAX 60%","OK"),"")</f>
        <v/>
      </c>
      <c r="AM38" s="50" t="n"/>
      <c r="AN38" s="50" t="n"/>
    </row>
    <row r="39">
      <c r="A39" s="36" t="n"/>
      <c r="B39" s="37" t="n"/>
      <c r="C39" s="36" t="n"/>
      <c r="D39" s="36" t="n"/>
      <c r="E39" s="38" t="n"/>
      <c r="F39" s="39" t="n"/>
      <c r="G39" s="36" t="n"/>
      <c r="H39" s="36" t="n"/>
      <c r="I39" s="40" t="n"/>
      <c r="J39" s="41">
        <f>IFERROR(IF(I39="","",I39),"")</f>
        <v/>
      </c>
      <c r="K39" s="40" t="n"/>
      <c r="L39" s="41">
        <f>IFERROR(IF(K39="","",K39),"")</f>
        <v/>
      </c>
      <c r="M39" s="40" t="n"/>
      <c r="N39" s="41">
        <f>IFERROR(IF(M39="","",M39),"")</f>
        <v/>
      </c>
      <c r="O39" s="40" t="n"/>
      <c r="P39" s="41">
        <f>IFERROR(IF(O39="","",O39),"")</f>
        <v/>
      </c>
      <c r="Q39" s="42" t="n"/>
      <c r="R39" s="41">
        <f>IFERROR(IF(Q39="","",Q39),"")</f>
        <v/>
      </c>
      <c r="S39" s="40" t="n"/>
      <c r="T39" s="41">
        <f>IFERROR(IF(S39="","",S39),"")</f>
        <v/>
      </c>
      <c r="U39" s="39" t="n"/>
      <c r="V39" s="43" t="n"/>
      <c r="W39" s="39" t="n"/>
      <c r="X39" s="43" t="n"/>
      <c r="Y39" s="39" t="n"/>
      <c r="Z39" s="43" t="n"/>
      <c r="AA39" s="39" t="n"/>
      <c r="AB39" s="43" t="n"/>
      <c r="AC39" s="39" t="n"/>
      <c r="AD39" s="43" t="n"/>
      <c r="AE39" s="39" t="n"/>
      <c r="AF39" s="43" t="n"/>
      <c r="AG39" s="39" t="n"/>
      <c r="AH39" s="43" t="n"/>
      <c r="AI39" s="44">
        <f>IFERROR(IF(V39="",0,V39)+IF(X39="",0,X39)+IF(Z39="",0,Z39)+IF(AB39="",0,AB39)+IF(AD39="",0,AD39)+IF(AF39="",0,AF39)+IF(AH39="",0,AH39),"")</f>
        <v/>
      </c>
      <c r="AJ39" s="44">
        <f>IFERROR(ROUND(AI39/21*100,0),"")</f>
        <v/>
      </c>
      <c r="AK39" s="45">
        <f>IFERROR(IF(AJ39&gt;=80,"🟢 Hyvä",IF(AJ39&gt;=60,"🟡 Kehitys","🔴 Prioriteetti")),"")</f>
        <v/>
      </c>
      <c r="AL39" s="45">
        <f>IFERROR(IF(OR(F39="PHV-huippu",AJ39&lt;60),"⚠️ MAX 60%","OK"),"")</f>
        <v/>
      </c>
      <c r="AM39" s="46" t="n"/>
      <c r="AN39" s="46" t="n"/>
    </row>
    <row r="40">
      <c r="A40" s="47" t="n"/>
      <c r="B40" s="48" t="n"/>
      <c r="C40" s="47" t="n"/>
      <c r="D40" s="47" t="n"/>
      <c r="E40" s="49" t="n"/>
      <c r="F40" s="39" t="n"/>
      <c r="G40" s="47" t="n"/>
      <c r="H40" s="47" t="n"/>
      <c r="I40" s="40" t="n"/>
      <c r="J40" s="41">
        <f>IFERROR(IF(I40="","",I40),"")</f>
        <v/>
      </c>
      <c r="K40" s="40" t="n"/>
      <c r="L40" s="41">
        <f>IFERROR(IF(K40="","",K40),"")</f>
        <v/>
      </c>
      <c r="M40" s="40" t="n"/>
      <c r="N40" s="41">
        <f>IFERROR(IF(M40="","",M40),"")</f>
        <v/>
      </c>
      <c r="O40" s="40" t="n"/>
      <c r="P40" s="41">
        <f>IFERROR(IF(O40="","",O40),"")</f>
        <v/>
      </c>
      <c r="Q40" s="42" t="n"/>
      <c r="R40" s="41">
        <f>IFERROR(IF(Q40="","",Q40),"")</f>
        <v/>
      </c>
      <c r="S40" s="40" t="n"/>
      <c r="T40" s="41">
        <f>IFERROR(IF(S40="","",S40),"")</f>
        <v/>
      </c>
      <c r="U40" s="39" t="n"/>
      <c r="V40" s="43" t="n"/>
      <c r="W40" s="39" t="n"/>
      <c r="X40" s="43" t="n"/>
      <c r="Y40" s="39" t="n"/>
      <c r="Z40" s="43" t="n"/>
      <c r="AA40" s="39" t="n"/>
      <c r="AB40" s="43" t="n"/>
      <c r="AC40" s="39" t="n"/>
      <c r="AD40" s="43" t="n"/>
      <c r="AE40" s="39" t="n"/>
      <c r="AF40" s="43" t="n"/>
      <c r="AG40" s="39" t="n"/>
      <c r="AH40" s="43" t="n"/>
      <c r="AI40" s="44">
        <f>IFERROR(IF(V40="",0,V40)+IF(X40="",0,X40)+IF(Z40="",0,Z40)+IF(AB40="",0,AB40)+IF(AD40="",0,AD40)+IF(AF40="",0,AF40)+IF(AH40="",0,AH40),"")</f>
        <v/>
      </c>
      <c r="AJ40" s="44">
        <f>IFERROR(ROUND(AI40/21*100,0),"")</f>
        <v/>
      </c>
      <c r="AK40" s="45">
        <f>IFERROR(IF(AJ40&gt;=80,"🟢 Hyvä",IF(AJ40&gt;=60,"🟡 Kehitys","🔴 Prioriteetti")),"")</f>
        <v/>
      </c>
      <c r="AL40" s="45">
        <f>IFERROR(IF(OR(F40="PHV-huippu",AJ40&lt;60),"⚠️ MAX 60%","OK"),"")</f>
        <v/>
      </c>
      <c r="AM40" s="50" t="n"/>
      <c r="AN40" s="50" t="n"/>
    </row>
    <row r="41">
      <c r="A41" s="36" t="n"/>
      <c r="B41" s="37" t="n"/>
      <c r="C41" s="36" t="n"/>
      <c r="D41" s="36" t="n"/>
      <c r="E41" s="38" t="n"/>
      <c r="F41" s="39" t="n"/>
      <c r="G41" s="36" t="n"/>
      <c r="H41" s="36" t="n"/>
      <c r="I41" s="40" t="n"/>
      <c r="J41" s="41">
        <f>IFERROR(IF(I41="","",I41),"")</f>
        <v/>
      </c>
      <c r="K41" s="40" t="n"/>
      <c r="L41" s="41">
        <f>IFERROR(IF(K41="","",K41),"")</f>
        <v/>
      </c>
      <c r="M41" s="40" t="n"/>
      <c r="N41" s="41">
        <f>IFERROR(IF(M41="","",M41),"")</f>
        <v/>
      </c>
      <c r="O41" s="40" t="n"/>
      <c r="P41" s="41">
        <f>IFERROR(IF(O41="","",O41),"")</f>
        <v/>
      </c>
      <c r="Q41" s="42" t="n"/>
      <c r="R41" s="41">
        <f>IFERROR(IF(Q41="","",Q41),"")</f>
        <v/>
      </c>
      <c r="S41" s="40" t="n"/>
      <c r="T41" s="41">
        <f>IFERROR(IF(S41="","",S41),"")</f>
        <v/>
      </c>
      <c r="U41" s="39" t="n"/>
      <c r="V41" s="43" t="n"/>
      <c r="W41" s="39" t="n"/>
      <c r="X41" s="43" t="n"/>
      <c r="Y41" s="39" t="n"/>
      <c r="Z41" s="43" t="n"/>
      <c r="AA41" s="39" t="n"/>
      <c r="AB41" s="43" t="n"/>
      <c r="AC41" s="39" t="n"/>
      <c r="AD41" s="43" t="n"/>
      <c r="AE41" s="39" t="n"/>
      <c r="AF41" s="43" t="n"/>
      <c r="AG41" s="39" t="n"/>
      <c r="AH41" s="43" t="n"/>
      <c r="AI41" s="44">
        <f>IFERROR(IF(V41="",0,V41)+IF(X41="",0,X41)+IF(Z41="",0,Z41)+IF(AB41="",0,AB41)+IF(AD41="",0,AD41)+IF(AF41="",0,AF41)+IF(AH41="",0,AH41),"")</f>
        <v/>
      </c>
      <c r="AJ41" s="44">
        <f>IFERROR(ROUND(AI41/21*100,0),"")</f>
        <v/>
      </c>
      <c r="AK41" s="45">
        <f>IFERROR(IF(AJ41&gt;=80,"🟢 Hyvä",IF(AJ41&gt;=60,"🟡 Kehitys","🔴 Prioriteetti")),"")</f>
        <v/>
      </c>
      <c r="AL41" s="45">
        <f>IFERROR(IF(OR(F41="PHV-huippu",AJ41&lt;60),"⚠️ MAX 60%","OK"),"")</f>
        <v/>
      </c>
      <c r="AM41" s="46" t="n"/>
      <c r="AN41" s="46" t="n"/>
    </row>
    <row r="42">
      <c r="A42" s="47" t="n"/>
      <c r="B42" s="48" t="n"/>
      <c r="C42" s="47" t="n"/>
      <c r="D42" s="47" t="n"/>
      <c r="E42" s="49" t="n"/>
      <c r="F42" s="39" t="n"/>
      <c r="G42" s="47" t="n"/>
      <c r="H42" s="47" t="n"/>
      <c r="I42" s="40" t="n"/>
      <c r="J42" s="41">
        <f>IFERROR(IF(I42="","",I42),"")</f>
        <v/>
      </c>
      <c r="K42" s="40" t="n"/>
      <c r="L42" s="41">
        <f>IFERROR(IF(K42="","",K42),"")</f>
        <v/>
      </c>
      <c r="M42" s="40" t="n"/>
      <c r="N42" s="41">
        <f>IFERROR(IF(M42="","",M42),"")</f>
        <v/>
      </c>
      <c r="O42" s="40" t="n"/>
      <c r="P42" s="41">
        <f>IFERROR(IF(O42="","",O42),"")</f>
        <v/>
      </c>
      <c r="Q42" s="42" t="n"/>
      <c r="R42" s="41">
        <f>IFERROR(IF(Q42="","",Q42),"")</f>
        <v/>
      </c>
      <c r="S42" s="40" t="n"/>
      <c r="T42" s="41">
        <f>IFERROR(IF(S42="","",S42),"")</f>
        <v/>
      </c>
      <c r="U42" s="39" t="n"/>
      <c r="V42" s="43" t="n"/>
      <c r="W42" s="39" t="n"/>
      <c r="X42" s="43" t="n"/>
      <c r="Y42" s="39" t="n"/>
      <c r="Z42" s="43" t="n"/>
      <c r="AA42" s="39" t="n"/>
      <c r="AB42" s="43" t="n"/>
      <c r="AC42" s="39" t="n"/>
      <c r="AD42" s="43" t="n"/>
      <c r="AE42" s="39" t="n"/>
      <c r="AF42" s="43" t="n"/>
      <c r="AG42" s="39" t="n"/>
      <c r="AH42" s="43" t="n"/>
      <c r="AI42" s="44">
        <f>IFERROR(IF(V42="",0,V42)+IF(X42="",0,X42)+IF(Z42="",0,Z42)+IF(AB42="",0,AB42)+IF(AD42="",0,AD42)+IF(AF42="",0,AF42)+IF(AH42="",0,AH42),"")</f>
        <v/>
      </c>
      <c r="AJ42" s="44">
        <f>IFERROR(ROUND(AI42/21*100,0),"")</f>
        <v/>
      </c>
      <c r="AK42" s="45">
        <f>IFERROR(IF(AJ42&gt;=80,"🟢 Hyvä",IF(AJ42&gt;=60,"🟡 Kehitys","🔴 Prioriteetti")),"")</f>
        <v/>
      </c>
      <c r="AL42" s="45">
        <f>IFERROR(IF(OR(F42="PHV-huippu",AJ42&lt;60),"⚠️ MAX 60%","OK"),"")</f>
        <v/>
      </c>
      <c r="AM42" s="50" t="n"/>
      <c r="AN42" s="50" t="n"/>
    </row>
    <row r="43">
      <c r="A43" s="36" t="n"/>
      <c r="B43" s="37" t="n"/>
      <c r="C43" s="36" t="n"/>
      <c r="D43" s="36" t="n"/>
      <c r="E43" s="38" t="n"/>
      <c r="F43" s="39" t="n"/>
      <c r="G43" s="36" t="n"/>
      <c r="H43" s="36" t="n"/>
      <c r="I43" s="40" t="n"/>
      <c r="J43" s="41">
        <f>IFERROR(IF(I43="","",I43),"")</f>
        <v/>
      </c>
      <c r="K43" s="40" t="n"/>
      <c r="L43" s="41">
        <f>IFERROR(IF(K43="","",K43),"")</f>
        <v/>
      </c>
      <c r="M43" s="40" t="n"/>
      <c r="N43" s="41">
        <f>IFERROR(IF(M43="","",M43),"")</f>
        <v/>
      </c>
      <c r="O43" s="40" t="n"/>
      <c r="P43" s="41">
        <f>IFERROR(IF(O43="","",O43),"")</f>
        <v/>
      </c>
      <c r="Q43" s="42" t="n"/>
      <c r="R43" s="41">
        <f>IFERROR(IF(Q43="","",Q43),"")</f>
        <v/>
      </c>
      <c r="S43" s="40" t="n"/>
      <c r="T43" s="41">
        <f>IFERROR(IF(S43="","",S43),"")</f>
        <v/>
      </c>
      <c r="U43" s="39" t="n"/>
      <c r="V43" s="43" t="n"/>
      <c r="W43" s="39" t="n"/>
      <c r="X43" s="43" t="n"/>
      <c r="Y43" s="39" t="n"/>
      <c r="Z43" s="43" t="n"/>
      <c r="AA43" s="39" t="n"/>
      <c r="AB43" s="43" t="n"/>
      <c r="AC43" s="39" t="n"/>
      <c r="AD43" s="43" t="n"/>
      <c r="AE43" s="39" t="n"/>
      <c r="AF43" s="43" t="n"/>
      <c r="AG43" s="39" t="n"/>
      <c r="AH43" s="43" t="n"/>
      <c r="AI43" s="44">
        <f>IFERROR(IF(V43="",0,V43)+IF(X43="",0,X43)+IF(Z43="",0,Z43)+IF(AB43="",0,AB43)+IF(AD43="",0,AD43)+IF(AF43="",0,AF43)+IF(AH43="",0,AH43),"")</f>
        <v/>
      </c>
      <c r="AJ43" s="44">
        <f>IFERROR(ROUND(AI43/21*100,0),"")</f>
        <v/>
      </c>
      <c r="AK43" s="45">
        <f>IFERROR(IF(AJ43&gt;=80,"🟢 Hyvä",IF(AJ43&gt;=60,"🟡 Kehitys","🔴 Prioriteetti")),"")</f>
        <v/>
      </c>
      <c r="AL43" s="45">
        <f>IFERROR(IF(OR(F43="PHV-huippu",AJ43&lt;60),"⚠️ MAX 60%","OK"),"")</f>
        <v/>
      </c>
      <c r="AM43" s="46" t="n"/>
      <c r="AN43" s="46" t="n"/>
    </row>
    <row r="44">
      <c r="A44" s="47" t="n"/>
      <c r="B44" s="48" t="n"/>
      <c r="C44" s="47" t="n"/>
      <c r="D44" s="47" t="n"/>
      <c r="E44" s="49" t="n"/>
      <c r="F44" s="39" t="n"/>
      <c r="G44" s="47" t="n"/>
      <c r="H44" s="47" t="n"/>
      <c r="I44" s="40" t="n"/>
      <c r="J44" s="41">
        <f>IFERROR(IF(I44="","",I44),"")</f>
        <v/>
      </c>
      <c r="K44" s="40" t="n"/>
      <c r="L44" s="41">
        <f>IFERROR(IF(K44="","",K44),"")</f>
        <v/>
      </c>
      <c r="M44" s="40" t="n"/>
      <c r="N44" s="41">
        <f>IFERROR(IF(M44="","",M44),"")</f>
        <v/>
      </c>
      <c r="O44" s="40" t="n"/>
      <c r="P44" s="41">
        <f>IFERROR(IF(O44="","",O44),"")</f>
        <v/>
      </c>
      <c r="Q44" s="42" t="n"/>
      <c r="R44" s="41">
        <f>IFERROR(IF(Q44="","",Q44),"")</f>
        <v/>
      </c>
      <c r="S44" s="40" t="n"/>
      <c r="T44" s="41">
        <f>IFERROR(IF(S44="","",S44),"")</f>
        <v/>
      </c>
      <c r="U44" s="39" t="n"/>
      <c r="V44" s="43" t="n"/>
      <c r="W44" s="39" t="n"/>
      <c r="X44" s="43" t="n"/>
      <c r="Y44" s="39" t="n"/>
      <c r="Z44" s="43" t="n"/>
      <c r="AA44" s="39" t="n"/>
      <c r="AB44" s="43" t="n"/>
      <c r="AC44" s="39" t="n"/>
      <c r="AD44" s="43" t="n"/>
      <c r="AE44" s="39" t="n"/>
      <c r="AF44" s="43" t="n"/>
      <c r="AG44" s="39" t="n"/>
      <c r="AH44" s="43" t="n"/>
      <c r="AI44" s="44">
        <f>IFERROR(IF(V44="",0,V44)+IF(X44="",0,X44)+IF(Z44="",0,Z44)+IF(AB44="",0,AB44)+IF(AD44="",0,AD44)+IF(AF44="",0,AF44)+IF(AH44="",0,AH44),"")</f>
        <v/>
      </c>
      <c r="AJ44" s="44">
        <f>IFERROR(ROUND(AI44/21*100,0),"")</f>
        <v/>
      </c>
      <c r="AK44" s="45">
        <f>IFERROR(IF(AJ44&gt;=80,"🟢 Hyvä",IF(AJ44&gt;=60,"🟡 Kehitys","🔴 Prioriteetti")),"")</f>
        <v/>
      </c>
      <c r="AL44" s="45">
        <f>IFERROR(IF(OR(F44="PHV-huippu",AJ44&lt;60),"⚠️ MAX 60%","OK"),"")</f>
        <v/>
      </c>
      <c r="AM44" s="50" t="n"/>
      <c r="AN44" s="50" t="n"/>
    </row>
    <row r="45">
      <c r="A45" s="36" t="n"/>
      <c r="B45" s="37" t="n"/>
      <c r="C45" s="36" t="n"/>
      <c r="D45" s="36" t="n"/>
      <c r="E45" s="38" t="n"/>
      <c r="F45" s="39" t="n"/>
      <c r="G45" s="36" t="n"/>
      <c r="H45" s="36" t="n"/>
      <c r="I45" s="40" t="n"/>
      <c r="J45" s="41">
        <f>IFERROR(IF(I45="","",I45),"")</f>
        <v/>
      </c>
      <c r="K45" s="40" t="n"/>
      <c r="L45" s="41">
        <f>IFERROR(IF(K45="","",K45),"")</f>
        <v/>
      </c>
      <c r="M45" s="40" t="n"/>
      <c r="N45" s="41">
        <f>IFERROR(IF(M45="","",M45),"")</f>
        <v/>
      </c>
      <c r="O45" s="40" t="n"/>
      <c r="P45" s="41">
        <f>IFERROR(IF(O45="","",O45),"")</f>
        <v/>
      </c>
      <c r="Q45" s="42" t="n"/>
      <c r="R45" s="41">
        <f>IFERROR(IF(Q45="","",Q45),"")</f>
        <v/>
      </c>
      <c r="S45" s="40" t="n"/>
      <c r="T45" s="41">
        <f>IFERROR(IF(S45="","",S45),"")</f>
        <v/>
      </c>
      <c r="U45" s="39" t="n"/>
      <c r="V45" s="43" t="n"/>
      <c r="W45" s="39" t="n"/>
      <c r="X45" s="43" t="n"/>
      <c r="Y45" s="39" t="n"/>
      <c r="Z45" s="43" t="n"/>
      <c r="AA45" s="39" t="n"/>
      <c r="AB45" s="43" t="n"/>
      <c r="AC45" s="39" t="n"/>
      <c r="AD45" s="43" t="n"/>
      <c r="AE45" s="39" t="n"/>
      <c r="AF45" s="43" t="n"/>
      <c r="AG45" s="39" t="n"/>
      <c r="AH45" s="43" t="n"/>
      <c r="AI45" s="44">
        <f>IFERROR(IF(V45="",0,V45)+IF(X45="",0,X45)+IF(Z45="",0,Z45)+IF(AB45="",0,AB45)+IF(AD45="",0,AD45)+IF(AF45="",0,AF45)+IF(AH45="",0,AH45),"")</f>
        <v/>
      </c>
      <c r="AJ45" s="44">
        <f>IFERROR(ROUND(AI45/21*100,0),"")</f>
        <v/>
      </c>
      <c r="AK45" s="45">
        <f>IFERROR(IF(AJ45&gt;=80,"🟢 Hyvä",IF(AJ45&gt;=60,"🟡 Kehitys","🔴 Prioriteetti")),"")</f>
        <v/>
      </c>
      <c r="AL45" s="45">
        <f>IFERROR(IF(OR(F45="PHV-huippu",AJ45&lt;60),"⚠️ MAX 60%","OK"),"")</f>
        <v/>
      </c>
      <c r="AM45" s="46" t="n"/>
      <c r="AN45" s="46" t="n"/>
    </row>
    <row r="46">
      <c r="A46" s="47" t="n"/>
      <c r="B46" s="48" t="n"/>
      <c r="C46" s="47" t="n"/>
      <c r="D46" s="47" t="n"/>
      <c r="E46" s="49" t="n"/>
      <c r="F46" s="39" t="n"/>
      <c r="G46" s="47" t="n"/>
      <c r="H46" s="47" t="n"/>
      <c r="I46" s="40" t="n"/>
      <c r="J46" s="41">
        <f>IFERROR(IF(I46="","",I46),"")</f>
        <v/>
      </c>
      <c r="K46" s="40" t="n"/>
      <c r="L46" s="41">
        <f>IFERROR(IF(K46="","",K46),"")</f>
        <v/>
      </c>
      <c r="M46" s="40" t="n"/>
      <c r="N46" s="41">
        <f>IFERROR(IF(M46="","",M46),"")</f>
        <v/>
      </c>
      <c r="O46" s="40" t="n"/>
      <c r="P46" s="41">
        <f>IFERROR(IF(O46="","",O46),"")</f>
        <v/>
      </c>
      <c r="Q46" s="42" t="n"/>
      <c r="R46" s="41">
        <f>IFERROR(IF(Q46="","",Q46),"")</f>
        <v/>
      </c>
      <c r="S46" s="40" t="n"/>
      <c r="T46" s="41">
        <f>IFERROR(IF(S46="","",S46),"")</f>
        <v/>
      </c>
      <c r="U46" s="39" t="n"/>
      <c r="V46" s="43" t="n"/>
      <c r="W46" s="39" t="n"/>
      <c r="X46" s="43" t="n"/>
      <c r="Y46" s="39" t="n"/>
      <c r="Z46" s="43" t="n"/>
      <c r="AA46" s="39" t="n"/>
      <c r="AB46" s="43" t="n"/>
      <c r="AC46" s="39" t="n"/>
      <c r="AD46" s="43" t="n"/>
      <c r="AE46" s="39" t="n"/>
      <c r="AF46" s="43" t="n"/>
      <c r="AG46" s="39" t="n"/>
      <c r="AH46" s="43" t="n"/>
      <c r="AI46" s="44">
        <f>IFERROR(IF(V46="",0,V46)+IF(X46="",0,X46)+IF(Z46="",0,Z46)+IF(AB46="",0,AB46)+IF(AD46="",0,AD46)+IF(AF46="",0,AF46)+IF(AH46="",0,AH46),"")</f>
        <v/>
      </c>
      <c r="AJ46" s="44">
        <f>IFERROR(ROUND(AI46/21*100,0),"")</f>
        <v/>
      </c>
      <c r="AK46" s="45">
        <f>IFERROR(IF(AJ46&gt;=80,"🟢 Hyvä",IF(AJ46&gt;=60,"🟡 Kehitys","🔴 Prioriteetti")),"")</f>
        <v/>
      </c>
      <c r="AL46" s="45">
        <f>IFERROR(IF(OR(F46="PHV-huippu",AJ46&lt;60),"⚠️ MAX 60%","OK"),"")</f>
        <v/>
      </c>
      <c r="AM46" s="50" t="n"/>
      <c r="AN46" s="50" t="n"/>
    </row>
    <row r="47">
      <c r="A47" s="36" t="n"/>
      <c r="B47" s="37" t="n"/>
      <c r="C47" s="36" t="n"/>
      <c r="D47" s="36" t="n"/>
      <c r="E47" s="38" t="n"/>
      <c r="F47" s="39" t="n"/>
      <c r="G47" s="36" t="n"/>
      <c r="H47" s="36" t="n"/>
      <c r="I47" s="40" t="n"/>
      <c r="J47" s="41">
        <f>IFERROR(IF(I47="","",I47),"")</f>
        <v/>
      </c>
      <c r="K47" s="40" t="n"/>
      <c r="L47" s="41">
        <f>IFERROR(IF(K47="","",K47),"")</f>
        <v/>
      </c>
      <c r="M47" s="40" t="n"/>
      <c r="N47" s="41">
        <f>IFERROR(IF(M47="","",M47),"")</f>
        <v/>
      </c>
      <c r="O47" s="40" t="n"/>
      <c r="P47" s="41">
        <f>IFERROR(IF(O47="","",O47),"")</f>
        <v/>
      </c>
      <c r="Q47" s="42" t="n"/>
      <c r="R47" s="41">
        <f>IFERROR(IF(Q47="","",Q47),"")</f>
        <v/>
      </c>
      <c r="S47" s="40" t="n"/>
      <c r="T47" s="41">
        <f>IFERROR(IF(S47="","",S47),"")</f>
        <v/>
      </c>
      <c r="U47" s="39" t="n"/>
      <c r="V47" s="43" t="n"/>
      <c r="W47" s="39" t="n"/>
      <c r="X47" s="43" t="n"/>
      <c r="Y47" s="39" t="n"/>
      <c r="Z47" s="43" t="n"/>
      <c r="AA47" s="39" t="n"/>
      <c r="AB47" s="43" t="n"/>
      <c r="AC47" s="39" t="n"/>
      <c r="AD47" s="43" t="n"/>
      <c r="AE47" s="39" t="n"/>
      <c r="AF47" s="43" t="n"/>
      <c r="AG47" s="39" t="n"/>
      <c r="AH47" s="43" t="n"/>
      <c r="AI47" s="44">
        <f>IFERROR(IF(V47="",0,V47)+IF(X47="",0,X47)+IF(Z47="",0,Z47)+IF(AB47="",0,AB47)+IF(AD47="",0,AD47)+IF(AF47="",0,AF47)+IF(AH47="",0,AH47),"")</f>
        <v/>
      </c>
      <c r="AJ47" s="44">
        <f>IFERROR(ROUND(AI47/21*100,0),"")</f>
        <v/>
      </c>
      <c r="AK47" s="45">
        <f>IFERROR(IF(AJ47&gt;=80,"🟢 Hyvä",IF(AJ47&gt;=60,"🟡 Kehitys","🔴 Prioriteetti")),"")</f>
        <v/>
      </c>
      <c r="AL47" s="45">
        <f>IFERROR(IF(OR(F47="PHV-huippu",AJ47&lt;60),"⚠️ MAX 60%","OK"),"")</f>
        <v/>
      </c>
      <c r="AM47" s="46" t="n"/>
      <c r="AN47" s="46" t="n"/>
    </row>
    <row r="48">
      <c r="A48" s="47" t="n"/>
      <c r="B48" s="48" t="n"/>
      <c r="C48" s="47" t="n"/>
      <c r="D48" s="47" t="n"/>
      <c r="E48" s="49" t="n"/>
      <c r="F48" s="39" t="n"/>
      <c r="G48" s="47" t="n"/>
      <c r="H48" s="47" t="n"/>
      <c r="I48" s="40" t="n"/>
      <c r="J48" s="41">
        <f>IFERROR(IF(I48="","",I48),"")</f>
        <v/>
      </c>
      <c r="K48" s="40" t="n"/>
      <c r="L48" s="41">
        <f>IFERROR(IF(K48="","",K48),"")</f>
        <v/>
      </c>
      <c r="M48" s="40" t="n"/>
      <c r="N48" s="41">
        <f>IFERROR(IF(M48="","",M48),"")</f>
        <v/>
      </c>
      <c r="O48" s="40" t="n"/>
      <c r="P48" s="41">
        <f>IFERROR(IF(O48="","",O48),"")</f>
        <v/>
      </c>
      <c r="Q48" s="42" t="n"/>
      <c r="R48" s="41">
        <f>IFERROR(IF(Q48="","",Q48),"")</f>
        <v/>
      </c>
      <c r="S48" s="40" t="n"/>
      <c r="T48" s="41">
        <f>IFERROR(IF(S48="","",S48),"")</f>
        <v/>
      </c>
      <c r="U48" s="39" t="n"/>
      <c r="V48" s="43" t="n"/>
      <c r="W48" s="39" t="n"/>
      <c r="X48" s="43" t="n"/>
      <c r="Y48" s="39" t="n"/>
      <c r="Z48" s="43" t="n"/>
      <c r="AA48" s="39" t="n"/>
      <c r="AB48" s="43" t="n"/>
      <c r="AC48" s="39" t="n"/>
      <c r="AD48" s="43" t="n"/>
      <c r="AE48" s="39" t="n"/>
      <c r="AF48" s="43" t="n"/>
      <c r="AG48" s="39" t="n"/>
      <c r="AH48" s="43" t="n"/>
      <c r="AI48" s="44">
        <f>IFERROR(IF(V48="",0,V48)+IF(X48="",0,X48)+IF(Z48="",0,Z48)+IF(AB48="",0,AB48)+IF(AD48="",0,AD48)+IF(AF48="",0,AF48)+IF(AH48="",0,AH48),"")</f>
        <v/>
      </c>
      <c r="AJ48" s="44">
        <f>IFERROR(ROUND(AI48/21*100,0),"")</f>
        <v/>
      </c>
      <c r="AK48" s="45">
        <f>IFERROR(IF(AJ48&gt;=80,"🟢 Hyvä",IF(AJ48&gt;=60,"🟡 Kehitys","🔴 Prioriteetti")),"")</f>
        <v/>
      </c>
      <c r="AL48" s="45">
        <f>IFERROR(IF(OR(F48="PHV-huippu",AJ48&lt;60),"⚠️ MAX 60%","OK"),"")</f>
        <v/>
      </c>
      <c r="AM48" s="50" t="n"/>
      <c r="AN48" s="50" t="n"/>
    </row>
    <row r="49">
      <c r="A49" s="36" t="n"/>
      <c r="B49" s="37" t="n"/>
      <c r="C49" s="36" t="n"/>
      <c r="D49" s="36" t="n"/>
      <c r="E49" s="38" t="n"/>
      <c r="F49" s="39" t="n"/>
      <c r="G49" s="36" t="n"/>
      <c r="H49" s="36" t="n"/>
      <c r="I49" s="40" t="n"/>
      <c r="J49" s="41">
        <f>IFERROR(IF(I49="","",I49),"")</f>
        <v/>
      </c>
      <c r="K49" s="40" t="n"/>
      <c r="L49" s="41">
        <f>IFERROR(IF(K49="","",K49),"")</f>
        <v/>
      </c>
      <c r="M49" s="40" t="n"/>
      <c r="N49" s="41">
        <f>IFERROR(IF(M49="","",M49),"")</f>
        <v/>
      </c>
      <c r="O49" s="40" t="n"/>
      <c r="P49" s="41">
        <f>IFERROR(IF(O49="","",O49),"")</f>
        <v/>
      </c>
      <c r="Q49" s="42" t="n"/>
      <c r="R49" s="41">
        <f>IFERROR(IF(Q49="","",Q49),"")</f>
        <v/>
      </c>
      <c r="S49" s="40" t="n"/>
      <c r="T49" s="41">
        <f>IFERROR(IF(S49="","",S49),"")</f>
        <v/>
      </c>
      <c r="U49" s="39" t="n"/>
      <c r="V49" s="43" t="n"/>
      <c r="W49" s="39" t="n"/>
      <c r="X49" s="43" t="n"/>
      <c r="Y49" s="39" t="n"/>
      <c r="Z49" s="43" t="n"/>
      <c r="AA49" s="39" t="n"/>
      <c r="AB49" s="43" t="n"/>
      <c r="AC49" s="39" t="n"/>
      <c r="AD49" s="43" t="n"/>
      <c r="AE49" s="39" t="n"/>
      <c r="AF49" s="43" t="n"/>
      <c r="AG49" s="39" t="n"/>
      <c r="AH49" s="43" t="n"/>
      <c r="AI49" s="44">
        <f>IFERROR(IF(V49="",0,V49)+IF(X49="",0,X49)+IF(Z49="",0,Z49)+IF(AB49="",0,AB49)+IF(AD49="",0,AD49)+IF(AF49="",0,AF49)+IF(AH49="",0,AH49),"")</f>
        <v/>
      </c>
      <c r="AJ49" s="44">
        <f>IFERROR(ROUND(AI49/21*100,0),"")</f>
        <v/>
      </c>
      <c r="AK49" s="45">
        <f>IFERROR(IF(AJ49&gt;=80,"🟢 Hyvä",IF(AJ49&gt;=60,"🟡 Kehitys","🔴 Prioriteetti")),"")</f>
        <v/>
      </c>
      <c r="AL49" s="45">
        <f>IFERROR(IF(OR(F49="PHV-huippu",AJ49&lt;60),"⚠️ MAX 60%","OK"),"")</f>
        <v/>
      </c>
      <c r="AM49" s="46" t="n"/>
      <c r="AN49" s="46" t="n"/>
    </row>
    <row r="50">
      <c r="A50" s="47" t="n"/>
      <c r="B50" s="48" t="n"/>
      <c r="C50" s="47" t="n"/>
      <c r="D50" s="47" t="n"/>
      <c r="E50" s="49" t="n"/>
      <c r="F50" s="39" t="n"/>
      <c r="G50" s="47" t="n"/>
      <c r="H50" s="47" t="n"/>
      <c r="I50" s="40" t="n"/>
      <c r="J50" s="41">
        <f>IFERROR(IF(I50="","",I50),"")</f>
        <v/>
      </c>
      <c r="K50" s="40" t="n"/>
      <c r="L50" s="41">
        <f>IFERROR(IF(K50="","",K50),"")</f>
        <v/>
      </c>
      <c r="M50" s="40" t="n"/>
      <c r="N50" s="41">
        <f>IFERROR(IF(M50="","",M50),"")</f>
        <v/>
      </c>
      <c r="O50" s="40" t="n"/>
      <c r="P50" s="41">
        <f>IFERROR(IF(O50="","",O50),"")</f>
        <v/>
      </c>
      <c r="Q50" s="42" t="n"/>
      <c r="R50" s="41">
        <f>IFERROR(IF(Q50="","",Q50),"")</f>
        <v/>
      </c>
      <c r="S50" s="40" t="n"/>
      <c r="T50" s="41">
        <f>IFERROR(IF(S50="","",S50),"")</f>
        <v/>
      </c>
      <c r="U50" s="39" t="n"/>
      <c r="V50" s="43" t="n"/>
      <c r="W50" s="39" t="n"/>
      <c r="X50" s="43" t="n"/>
      <c r="Y50" s="39" t="n"/>
      <c r="Z50" s="43" t="n"/>
      <c r="AA50" s="39" t="n"/>
      <c r="AB50" s="43" t="n"/>
      <c r="AC50" s="39" t="n"/>
      <c r="AD50" s="43" t="n"/>
      <c r="AE50" s="39" t="n"/>
      <c r="AF50" s="43" t="n"/>
      <c r="AG50" s="39" t="n"/>
      <c r="AH50" s="43" t="n"/>
      <c r="AI50" s="44">
        <f>IFERROR(IF(V50="",0,V50)+IF(X50="",0,X50)+IF(Z50="",0,Z50)+IF(AB50="",0,AB50)+IF(AD50="",0,AD50)+IF(AF50="",0,AF50)+IF(AH50="",0,AH50),"")</f>
        <v/>
      </c>
      <c r="AJ50" s="44">
        <f>IFERROR(ROUND(AI50/21*100,0),"")</f>
        <v/>
      </c>
      <c r="AK50" s="45">
        <f>IFERROR(IF(AJ50&gt;=80,"🟢 Hyvä",IF(AJ50&gt;=60,"🟡 Kehitys","🔴 Prioriteetti")),"")</f>
        <v/>
      </c>
      <c r="AL50" s="45">
        <f>IFERROR(IF(OR(F50="PHV-huippu",AJ50&lt;60),"⚠️ MAX 60%","OK"),"")</f>
        <v/>
      </c>
      <c r="AM50" s="50" t="n"/>
      <c r="AN50" s="50" t="n"/>
    </row>
    <row r="51">
      <c r="A51" s="36" t="n"/>
      <c r="B51" s="37" t="n"/>
      <c r="C51" s="36" t="n"/>
      <c r="D51" s="36" t="n"/>
      <c r="E51" s="38" t="n"/>
      <c r="F51" s="39" t="n"/>
      <c r="G51" s="36" t="n"/>
      <c r="H51" s="36" t="n"/>
      <c r="I51" s="40" t="n"/>
      <c r="J51" s="41">
        <f>IFERROR(IF(I51="","",I51),"")</f>
        <v/>
      </c>
      <c r="K51" s="40" t="n"/>
      <c r="L51" s="41">
        <f>IFERROR(IF(K51="","",K51),"")</f>
        <v/>
      </c>
      <c r="M51" s="40" t="n"/>
      <c r="N51" s="41">
        <f>IFERROR(IF(M51="","",M51),"")</f>
        <v/>
      </c>
      <c r="O51" s="40" t="n"/>
      <c r="P51" s="41">
        <f>IFERROR(IF(O51="","",O51),"")</f>
        <v/>
      </c>
      <c r="Q51" s="42" t="n"/>
      <c r="R51" s="41">
        <f>IFERROR(IF(Q51="","",Q51),"")</f>
        <v/>
      </c>
      <c r="S51" s="40" t="n"/>
      <c r="T51" s="41">
        <f>IFERROR(IF(S51="","",S51),"")</f>
        <v/>
      </c>
      <c r="U51" s="39" t="n"/>
      <c r="V51" s="43" t="n"/>
      <c r="W51" s="39" t="n"/>
      <c r="X51" s="43" t="n"/>
      <c r="Y51" s="39" t="n"/>
      <c r="Z51" s="43" t="n"/>
      <c r="AA51" s="39" t="n"/>
      <c r="AB51" s="43" t="n"/>
      <c r="AC51" s="39" t="n"/>
      <c r="AD51" s="43" t="n"/>
      <c r="AE51" s="39" t="n"/>
      <c r="AF51" s="43" t="n"/>
      <c r="AG51" s="39" t="n"/>
      <c r="AH51" s="43" t="n"/>
      <c r="AI51" s="44">
        <f>IFERROR(IF(V51="",0,V51)+IF(X51="",0,X51)+IF(Z51="",0,Z51)+IF(AB51="",0,AB51)+IF(AD51="",0,AD51)+IF(AF51="",0,AF51)+IF(AH51="",0,AH51),"")</f>
        <v/>
      </c>
      <c r="AJ51" s="44">
        <f>IFERROR(ROUND(AI51/21*100,0),"")</f>
        <v/>
      </c>
      <c r="AK51" s="45">
        <f>IFERROR(IF(AJ51&gt;=80,"🟢 Hyvä",IF(AJ51&gt;=60,"🟡 Kehitys","🔴 Prioriteetti")),"")</f>
        <v/>
      </c>
      <c r="AL51" s="45">
        <f>IFERROR(IF(OR(F51="PHV-huippu",AJ51&lt;60),"⚠️ MAX 60%","OK"),"")</f>
        <v/>
      </c>
      <c r="AM51" s="46" t="n"/>
      <c r="AN51" s="46" t="n"/>
    </row>
    <row r="52">
      <c r="A52" s="47" t="n"/>
      <c r="B52" s="48" t="n"/>
      <c r="C52" s="47" t="n"/>
      <c r="D52" s="47" t="n"/>
      <c r="E52" s="49" t="n"/>
      <c r="F52" s="39" t="n"/>
      <c r="G52" s="47" t="n"/>
      <c r="H52" s="47" t="n"/>
      <c r="I52" s="40" t="n"/>
      <c r="J52" s="41">
        <f>IFERROR(IF(I52="","",I52),"")</f>
        <v/>
      </c>
      <c r="K52" s="40" t="n"/>
      <c r="L52" s="41">
        <f>IFERROR(IF(K52="","",K52),"")</f>
        <v/>
      </c>
      <c r="M52" s="40" t="n"/>
      <c r="N52" s="41">
        <f>IFERROR(IF(M52="","",M52),"")</f>
        <v/>
      </c>
      <c r="O52" s="40" t="n"/>
      <c r="P52" s="41">
        <f>IFERROR(IF(O52="","",O52),"")</f>
        <v/>
      </c>
      <c r="Q52" s="42" t="n"/>
      <c r="R52" s="41">
        <f>IFERROR(IF(Q52="","",Q52),"")</f>
        <v/>
      </c>
      <c r="S52" s="40" t="n"/>
      <c r="T52" s="41">
        <f>IFERROR(IF(S52="","",S52),"")</f>
        <v/>
      </c>
      <c r="U52" s="39" t="n"/>
      <c r="V52" s="43" t="n"/>
      <c r="W52" s="39" t="n"/>
      <c r="X52" s="43" t="n"/>
      <c r="Y52" s="39" t="n"/>
      <c r="Z52" s="43" t="n"/>
      <c r="AA52" s="39" t="n"/>
      <c r="AB52" s="43" t="n"/>
      <c r="AC52" s="39" t="n"/>
      <c r="AD52" s="43" t="n"/>
      <c r="AE52" s="39" t="n"/>
      <c r="AF52" s="43" t="n"/>
      <c r="AG52" s="39" t="n"/>
      <c r="AH52" s="43" t="n"/>
      <c r="AI52" s="44">
        <f>IFERROR(IF(V52="",0,V52)+IF(X52="",0,X52)+IF(Z52="",0,Z52)+IF(AB52="",0,AB52)+IF(AD52="",0,AD52)+IF(AF52="",0,AF52)+IF(AH52="",0,AH52),"")</f>
        <v/>
      </c>
      <c r="AJ52" s="44">
        <f>IFERROR(ROUND(AI52/21*100,0),"")</f>
        <v/>
      </c>
      <c r="AK52" s="45">
        <f>IFERROR(IF(AJ52&gt;=80,"🟢 Hyvä",IF(AJ52&gt;=60,"🟡 Kehitys","🔴 Prioriteetti")),"")</f>
        <v/>
      </c>
      <c r="AL52" s="45">
        <f>IFERROR(IF(OR(F52="PHV-huippu",AJ52&lt;60),"⚠️ MAX 60%","OK"),"")</f>
        <v/>
      </c>
      <c r="AM52" s="50" t="n"/>
      <c r="AN52" s="50" t="n"/>
    </row>
    <row r="53">
      <c r="A53" s="36" t="n"/>
      <c r="B53" s="37" t="n"/>
      <c r="C53" s="36" t="n"/>
      <c r="D53" s="36" t="n"/>
      <c r="E53" s="38" t="n"/>
      <c r="F53" s="39" t="n"/>
      <c r="G53" s="36" t="n"/>
      <c r="H53" s="36" t="n"/>
      <c r="I53" s="40" t="n"/>
      <c r="J53" s="41">
        <f>IFERROR(IF(I53="","",I53),"")</f>
        <v/>
      </c>
      <c r="K53" s="40" t="n"/>
      <c r="L53" s="41">
        <f>IFERROR(IF(K53="","",K53),"")</f>
        <v/>
      </c>
      <c r="M53" s="40" t="n"/>
      <c r="N53" s="41">
        <f>IFERROR(IF(M53="","",M53),"")</f>
        <v/>
      </c>
      <c r="O53" s="40" t="n"/>
      <c r="P53" s="41">
        <f>IFERROR(IF(O53="","",O53),"")</f>
        <v/>
      </c>
      <c r="Q53" s="42" t="n"/>
      <c r="R53" s="41">
        <f>IFERROR(IF(Q53="","",Q53),"")</f>
        <v/>
      </c>
      <c r="S53" s="40" t="n"/>
      <c r="T53" s="41">
        <f>IFERROR(IF(S53="","",S53),"")</f>
        <v/>
      </c>
      <c r="U53" s="39" t="n"/>
      <c r="V53" s="43" t="n"/>
      <c r="W53" s="39" t="n"/>
      <c r="X53" s="43" t="n"/>
      <c r="Y53" s="39" t="n"/>
      <c r="Z53" s="43" t="n"/>
      <c r="AA53" s="39" t="n"/>
      <c r="AB53" s="43" t="n"/>
      <c r="AC53" s="39" t="n"/>
      <c r="AD53" s="43" t="n"/>
      <c r="AE53" s="39" t="n"/>
      <c r="AF53" s="43" t="n"/>
      <c r="AG53" s="39" t="n"/>
      <c r="AH53" s="43" t="n"/>
      <c r="AI53" s="44">
        <f>IFERROR(IF(V53="",0,V53)+IF(X53="",0,X53)+IF(Z53="",0,Z53)+IF(AB53="",0,AB53)+IF(AD53="",0,AD53)+IF(AF53="",0,AF53)+IF(AH53="",0,AH53),"")</f>
        <v/>
      </c>
      <c r="AJ53" s="44">
        <f>IFERROR(ROUND(AI53/21*100,0),"")</f>
        <v/>
      </c>
      <c r="AK53" s="45">
        <f>IFERROR(IF(AJ53&gt;=80,"🟢 Hyvä",IF(AJ53&gt;=60,"🟡 Kehitys","🔴 Prioriteetti")),"")</f>
        <v/>
      </c>
      <c r="AL53" s="45">
        <f>IFERROR(IF(OR(F53="PHV-huippu",AJ53&lt;60),"⚠️ MAX 60%","OK"),"")</f>
        <v/>
      </c>
      <c r="AM53" s="46" t="n"/>
      <c r="AN53" s="46" t="n"/>
    </row>
    <row r="54">
      <c r="A54" s="47" t="n"/>
      <c r="B54" s="48" t="n"/>
      <c r="C54" s="47" t="n"/>
      <c r="D54" s="47" t="n"/>
      <c r="E54" s="49" t="n"/>
      <c r="F54" s="39" t="n"/>
      <c r="G54" s="47" t="n"/>
      <c r="H54" s="47" t="n"/>
      <c r="I54" s="40" t="n"/>
      <c r="J54" s="41">
        <f>IFERROR(IF(I54="","",I54),"")</f>
        <v/>
      </c>
      <c r="K54" s="40" t="n"/>
      <c r="L54" s="41">
        <f>IFERROR(IF(K54="","",K54),"")</f>
        <v/>
      </c>
      <c r="M54" s="40" t="n"/>
      <c r="N54" s="41">
        <f>IFERROR(IF(M54="","",M54),"")</f>
        <v/>
      </c>
      <c r="O54" s="40" t="n"/>
      <c r="P54" s="41">
        <f>IFERROR(IF(O54="","",O54),"")</f>
        <v/>
      </c>
      <c r="Q54" s="42" t="n"/>
      <c r="R54" s="41">
        <f>IFERROR(IF(Q54="","",Q54),"")</f>
        <v/>
      </c>
      <c r="S54" s="40" t="n"/>
      <c r="T54" s="41">
        <f>IFERROR(IF(S54="","",S54),"")</f>
        <v/>
      </c>
      <c r="U54" s="39" t="n"/>
      <c r="V54" s="43" t="n"/>
      <c r="W54" s="39" t="n"/>
      <c r="X54" s="43" t="n"/>
      <c r="Y54" s="39" t="n"/>
      <c r="Z54" s="43" t="n"/>
      <c r="AA54" s="39" t="n"/>
      <c r="AB54" s="43" t="n"/>
      <c r="AC54" s="39" t="n"/>
      <c r="AD54" s="43" t="n"/>
      <c r="AE54" s="39" t="n"/>
      <c r="AF54" s="43" t="n"/>
      <c r="AG54" s="39" t="n"/>
      <c r="AH54" s="43" t="n"/>
      <c r="AI54" s="44">
        <f>IFERROR(IF(V54="",0,V54)+IF(X54="",0,X54)+IF(Z54="",0,Z54)+IF(AB54="",0,AB54)+IF(AD54="",0,AD54)+IF(AF54="",0,AF54)+IF(AH54="",0,AH54),"")</f>
        <v/>
      </c>
      <c r="AJ54" s="44">
        <f>IFERROR(ROUND(AI54/21*100,0),"")</f>
        <v/>
      </c>
      <c r="AK54" s="45">
        <f>IFERROR(IF(AJ54&gt;=80,"🟢 Hyvä",IF(AJ54&gt;=60,"🟡 Kehitys","🔴 Prioriteetti")),"")</f>
        <v/>
      </c>
      <c r="AL54" s="45">
        <f>IFERROR(IF(OR(F54="PHV-huippu",AJ54&lt;60),"⚠️ MAX 60%","OK"),"")</f>
        <v/>
      </c>
      <c r="AM54" s="50" t="n"/>
      <c r="AN54" s="50" t="n"/>
    </row>
  </sheetData>
  <mergeCells count="4">
    <mergeCell ref="U3:AH3"/>
    <mergeCell ref="A2:H2"/>
    <mergeCell ref="I3:T3"/>
    <mergeCell ref="A1:H1"/>
  </mergeCells>
  <conditionalFormatting sqref="AJ5:AJ54">
    <cfRule type="cellIs" priority="1" operator="lessThan" dxfId="0">
      <formula>60</formula>
    </cfRule>
    <cfRule type="cellIs" priority="2" operator="between" dxfId="1">
      <formula>60</formula>
      <formula>79</formula>
    </cfRule>
    <cfRule type="cellIs" priority="3" operator="greaterThanOrEqual" dxfId="2">
      <formula>80</formula>
    </cfRule>
  </conditionalFormatting>
  <dataValidations count="400">
    <dataValidation sqref="F5" showDropDown="0" showInputMessage="0" showErrorMessage="1" allowBlank="1" errorTitle="Virheellinen arvo" error="Valitse listasta: AN, PH, VA" type="list">
      <formula1>"AN,PH,VA"</formula1>
    </dataValidation>
    <dataValidation sqref="V5" showDropDown="0" showInputMessage="0" showErrorMessage="1" allowBlank="1" errorTitle="Virheellinen arvo" error="Valitse listasta: 1, 2, 3" type="list">
      <formula1>"1,2,3"</formula1>
    </dataValidation>
    <dataValidation sqref="X5" showDropDown="0" showInputMessage="0" showErrorMessage="1" allowBlank="1" errorTitle="Virheellinen arvo" error="Valitse listasta: 1, 2, 3" type="list">
      <formula1>"1,2,3"</formula1>
    </dataValidation>
    <dataValidation sqref="Z5" showDropDown="0" showInputMessage="0" showErrorMessage="1" allowBlank="1" errorTitle="Virheellinen arvo" error="Valitse listasta: 1, 2, 3" type="list">
      <formula1>"1,2,3"</formula1>
    </dataValidation>
    <dataValidation sqref="AB5" showDropDown="0" showInputMessage="0" showErrorMessage="1" allowBlank="1" errorTitle="Virheellinen arvo" error="Valitse listasta: 1, 2, 3" type="list">
      <formula1>"1,2,3"</formula1>
    </dataValidation>
    <dataValidation sqref="AD5" showDropDown="0" showInputMessage="0" showErrorMessage="1" allowBlank="1" errorTitle="Virheellinen arvo" error="Valitse listasta: 1, 2, 3" type="list">
      <formula1>"1,2,3"</formula1>
    </dataValidation>
    <dataValidation sqref="AF5" showDropDown="0" showInputMessage="0" showErrorMessage="1" allowBlank="1" errorTitle="Virheellinen arvo" error="Valitse listasta: 1, 2, 3" type="list">
      <formula1>"1,2,3"</formula1>
    </dataValidation>
    <dataValidation sqref="AH5" showDropDown="0" showInputMessage="0" showErrorMessage="1" allowBlank="1" errorTitle="Virheellinen arvo" error="Valitse listasta: 1, 2, 3" type="list">
      <formula1>"1,2,3"</formula1>
    </dataValidation>
    <dataValidation sqref="F6" showDropDown="0" showInputMessage="0" showErrorMessage="1" allowBlank="1" errorTitle="Virheellinen arvo" error="Valitse listasta: AN, PH, VA" type="list">
      <formula1>"AN,PH,VA"</formula1>
    </dataValidation>
    <dataValidation sqref="V6" showDropDown="0" showInputMessage="0" showErrorMessage="1" allowBlank="1" errorTitle="Virheellinen arvo" error="Valitse listasta: 1, 2, 3" type="list">
      <formula1>"1,2,3"</formula1>
    </dataValidation>
    <dataValidation sqref="X6" showDropDown="0" showInputMessage="0" showErrorMessage="1" allowBlank="1" errorTitle="Virheellinen arvo" error="Valitse listasta: 1, 2, 3" type="list">
      <formula1>"1,2,3"</formula1>
    </dataValidation>
    <dataValidation sqref="Z6" showDropDown="0" showInputMessage="0" showErrorMessage="1" allowBlank="1" errorTitle="Virheellinen arvo" error="Valitse listasta: 1, 2, 3" type="list">
      <formula1>"1,2,3"</formula1>
    </dataValidation>
    <dataValidation sqref="AB6" showDropDown="0" showInputMessage="0" showErrorMessage="1" allowBlank="1" errorTitle="Virheellinen arvo" error="Valitse listasta: 1, 2, 3" type="list">
      <formula1>"1,2,3"</formula1>
    </dataValidation>
    <dataValidation sqref="AD6" showDropDown="0" showInputMessage="0" showErrorMessage="1" allowBlank="1" errorTitle="Virheellinen arvo" error="Valitse listasta: 1, 2, 3" type="list">
      <formula1>"1,2,3"</formula1>
    </dataValidation>
    <dataValidation sqref="AF6" showDropDown="0" showInputMessage="0" showErrorMessage="1" allowBlank="1" errorTitle="Virheellinen arvo" error="Valitse listasta: 1, 2, 3" type="list">
      <formula1>"1,2,3"</formula1>
    </dataValidation>
    <dataValidation sqref="AH6" showDropDown="0" showInputMessage="0" showErrorMessage="1" allowBlank="1" errorTitle="Virheellinen arvo" error="Valitse listasta: 1, 2, 3" type="list">
      <formula1>"1,2,3"</formula1>
    </dataValidation>
    <dataValidation sqref="F7" showDropDown="0" showInputMessage="0" showErrorMessage="1" allowBlank="1" errorTitle="Virheellinen arvo" error="Valitse listasta: AN, PH, VA" type="list">
      <formula1>"AN,PH,VA"</formula1>
    </dataValidation>
    <dataValidation sqref="V7" showDropDown="0" showInputMessage="0" showErrorMessage="1" allowBlank="1" errorTitle="Virheellinen arvo" error="Valitse listasta: 1, 2, 3" type="list">
      <formula1>"1,2,3"</formula1>
    </dataValidation>
    <dataValidation sqref="X7" showDropDown="0" showInputMessage="0" showErrorMessage="1" allowBlank="1" errorTitle="Virheellinen arvo" error="Valitse listasta: 1, 2, 3" type="list">
      <formula1>"1,2,3"</formula1>
    </dataValidation>
    <dataValidation sqref="Z7" showDropDown="0" showInputMessage="0" showErrorMessage="1" allowBlank="1" errorTitle="Virheellinen arvo" error="Valitse listasta: 1, 2, 3" type="list">
      <formula1>"1,2,3"</formula1>
    </dataValidation>
    <dataValidation sqref="AB7" showDropDown="0" showInputMessage="0" showErrorMessage="1" allowBlank="1" errorTitle="Virheellinen arvo" error="Valitse listasta: 1, 2, 3" type="list">
      <formula1>"1,2,3"</formula1>
    </dataValidation>
    <dataValidation sqref="AD7" showDropDown="0" showInputMessage="0" showErrorMessage="1" allowBlank="1" errorTitle="Virheellinen arvo" error="Valitse listasta: 1, 2, 3" type="list">
      <formula1>"1,2,3"</formula1>
    </dataValidation>
    <dataValidation sqref="AF7" showDropDown="0" showInputMessage="0" showErrorMessage="1" allowBlank="1" errorTitle="Virheellinen arvo" error="Valitse listasta: 1, 2, 3" type="list">
      <formula1>"1,2,3"</formula1>
    </dataValidation>
    <dataValidation sqref="AH7" showDropDown="0" showInputMessage="0" showErrorMessage="1" allowBlank="1" errorTitle="Virheellinen arvo" error="Valitse listasta: 1, 2, 3" type="list">
      <formula1>"1,2,3"</formula1>
    </dataValidation>
    <dataValidation sqref="F8" showDropDown="0" showInputMessage="0" showErrorMessage="1" allowBlank="1" errorTitle="Virheellinen arvo" error="Valitse listasta: AN, PH, VA" type="list">
      <formula1>"AN,PH,VA"</formula1>
    </dataValidation>
    <dataValidation sqref="V8" showDropDown="0" showInputMessage="0" showErrorMessage="1" allowBlank="1" errorTitle="Virheellinen arvo" error="Valitse listasta: 1, 2, 3" type="list">
      <formula1>"1,2,3"</formula1>
    </dataValidation>
    <dataValidation sqref="X8" showDropDown="0" showInputMessage="0" showErrorMessage="1" allowBlank="1" errorTitle="Virheellinen arvo" error="Valitse listasta: 1, 2, 3" type="list">
      <formula1>"1,2,3"</formula1>
    </dataValidation>
    <dataValidation sqref="Z8" showDropDown="0" showInputMessage="0" showErrorMessage="1" allowBlank="1" errorTitle="Virheellinen arvo" error="Valitse listasta: 1, 2, 3" type="list">
      <formula1>"1,2,3"</formula1>
    </dataValidation>
    <dataValidation sqref="AB8" showDropDown="0" showInputMessage="0" showErrorMessage="1" allowBlank="1" errorTitle="Virheellinen arvo" error="Valitse listasta: 1, 2, 3" type="list">
      <formula1>"1,2,3"</formula1>
    </dataValidation>
    <dataValidation sqref="AD8" showDropDown="0" showInputMessage="0" showErrorMessage="1" allowBlank="1" errorTitle="Virheellinen arvo" error="Valitse listasta: 1, 2, 3" type="list">
      <formula1>"1,2,3"</formula1>
    </dataValidation>
    <dataValidation sqref="AF8" showDropDown="0" showInputMessage="0" showErrorMessage="1" allowBlank="1" errorTitle="Virheellinen arvo" error="Valitse listasta: 1, 2, 3" type="list">
      <formula1>"1,2,3"</formula1>
    </dataValidation>
    <dataValidation sqref="AH8" showDropDown="0" showInputMessage="0" showErrorMessage="1" allowBlank="1" errorTitle="Virheellinen arvo" error="Valitse listasta: 1, 2, 3" type="list">
      <formula1>"1,2,3"</formula1>
    </dataValidation>
    <dataValidation sqref="F9" showDropDown="0" showInputMessage="0" showErrorMessage="1" allowBlank="1" errorTitle="Virheellinen arvo" error="Valitse listasta: AN, PH, VA" type="list">
      <formula1>"AN,PH,VA"</formula1>
    </dataValidation>
    <dataValidation sqref="V9" showDropDown="0" showInputMessage="0" showErrorMessage="1" allowBlank="1" errorTitle="Virheellinen arvo" error="Valitse listasta: 1, 2, 3" type="list">
      <formula1>"1,2,3"</formula1>
    </dataValidation>
    <dataValidation sqref="X9" showDropDown="0" showInputMessage="0" showErrorMessage="1" allowBlank="1" errorTitle="Virheellinen arvo" error="Valitse listasta: 1, 2, 3" type="list">
      <formula1>"1,2,3"</formula1>
    </dataValidation>
    <dataValidation sqref="Z9" showDropDown="0" showInputMessage="0" showErrorMessage="1" allowBlank="1" errorTitle="Virheellinen arvo" error="Valitse listasta: 1, 2, 3" type="list">
      <formula1>"1,2,3"</formula1>
    </dataValidation>
    <dataValidation sqref="AB9" showDropDown="0" showInputMessage="0" showErrorMessage="1" allowBlank="1" errorTitle="Virheellinen arvo" error="Valitse listasta: 1, 2, 3" type="list">
      <formula1>"1,2,3"</formula1>
    </dataValidation>
    <dataValidation sqref="AD9" showDropDown="0" showInputMessage="0" showErrorMessage="1" allowBlank="1" errorTitle="Virheellinen arvo" error="Valitse listasta: 1, 2, 3" type="list">
      <formula1>"1,2,3"</formula1>
    </dataValidation>
    <dataValidation sqref="AF9" showDropDown="0" showInputMessage="0" showErrorMessage="1" allowBlank="1" errorTitle="Virheellinen arvo" error="Valitse listasta: 1, 2, 3" type="list">
      <formula1>"1,2,3"</formula1>
    </dataValidation>
    <dataValidation sqref="AH9" showDropDown="0" showInputMessage="0" showErrorMessage="1" allowBlank="1" errorTitle="Virheellinen arvo" error="Valitse listasta: 1, 2, 3" type="list">
      <formula1>"1,2,3"</formula1>
    </dataValidation>
    <dataValidation sqref="F10" showDropDown="0" showInputMessage="0" showErrorMessage="1" allowBlank="1" errorTitle="Virheellinen arvo" error="Valitse listasta: AN, PH, VA" type="list">
      <formula1>"AN,PH,VA"</formula1>
    </dataValidation>
    <dataValidation sqref="V10" showDropDown="0" showInputMessage="0" showErrorMessage="1" allowBlank="1" errorTitle="Virheellinen arvo" error="Valitse listasta: 1, 2, 3" type="list">
      <formula1>"1,2,3"</formula1>
    </dataValidation>
    <dataValidation sqref="X10" showDropDown="0" showInputMessage="0" showErrorMessage="1" allowBlank="1" errorTitle="Virheellinen arvo" error="Valitse listasta: 1, 2, 3" type="list">
      <formula1>"1,2,3"</formula1>
    </dataValidation>
    <dataValidation sqref="Z10" showDropDown="0" showInputMessage="0" showErrorMessage="1" allowBlank="1" errorTitle="Virheellinen arvo" error="Valitse listasta: 1, 2, 3" type="list">
      <formula1>"1,2,3"</formula1>
    </dataValidation>
    <dataValidation sqref="AB10" showDropDown="0" showInputMessage="0" showErrorMessage="1" allowBlank="1" errorTitle="Virheellinen arvo" error="Valitse listasta: 1, 2, 3" type="list">
      <formula1>"1,2,3"</formula1>
    </dataValidation>
    <dataValidation sqref="AD10" showDropDown="0" showInputMessage="0" showErrorMessage="1" allowBlank="1" errorTitle="Virheellinen arvo" error="Valitse listasta: 1, 2, 3" type="list">
      <formula1>"1,2,3"</formula1>
    </dataValidation>
    <dataValidation sqref="AF10" showDropDown="0" showInputMessage="0" showErrorMessage="1" allowBlank="1" errorTitle="Virheellinen arvo" error="Valitse listasta: 1, 2, 3" type="list">
      <formula1>"1,2,3"</formula1>
    </dataValidation>
    <dataValidation sqref="AH10" showDropDown="0" showInputMessage="0" showErrorMessage="1" allowBlank="1" errorTitle="Virheellinen arvo" error="Valitse listasta: 1, 2, 3" type="list">
      <formula1>"1,2,3"</formula1>
    </dataValidation>
    <dataValidation sqref="F11" showDropDown="0" showInputMessage="0" showErrorMessage="1" allowBlank="1" errorTitle="Virheellinen arvo" error="Valitse listasta: AN, PH, VA" type="list">
      <formula1>"AN,PH,VA"</formula1>
    </dataValidation>
    <dataValidation sqref="V11" showDropDown="0" showInputMessage="0" showErrorMessage="1" allowBlank="1" errorTitle="Virheellinen arvo" error="Valitse listasta: 1, 2, 3" type="list">
      <formula1>"1,2,3"</formula1>
    </dataValidation>
    <dataValidation sqref="X11" showDropDown="0" showInputMessage="0" showErrorMessage="1" allowBlank="1" errorTitle="Virheellinen arvo" error="Valitse listasta: 1, 2, 3" type="list">
      <formula1>"1,2,3"</formula1>
    </dataValidation>
    <dataValidation sqref="Z11" showDropDown="0" showInputMessage="0" showErrorMessage="1" allowBlank="1" errorTitle="Virheellinen arvo" error="Valitse listasta: 1, 2, 3" type="list">
      <formula1>"1,2,3"</formula1>
    </dataValidation>
    <dataValidation sqref="AB11" showDropDown="0" showInputMessage="0" showErrorMessage="1" allowBlank="1" errorTitle="Virheellinen arvo" error="Valitse listasta: 1, 2, 3" type="list">
      <formula1>"1,2,3"</formula1>
    </dataValidation>
    <dataValidation sqref="AD11" showDropDown="0" showInputMessage="0" showErrorMessage="1" allowBlank="1" errorTitle="Virheellinen arvo" error="Valitse listasta: 1, 2, 3" type="list">
      <formula1>"1,2,3"</formula1>
    </dataValidation>
    <dataValidation sqref="AF11" showDropDown="0" showInputMessage="0" showErrorMessage="1" allowBlank="1" errorTitle="Virheellinen arvo" error="Valitse listasta: 1, 2, 3" type="list">
      <formula1>"1,2,3"</formula1>
    </dataValidation>
    <dataValidation sqref="AH11" showDropDown="0" showInputMessage="0" showErrorMessage="1" allowBlank="1" errorTitle="Virheellinen arvo" error="Valitse listasta: 1, 2, 3" type="list">
      <formula1>"1,2,3"</formula1>
    </dataValidation>
    <dataValidation sqref="F12" showDropDown="0" showInputMessage="0" showErrorMessage="1" allowBlank="1" errorTitle="Virheellinen arvo" error="Valitse listasta: AN, PH, VA" type="list">
      <formula1>"AN,PH,VA"</formula1>
    </dataValidation>
    <dataValidation sqref="V12" showDropDown="0" showInputMessage="0" showErrorMessage="1" allowBlank="1" errorTitle="Virheellinen arvo" error="Valitse listasta: 1, 2, 3" type="list">
      <formula1>"1,2,3"</formula1>
    </dataValidation>
    <dataValidation sqref="X12" showDropDown="0" showInputMessage="0" showErrorMessage="1" allowBlank="1" errorTitle="Virheellinen arvo" error="Valitse listasta: 1, 2, 3" type="list">
      <formula1>"1,2,3"</formula1>
    </dataValidation>
    <dataValidation sqref="Z12" showDropDown="0" showInputMessage="0" showErrorMessage="1" allowBlank="1" errorTitle="Virheellinen arvo" error="Valitse listasta: 1, 2, 3" type="list">
      <formula1>"1,2,3"</formula1>
    </dataValidation>
    <dataValidation sqref="AB12" showDropDown="0" showInputMessage="0" showErrorMessage="1" allowBlank="1" errorTitle="Virheellinen arvo" error="Valitse listasta: 1, 2, 3" type="list">
      <formula1>"1,2,3"</formula1>
    </dataValidation>
    <dataValidation sqref="AD12" showDropDown="0" showInputMessage="0" showErrorMessage="1" allowBlank="1" errorTitle="Virheellinen arvo" error="Valitse listasta: 1, 2, 3" type="list">
      <formula1>"1,2,3"</formula1>
    </dataValidation>
    <dataValidation sqref="AF12" showDropDown="0" showInputMessage="0" showErrorMessage="1" allowBlank="1" errorTitle="Virheellinen arvo" error="Valitse listasta: 1, 2, 3" type="list">
      <formula1>"1,2,3"</formula1>
    </dataValidation>
    <dataValidation sqref="AH12" showDropDown="0" showInputMessage="0" showErrorMessage="1" allowBlank="1" errorTitle="Virheellinen arvo" error="Valitse listasta: 1, 2, 3" type="list">
      <formula1>"1,2,3"</formula1>
    </dataValidation>
    <dataValidation sqref="F13" showDropDown="0" showInputMessage="0" showErrorMessage="1" allowBlank="1" errorTitle="Virheellinen arvo" error="Valitse listasta: AN, PH, VA" type="list">
      <formula1>"AN,PH,VA"</formula1>
    </dataValidation>
    <dataValidation sqref="V13" showDropDown="0" showInputMessage="0" showErrorMessage="1" allowBlank="1" errorTitle="Virheellinen arvo" error="Valitse listasta: 1, 2, 3" type="list">
      <formula1>"1,2,3"</formula1>
    </dataValidation>
    <dataValidation sqref="X13" showDropDown="0" showInputMessage="0" showErrorMessage="1" allowBlank="1" errorTitle="Virheellinen arvo" error="Valitse listasta: 1, 2, 3" type="list">
      <formula1>"1,2,3"</formula1>
    </dataValidation>
    <dataValidation sqref="Z13" showDropDown="0" showInputMessage="0" showErrorMessage="1" allowBlank="1" errorTitle="Virheellinen arvo" error="Valitse listasta: 1, 2, 3" type="list">
      <formula1>"1,2,3"</formula1>
    </dataValidation>
    <dataValidation sqref="AB13" showDropDown="0" showInputMessage="0" showErrorMessage="1" allowBlank="1" errorTitle="Virheellinen arvo" error="Valitse listasta: 1, 2, 3" type="list">
      <formula1>"1,2,3"</formula1>
    </dataValidation>
    <dataValidation sqref="AD13" showDropDown="0" showInputMessage="0" showErrorMessage="1" allowBlank="1" errorTitle="Virheellinen arvo" error="Valitse listasta: 1, 2, 3" type="list">
      <formula1>"1,2,3"</formula1>
    </dataValidation>
    <dataValidation sqref="AF13" showDropDown="0" showInputMessage="0" showErrorMessage="1" allowBlank="1" errorTitle="Virheellinen arvo" error="Valitse listasta: 1, 2, 3" type="list">
      <formula1>"1,2,3"</formula1>
    </dataValidation>
    <dataValidation sqref="AH13" showDropDown="0" showInputMessage="0" showErrorMessage="1" allowBlank="1" errorTitle="Virheellinen arvo" error="Valitse listasta: 1, 2, 3" type="list">
      <formula1>"1,2,3"</formula1>
    </dataValidation>
    <dataValidation sqref="F14" showDropDown="0" showInputMessage="0" showErrorMessage="1" allowBlank="1" errorTitle="Virheellinen arvo" error="Valitse listasta: AN, PH, VA" type="list">
      <formula1>"AN,PH,VA"</formula1>
    </dataValidation>
    <dataValidation sqref="V14" showDropDown="0" showInputMessage="0" showErrorMessage="1" allowBlank="1" errorTitle="Virheellinen arvo" error="Valitse listasta: 1, 2, 3" type="list">
      <formula1>"1,2,3"</formula1>
    </dataValidation>
    <dataValidation sqref="X14" showDropDown="0" showInputMessage="0" showErrorMessage="1" allowBlank="1" errorTitle="Virheellinen arvo" error="Valitse listasta: 1, 2, 3" type="list">
      <formula1>"1,2,3"</formula1>
    </dataValidation>
    <dataValidation sqref="Z14" showDropDown="0" showInputMessage="0" showErrorMessage="1" allowBlank="1" errorTitle="Virheellinen arvo" error="Valitse listasta: 1, 2, 3" type="list">
      <formula1>"1,2,3"</formula1>
    </dataValidation>
    <dataValidation sqref="AB14" showDropDown="0" showInputMessage="0" showErrorMessage="1" allowBlank="1" errorTitle="Virheellinen arvo" error="Valitse listasta: 1, 2, 3" type="list">
      <formula1>"1,2,3"</formula1>
    </dataValidation>
    <dataValidation sqref="AD14" showDropDown="0" showInputMessage="0" showErrorMessage="1" allowBlank="1" errorTitle="Virheellinen arvo" error="Valitse listasta: 1, 2, 3" type="list">
      <formula1>"1,2,3"</formula1>
    </dataValidation>
    <dataValidation sqref="AF14" showDropDown="0" showInputMessage="0" showErrorMessage="1" allowBlank="1" errorTitle="Virheellinen arvo" error="Valitse listasta: 1, 2, 3" type="list">
      <formula1>"1,2,3"</formula1>
    </dataValidation>
    <dataValidation sqref="AH14" showDropDown="0" showInputMessage="0" showErrorMessage="1" allowBlank="1" errorTitle="Virheellinen arvo" error="Valitse listasta: 1, 2, 3" type="list">
      <formula1>"1,2,3"</formula1>
    </dataValidation>
    <dataValidation sqref="F15" showDropDown="0" showInputMessage="0" showErrorMessage="1" allowBlank="1" errorTitle="Virheellinen arvo" error="Valitse listasta: AN, PH, VA" type="list">
      <formula1>"AN,PH,VA"</formula1>
    </dataValidation>
    <dataValidation sqref="V15" showDropDown="0" showInputMessage="0" showErrorMessage="1" allowBlank="1" errorTitle="Virheellinen arvo" error="Valitse listasta: 1, 2, 3" type="list">
      <formula1>"1,2,3"</formula1>
    </dataValidation>
    <dataValidation sqref="X15" showDropDown="0" showInputMessage="0" showErrorMessage="1" allowBlank="1" errorTitle="Virheellinen arvo" error="Valitse listasta: 1, 2, 3" type="list">
      <formula1>"1,2,3"</formula1>
    </dataValidation>
    <dataValidation sqref="Z15" showDropDown="0" showInputMessage="0" showErrorMessage="1" allowBlank="1" errorTitle="Virheellinen arvo" error="Valitse listasta: 1, 2, 3" type="list">
      <formula1>"1,2,3"</formula1>
    </dataValidation>
    <dataValidation sqref="AB15" showDropDown="0" showInputMessage="0" showErrorMessage="1" allowBlank="1" errorTitle="Virheellinen arvo" error="Valitse listasta: 1, 2, 3" type="list">
      <formula1>"1,2,3"</formula1>
    </dataValidation>
    <dataValidation sqref="AD15" showDropDown="0" showInputMessage="0" showErrorMessage="1" allowBlank="1" errorTitle="Virheellinen arvo" error="Valitse listasta: 1, 2, 3" type="list">
      <formula1>"1,2,3"</formula1>
    </dataValidation>
    <dataValidation sqref="AF15" showDropDown="0" showInputMessage="0" showErrorMessage="1" allowBlank="1" errorTitle="Virheellinen arvo" error="Valitse listasta: 1, 2, 3" type="list">
      <formula1>"1,2,3"</formula1>
    </dataValidation>
    <dataValidation sqref="AH15" showDropDown="0" showInputMessage="0" showErrorMessage="1" allowBlank="1" errorTitle="Virheellinen arvo" error="Valitse listasta: 1, 2, 3" type="list">
      <formula1>"1,2,3"</formula1>
    </dataValidation>
    <dataValidation sqref="F16" showDropDown="0" showInputMessage="0" showErrorMessage="1" allowBlank="1" errorTitle="Virheellinen arvo" error="Valitse listasta: AN, PH, VA" type="list">
      <formula1>"AN,PH,VA"</formula1>
    </dataValidation>
    <dataValidation sqref="V16" showDropDown="0" showInputMessage="0" showErrorMessage="1" allowBlank="1" errorTitle="Virheellinen arvo" error="Valitse listasta: 1, 2, 3" type="list">
      <formula1>"1,2,3"</formula1>
    </dataValidation>
    <dataValidation sqref="X16" showDropDown="0" showInputMessage="0" showErrorMessage="1" allowBlank="1" errorTitle="Virheellinen arvo" error="Valitse listasta: 1, 2, 3" type="list">
      <formula1>"1,2,3"</formula1>
    </dataValidation>
    <dataValidation sqref="Z16" showDropDown="0" showInputMessage="0" showErrorMessage="1" allowBlank="1" errorTitle="Virheellinen arvo" error="Valitse listasta: 1, 2, 3" type="list">
      <formula1>"1,2,3"</formula1>
    </dataValidation>
    <dataValidation sqref="AB16" showDropDown="0" showInputMessage="0" showErrorMessage="1" allowBlank="1" errorTitle="Virheellinen arvo" error="Valitse listasta: 1, 2, 3" type="list">
      <formula1>"1,2,3"</formula1>
    </dataValidation>
    <dataValidation sqref="AD16" showDropDown="0" showInputMessage="0" showErrorMessage="1" allowBlank="1" errorTitle="Virheellinen arvo" error="Valitse listasta: 1, 2, 3" type="list">
      <formula1>"1,2,3"</formula1>
    </dataValidation>
    <dataValidation sqref="AF16" showDropDown="0" showInputMessage="0" showErrorMessage="1" allowBlank="1" errorTitle="Virheellinen arvo" error="Valitse listasta: 1, 2, 3" type="list">
      <formula1>"1,2,3"</formula1>
    </dataValidation>
    <dataValidation sqref="AH16" showDropDown="0" showInputMessage="0" showErrorMessage="1" allowBlank="1" errorTitle="Virheellinen arvo" error="Valitse listasta: 1, 2, 3" type="list">
      <formula1>"1,2,3"</formula1>
    </dataValidation>
    <dataValidation sqref="F17" showDropDown="0" showInputMessage="0" showErrorMessage="1" allowBlank="1" errorTitle="Virheellinen arvo" error="Valitse listasta: AN, PH, VA" type="list">
      <formula1>"AN,PH,VA"</formula1>
    </dataValidation>
    <dataValidation sqref="V17" showDropDown="0" showInputMessage="0" showErrorMessage="1" allowBlank="1" errorTitle="Virheellinen arvo" error="Valitse listasta: 1, 2, 3" type="list">
      <formula1>"1,2,3"</formula1>
    </dataValidation>
    <dataValidation sqref="X17" showDropDown="0" showInputMessage="0" showErrorMessage="1" allowBlank="1" errorTitle="Virheellinen arvo" error="Valitse listasta: 1, 2, 3" type="list">
      <formula1>"1,2,3"</formula1>
    </dataValidation>
    <dataValidation sqref="Z17" showDropDown="0" showInputMessage="0" showErrorMessage="1" allowBlank="1" errorTitle="Virheellinen arvo" error="Valitse listasta: 1, 2, 3" type="list">
      <formula1>"1,2,3"</formula1>
    </dataValidation>
    <dataValidation sqref="AB17" showDropDown="0" showInputMessage="0" showErrorMessage="1" allowBlank="1" errorTitle="Virheellinen arvo" error="Valitse listasta: 1, 2, 3" type="list">
      <formula1>"1,2,3"</formula1>
    </dataValidation>
    <dataValidation sqref="AD17" showDropDown="0" showInputMessage="0" showErrorMessage="1" allowBlank="1" errorTitle="Virheellinen arvo" error="Valitse listasta: 1, 2, 3" type="list">
      <formula1>"1,2,3"</formula1>
    </dataValidation>
    <dataValidation sqref="AF17" showDropDown="0" showInputMessage="0" showErrorMessage="1" allowBlank="1" errorTitle="Virheellinen arvo" error="Valitse listasta: 1, 2, 3" type="list">
      <formula1>"1,2,3"</formula1>
    </dataValidation>
    <dataValidation sqref="AH17" showDropDown="0" showInputMessage="0" showErrorMessage="1" allowBlank="1" errorTitle="Virheellinen arvo" error="Valitse listasta: 1, 2, 3" type="list">
      <formula1>"1,2,3"</formula1>
    </dataValidation>
    <dataValidation sqref="F18" showDropDown="0" showInputMessage="0" showErrorMessage="1" allowBlank="1" errorTitle="Virheellinen arvo" error="Valitse listasta: AN, PH, VA" type="list">
      <formula1>"AN,PH,VA"</formula1>
    </dataValidation>
    <dataValidation sqref="V18" showDropDown="0" showInputMessage="0" showErrorMessage="1" allowBlank="1" errorTitle="Virheellinen arvo" error="Valitse listasta: 1, 2, 3" type="list">
      <formula1>"1,2,3"</formula1>
    </dataValidation>
    <dataValidation sqref="X18" showDropDown="0" showInputMessage="0" showErrorMessage="1" allowBlank="1" errorTitle="Virheellinen arvo" error="Valitse listasta: 1, 2, 3" type="list">
      <formula1>"1,2,3"</formula1>
    </dataValidation>
    <dataValidation sqref="Z18" showDropDown="0" showInputMessage="0" showErrorMessage="1" allowBlank="1" errorTitle="Virheellinen arvo" error="Valitse listasta: 1, 2, 3" type="list">
      <formula1>"1,2,3"</formula1>
    </dataValidation>
    <dataValidation sqref="AB18" showDropDown="0" showInputMessage="0" showErrorMessage="1" allowBlank="1" errorTitle="Virheellinen arvo" error="Valitse listasta: 1, 2, 3" type="list">
      <formula1>"1,2,3"</formula1>
    </dataValidation>
    <dataValidation sqref="AD18" showDropDown="0" showInputMessage="0" showErrorMessage="1" allowBlank="1" errorTitle="Virheellinen arvo" error="Valitse listasta: 1, 2, 3" type="list">
      <formula1>"1,2,3"</formula1>
    </dataValidation>
    <dataValidation sqref="AF18" showDropDown="0" showInputMessage="0" showErrorMessage="1" allowBlank="1" errorTitle="Virheellinen arvo" error="Valitse listasta: 1, 2, 3" type="list">
      <formula1>"1,2,3"</formula1>
    </dataValidation>
    <dataValidation sqref="AH18" showDropDown="0" showInputMessage="0" showErrorMessage="1" allowBlank="1" errorTitle="Virheellinen arvo" error="Valitse listasta: 1, 2, 3" type="list">
      <formula1>"1,2,3"</formula1>
    </dataValidation>
    <dataValidation sqref="F19" showDropDown="0" showInputMessage="0" showErrorMessage="1" allowBlank="1" errorTitle="Virheellinen arvo" error="Valitse listasta: AN, PH, VA" type="list">
      <formula1>"AN,PH,VA"</formula1>
    </dataValidation>
    <dataValidation sqref="V19" showDropDown="0" showInputMessage="0" showErrorMessage="1" allowBlank="1" errorTitle="Virheellinen arvo" error="Valitse listasta: 1, 2, 3" type="list">
      <formula1>"1,2,3"</formula1>
    </dataValidation>
    <dataValidation sqref="X19" showDropDown="0" showInputMessage="0" showErrorMessage="1" allowBlank="1" errorTitle="Virheellinen arvo" error="Valitse listasta: 1, 2, 3" type="list">
      <formula1>"1,2,3"</formula1>
    </dataValidation>
    <dataValidation sqref="Z19" showDropDown="0" showInputMessage="0" showErrorMessage="1" allowBlank="1" errorTitle="Virheellinen arvo" error="Valitse listasta: 1, 2, 3" type="list">
      <formula1>"1,2,3"</formula1>
    </dataValidation>
    <dataValidation sqref="AB19" showDropDown="0" showInputMessage="0" showErrorMessage="1" allowBlank="1" errorTitle="Virheellinen arvo" error="Valitse listasta: 1, 2, 3" type="list">
      <formula1>"1,2,3"</formula1>
    </dataValidation>
    <dataValidation sqref="AD19" showDropDown="0" showInputMessage="0" showErrorMessage="1" allowBlank="1" errorTitle="Virheellinen arvo" error="Valitse listasta: 1, 2, 3" type="list">
      <formula1>"1,2,3"</formula1>
    </dataValidation>
    <dataValidation sqref="AF19" showDropDown="0" showInputMessage="0" showErrorMessage="1" allowBlank="1" errorTitle="Virheellinen arvo" error="Valitse listasta: 1, 2, 3" type="list">
      <formula1>"1,2,3"</formula1>
    </dataValidation>
    <dataValidation sqref="AH19" showDropDown="0" showInputMessage="0" showErrorMessage="1" allowBlank="1" errorTitle="Virheellinen arvo" error="Valitse listasta: 1, 2, 3" type="list">
      <formula1>"1,2,3"</formula1>
    </dataValidation>
    <dataValidation sqref="F20" showDropDown="0" showInputMessage="0" showErrorMessage="1" allowBlank="1" errorTitle="Virheellinen arvo" error="Valitse listasta: AN, PH, VA" type="list">
      <formula1>"AN,PH,VA"</formula1>
    </dataValidation>
    <dataValidation sqref="V20" showDropDown="0" showInputMessage="0" showErrorMessage="1" allowBlank="1" errorTitle="Virheellinen arvo" error="Valitse listasta: 1, 2, 3" type="list">
      <formula1>"1,2,3"</formula1>
    </dataValidation>
    <dataValidation sqref="X20" showDropDown="0" showInputMessage="0" showErrorMessage="1" allowBlank="1" errorTitle="Virheellinen arvo" error="Valitse listasta: 1, 2, 3" type="list">
      <formula1>"1,2,3"</formula1>
    </dataValidation>
    <dataValidation sqref="Z20" showDropDown="0" showInputMessage="0" showErrorMessage="1" allowBlank="1" errorTitle="Virheellinen arvo" error="Valitse listasta: 1, 2, 3" type="list">
      <formula1>"1,2,3"</formula1>
    </dataValidation>
    <dataValidation sqref="AB20" showDropDown="0" showInputMessage="0" showErrorMessage="1" allowBlank="1" errorTitle="Virheellinen arvo" error="Valitse listasta: 1, 2, 3" type="list">
      <formula1>"1,2,3"</formula1>
    </dataValidation>
    <dataValidation sqref="AD20" showDropDown="0" showInputMessage="0" showErrorMessage="1" allowBlank="1" errorTitle="Virheellinen arvo" error="Valitse listasta: 1, 2, 3" type="list">
      <formula1>"1,2,3"</formula1>
    </dataValidation>
    <dataValidation sqref="AF20" showDropDown="0" showInputMessage="0" showErrorMessage="1" allowBlank="1" errorTitle="Virheellinen arvo" error="Valitse listasta: 1, 2, 3" type="list">
      <formula1>"1,2,3"</formula1>
    </dataValidation>
    <dataValidation sqref="AH20" showDropDown="0" showInputMessage="0" showErrorMessage="1" allowBlank="1" errorTitle="Virheellinen arvo" error="Valitse listasta: 1, 2, 3" type="list">
      <formula1>"1,2,3"</formula1>
    </dataValidation>
    <dataValidation sqref="F21" showDropDown="0" showInputMessage="0" showErrorMessage="1" allowBlank="1" errorTitle="Virheellinen arvo" error="Valitse listasta: AN, PH, VA" type="list">
      <formula1>"AN,PH,VA"</formula1>
    </dataValidation>
    <dataValidation sqref="V21" showDropDown="0" showInputMessage="0" showErrorMessage="1" allowBlank="1" errorTitle="Virheellinen arvo" error="Valitse listasta: 1, 2, 3" type="list">
      <formula1>"1,2,3"</formula1>
    </dataValidation>
    <dataValidation sqref="X21" showDropDown="0" showInputMessage="0" showErrorMessage="1" allowBlank="1" errorTitle="Virheellinen arvo" error="Valitse listasta: 1, 2, 3" type="list">
      <formula1>"1,2,3"</formula1>
    </dataValidation>
    <dataValidation sqref="Z21" showDropDown="0" showInputMessage="0" showErrorMessage="1" allowBlank="1" errorTitle="Virheellinen arvo" error="Valitse listasta: 1, 2, 3" type="list">
      <formula1>"1,2,3"</formula1>
    </dataValidation>
    <dataValidation sqref="AB21" showDropDown="0" showInputMessage="0" showErrorMessage="1" allowBlank="1" errorTitle="Virheellinen arvo" error="Valitse listasta: 1, 2, 3" type="list">
      <formula1>"1,2,3"</formula1>
    </dataValidation>
    <dataValidation sqref="AD21" showDropDown="0" showInputMessage="0" showErrorMessage="1" allowBlank="1" errorTitle="Virheellinen arvo" error="Valitse listasta: 1, 2, 3" type="list">
      <formula1>"1,2,3"</formula1>
    </dataValidation>
    <dataValidation sqref="AF21" showDropDown="0" showInputMessage="0" showErrorMessage="1" allowBlank="1" errorTitle="Virheellinen arvo" error="Valitse listasta: 1, 2, 3" type="list">
      <formula1>"1,2,3"</formula1>
    </dataValidation>
    <dataValidation sqref="AH21" showDropDown="0" showInputMessage="0" showErrorMessage="1" allowBlank="1" errorTitle="Virheellinen arvo" error="Valitse listasta: 1, 2, 3" type="list">
      <formula1>"1,2,3"</formula1>
    </dataValidation>
    <dataValidation sqref="F22" showDropDown="0" showInputMessage="0" showErrorMessage="1" allowBlank="1" errorTitle="Virheellinen arvo" error="Valitse listasta: AN, PH, VA" type="list">
      <formula1>"AN,PH,VA"</formula1>
    </dataValidation>
    <dataValidation sqref="V22" showDropDown="0" showInputMessage="0" showErrorMessage="1" allowBlank="1" errorTitle="Virheellinen arvo" error="Valitse listasta: 1, 2, 3" type="list">
      <formula1>"1,2,3"</formula1>
    </dataValidation>
    <dataValidation sqref="X22" showDropDown="0" showInputMessage="0" showErrorMessage="1" allowBlank="1" errorTitle="Virheellinen arvo" error="Valitse listasta: 1, 2, 3" type="list">
      <formula1>"1,2,3"</formula1>
    </dataValidation>
    <dataValidation sqref="Z22" showDropDown="0" showInputMessage="0" showErrorMessage="1" allowBlank="1" errorTitle="Virheellinen arvo" error="Valitse listasta: 1, 2, 3" type="list">
      <formula1>"1,2,3"</formula1>
    </dataValidation>
    <dataValidation sqref="AB22" showDropDown="0" showInputMessage="0" showErrorMessage="1" allowBlank="1" errorTitle="Virheellinen arvo" error="Valitse listasta: 1, 2, 3" type="list">
      <formula1>"1,2,3"</formula1>
    </dataValidation>
    <dataValidation sqref="AD22" showDropDown="0" showInputMessage="0" showErrorMessage="1" allowBlank="1" errorTitle="Virheellinen arvo" error="Valitse listasta: 1, 2, 3" type="list">
      <formula1>"1,2,3"</formula1>
    </dataValidation>
    <dataValidation sqref="AF22" showDropDown="0" showInputMessage="0" showErrorMessage="1" allowBlank="1" errorTitle="Virheellinen arvo" error="Valitse listasta: 1, 2, 3" type="list">
      <formula1>"1,2,3"</formula1>
    </dataValidation>
    <dataValidation sqref="AH22" showDropDown="0" showInputMessage="0" showErrorMessage="1" allowBlank="1" errorTitle="Virheellinen arvo" error="Valitse listasta: 1, 2, 3" type="list">
      <formula1>"1,2,3"</formula1>
    </dataValidation>
    <dataValidation sqref="F23" showDropDown="0" showInputMessage="0" showErrorMessage="1" allowBlank="1" errorTitle="Virheellinen arvo" error="Valitse listasta: AN, PH, VA" type="list">
      <formula1>"AN,PH,VA"</formula1>
    </dataValidation>
    <dataValidation sqref="V23" showDropDown="0" showInputMessage="0" showErrorMessage="1" allowBlank="1" errorTitle="Virheellinen arvo" error="Valitse listasta: 1, 2, 3" type="list">
      <formula1>"1,2,3"</formula1>
    </dataValidation>
    <dataValidation sqref="X23" showDropDown="0" showInputMessage="0" showErrorMessage="1" allowBlank="1" errorTitle="Virheellinen arvo" error="Valitse listasta: 1, 2, 3" type="list">
      <formula1>"1,2,3"</formula1>
    </dataValidation>
    <dataValidation sqref="Z23" showDropDown="0" showInputMessage="0" showErrorMessage="1" allowBlank="1" errorTitle="Virheellinen arvo" error="Valitse listasta: 1, 2, 3" type="list">
      <formula1>"1,2,3"</formula1>
    </dataValidation>
    <dataValidation sqref="AB23" showDropDown="0" showInputMessage="0" showErrorMessage="1" allowBlank="1" errorTitle="Virheellinen arvo" error="Valitse listasta: 1, 2, 3" type="list">
      <formula1>"1,2,3"</formula1>
    </dataValidation>
    <dataValidation sqref="AD23" showDropDown="0" showInputMessage="0" showErrorMessage="1" allowBlank="1" errorTitle="Virheellinen arvo" error="Valitse listasta: 1, 2, 3" type="list">
      <formula1>"1,2,3"</formula1>
    </dataValidation>
    <dataValidation sqref="AF23" showDropDown="0" showInputMessage="0" showErrorMessage="1" allowBlank="1" errorTitle="Virheellinen arvo" error="Valitse listasta: 1, 2, 3" type="list">
      <formula1>"1,2,3"</formula1>
    </dataValidation>
    <dataValidation sqref="AH23" showDropDown="0" showInputMessage="0" showErrorMessage="1" allowBlank="1" errorTitle="Virheellinen arvo" error="Valitse listasta: 1, 2, 3" type="list">
      <formula1>"1,2,3"</formula1>
    </dataValidation>
    <dataValidation sqref="F24" showDropDown="0" showInputMessage="0" showErrorMessage="1" allowBlank="1" errorTitle="Virheellinen arvo" error="Valitse listasta: AN, PH, VA" type="list">
      <formula1>"AN,PH,VA"</formula1>
    </dataValidation>
    <dataValidation sqref="V24" showDropDown="0" showInputMessage="0" showErrorMessage="1" allowBlank="1" errorTitle="Virheellinen arvo" error="Valitse listasta: 1, 2, 3" type="list">
      <formula1>"1,2,3"</formula1>
    </dataValidation>
    <dataValidation sqref="X24" showDropDown="0" showInputMessage="0" showErrorMessage="1" allowBlank="1" errorTitle="Virheellinen arvo" error="Valitse listasta: 1, 2, 3" type="list">
      <formula1>"1,2,3"</formula1>
    </dataValidation>
    <dataValidation sqref="Z24" showDropDown="0" showInputMessage="0" showErrorMessage="1" allowBlank="1" errorTitle="Virheellinen arvo" error="Valitse listasta: 1, 2, 3" type="list">
      <formula1>"1,2,3"</formula1>
    </dataValidation>
    <dataValidation sqref="AB24" showDropDown="0" showInputMessage="0" showErrorMessage="1" allowBlank="1" errorTitle="Virheellinen arvo" error="Valitse listasta: 1, 2, 3" type="list">
      <formula1>"1,2,3"</formula1>
    </dataValidation>
    <dataValidation sqref="AD24" showDropDown="0" showInputMessage="0" showErrorMessage="1" allowBlank="1" errorTitle="Virheellinen arvo" error="Valitse listasta: 1, 2, 3" type="list">
      <formula1>"1,2,3"</formula1>
    </dataValidation>
    <dataValidation sqref="AF24" showDropDown="0" showInputMessage="0" showErrorMessage="1" allowBlank="1" errorTitle="Virheellinen arvo" error="Valitse listasta: 1, 2, 3" type="list">
      <formula1>"1,2,3"</formula1>
    </dataValidation>
    <dataValidation sqref="AH24" showDropDown="0" showInputMessage="0" showErrorMessage="1" allowBlank="1" errorTitle="Virheellinen arvo" error="Valitse listasta: 1, 2, 3" type="list">
      <formula1>"1,2,3"</formula1>
    </dataValidation>
    <dataValidation sqref="F25" showDropDown="0" showInputMessage="0" showErrorMessage="1" allowBlank="1" errorTitle="Virheellinen arvo" error="Valitse listasta: AN, PH, VA" type="list">
      <formula1>"AN,PH,VA"</formula1>
    </dataValidation>
    <dataValidation sqref="V25" showDropDown="0" showInputMessage="0" showErrorMessage="1" allowBlank="1" errorTitle="Virheellinen arvo" error="Valitse listasta: 1, 2, 3" type="list">
      <formula1>"1,2,3"</formula1>
    </dataValidation>
    <dataValidation sqref="X25" showDropDown="0" showInputMessage="0" showErrorMessage="1" allowBlank="1" errorTitle="Virheellinen arvo" error="Valitse listasta: 1, 2, 3" type="list">
      <formula1>"1,2,3"</formula1>
    </dataValidation>
    <dataValidation sqref="Z25" showDropDown="0" showInputMessage="0" showErrorMessage="1" allowBlank="1" errorTitle="Virheellinen arvo" error="Valitse listasta: 1, 2, 3" type="list">
      <formula1>"1,2,3"</formula1>
    </dataValidation>
    <dataValidation sqref="AB25" showDropDown="0" showInputMessage="0" showErrorMessage="1" allowBlank="1" errorTitle="Virheellinen arvo" error="Valitse listasta: 1, 2, 3" type="list">
      <formula1>"1,2,3"</formula1>
    </dataValidation>
    <dataValidation sqref="AD25" showDropDown="0" showInputMessage="0" showErrorMessage="1" allowBlank="1" errorTitle="Virheellinen arvo" error="Valitse listasta: 1, 2, 3" type="list">
      <formula1>"1,2,3"</formula1>
    </dataValidation>
    <dataValidation sqref="AF25" showDropDown="0" showInputMessage="0" showErrorMessage="1" allowBlank="1" errorTitle="Virheellinen arvo" error="Valitse listasta: 1, 2, 3" type="list">
      <formula1>"1,2,3"</formula1>
    </dataValidation>
    <dataValidation sqref="AH25" showDropDown="0" showInputMessage="0" showErrorMessage="1" allowBlank="1" errorTitle="Virheellinen arvo" error="Valitse listasta: 1, 2, 3" type="list">
      <formula1>"1,2,3"</formula1>
    </dataValidation>
    <dataValidation sqref="F26" showDropDown="0" showInputMessage="0" showErrorMessage="1" allowBlank="1" errorTitle="Virheellinen arvo" error="Valitse listasta: AN, PH, VA" type="list">
      <formula1>"AN,PH,VA"</formula1>
    </dataValidation>
    <dataValidation sqref="V26" showDropDown="0" showInputMessage="0" showErrorMessage="1" allowBlank="1" errorTitle="Virheellinen arvo" error="Valitse listasta: 1, 2, 3" type="list">
      <formula1>"1,2,3"</formula1>
    </dataValidation>
    <dataValidation sqref="X26" showDropDown="0" showInputMessage="0" showErrorMessage="1" allowBlank="1" errorTitle="Virheellinen arvo" error="Valitse listasta: 1, 2, 3" type="list">
      <formula1>"1,2,3"</formula1>
    </dataValidation>
    <dataValidation sqref="Z26" showDropDown="0" showInputMessage="0" showErrorMessage="1" allowBlank="1" errorTitle="Virheellinen arvo" error="Valitse listasta: 1, 2, 3" type="list">
      <formula1>"1,2,3"</formula1>
    </dataValidation>
    <dataValidation sqref="AB26" showDropDown="0" showInputMessage="0" showErrorMessage="1" allowBlank="1" errorTitle="Virheellinen arvo" error="Valitse listasta: 1, 2, 3" type="list">
      <formula1>"1,2,3"</formula1>
    </dataValidation>
    <dataValidation sqref="AD26" showDropDown="0" showInputMessage="0" showErrorMessage="1" allowBlank="1" errorTitle="Virheellinen arvo" error="Valitse listasta: 1, 2, 3" type="list">
      <formula1>"1,2,3"</formula1>
    </dataValidation>
    <dataValidation sqref="AF26" showDropDown="0" showInputMessage="0" showErrorMessage="1" allowBlank="1" errorTitle="Virheellinen arvo" error="Valitse listasta: 1, 2, 3" type="list">
      <formula1>"1,2,3"</formula1>
    </dataValidation>
    <dataValidation sqref="AH26" showDropDown="0" showInputMessage="0" showErrorMessage="1" allowBlank="1" errorTitle="Virheellinen arvo" error="Valitse listasta: 1, 2, 3" type="list">
      <formula1>"1,2,3"</formula1>
    </dataValidation>
    <dataValidation sqref="F27" showDropDown="0" showInputMessage="0" showErrorMessage="1" allowBlank="1" errorTitle="Virheellinen arvo" error="Valitse listasta: AN, PH, VA" type="list">
      <formula1>"AN,PH,VA"</formula1>
    </dataValidation>
    <dataValidation sqref="V27" showDropDown="0" showInputMessage="0" showErrorMessage="1" allowBlank="1" errorTitle="Virheellinen arvo" error="Valitse listasta: 1, 2, 3" type="list">
      <formula1>"1,2,3"</formula1>
    </dataValidation>
    <dataValidation sqref="X27" showDropDown="0" showInputMessage="0" showErrorMessage="1" allowBlank="1" errorTitle="Virheellinen arvo" error="Valitse listasta: 1, 2, 3" type="list">
      <formula1>"1,2,3"</formula1>
    </dataValidation>
    <dataValidation sqref="Z27" showDropDown="0" showInputMessage="0" showErrorMessage="1" allowBlank="1" errorTitle="Virheellinen arvo" error="Valitse listasta: 1, 2, 3" type="list">
      <formula1>"1,2,3"</formula1>
    </dataValidation>
    <dataValidation sqref="AB27" showDropDown="0" showInputMessage="0" showErrorMessage="1" allowBlank="1" errorTitle="Virheellinen arvo" error="Valitse listasta: 1, 2, 3" type="list">
      <formula1>"1,2,3"</formula1>
    </dataValidation>
    <dataValidation sqref="AD27" showDropDown="0" showInputMessage="0" showErrorMessage="1" allowBlank="1" errorTitle="Virheellinen arvo" error="Valitse listasta: 1, 2, 3" type="list">
      <formula1>"1,2,3"</formula1>
    </dataValidation>
    <dataValidation sqref="AF27" showDropDown="0" showInputMessage="0" showErrorMessage="1" allowBlank="1" errorTitle="Virheellinen arvo" error="Valitse listasta: 1, 2, 3" type="list">
      <formula1>"1,2,3"</formula1>
    </dataValidation>
    <dataValidation sqref="AH27" showDropDown="0" showInputMessage="0" showErrorMessage="1" allowBlank="1" errorTitle="Virheellinen arvo" error="Valitse listasta: 1, 2, 3" type="list">
      <formula1>"1,2,3"</formula1>
    </dataValidation>
    <dataValidation sqref="F28" showDropDown="0" showInputMessage="0" showErrorMessage="1" allowBlank="1" errorTitle="Virheellinen arvo" error="Valitse listasta: AN, PH, VA" type="list">
      <formula1>"AN,PH,VA"</formula1>
    </dataValidation>
    <dataValidation sqref="V28" showDropDown="0" showInputMessage="0" showErrorMessage="1" allowBlank="1" errorTitle="Virheellinen arvo" error="Valitse listasta: 1, 2, 3" type="list">
      <formula1>"1,2,3"</formula1>
    </dataValidation>
    <dataValidation sqref="X28" showDropDown="0" showInputMessage="0" showErrorMessage="1" allowBlank="1" errorTitle="Virheellinen arvo" error="Valitse listasta: 1, 2, 3" type="list">
      <formula1>"1,2,3"</formula1>
    </dataValidation>
    <dataValidation sqref="Z28" showDropDown="0" showInputMessage="0" showErrorMessage="1" allowBlank="1" errorTitle="Virheellinen arvo" error="Valitse listasta: 1, 2, 3" type="list">
      <formula1>"1,2,3"</formula1>
    </dataValidation>
    <dataValidation sqref="AB28" showDropDown="0" showInputMessage="0" showErrorMessage="1" allowBlank="1" errorTitle="Virheellinen arvo" error="Valitse listasta: 1, 2, 3" type="list">
      <formula1>"1,2,3"</formula1>
    </dataValidation>
    <dataValidation sqref="AD28" showDropDown="0" showInputMessage="0" showErrorMessage="1" allowBlank="1" errorTitle="Virheellinen arvo" error="Valitse listasta: 1, 2, 3" type="list">
      <formula1>"1,2,3"</formula1>
    </dataValidation>
    <dataValidation sqref="AF28" showDropDown="0" showInputMessage="0" showErrorMessage="1" allowBlank="1" errorTitle="Virheellinen arvo" error="Valitse listasta: 1, 2, 3" type="list">
      <formula1>"1,2,3"</formula1>
    </dataValidation>
    <dataValidation sqref="AH28" showDropDown="0" showInputMessage="0" showErrorMessage="1" allowBlank="1" errorTitle="Virheellinen arvo" error="Valitse listasta: 1, 2, 3" type="list">
      <formula1>"1,2,3"</formula1>
    </dataValidation>
    <dataValidation sqref="F29" showDropDown="0" showInputMessage="0" showErrorMessage="1" allowBlank="1" errorTitle="Virheellinen arvo" error="Valitse listasta: AN, PH, VA" type="list">
      <formula1>"AN,PH,VA"</formula1>
    </dataValidation>
    <dataValidation sqref="V29" showDropDown="0" showInputMessage="0" showErrorMessage="1" allowBlank="1" errorTitle="Virheellinen arvo" error="Valitse listasta: 1, 2, 3" type="list">
      <formula1>"1,2,3"</formula1>
    </dataValidation>
    <dataValidation sqref="X29" showDropDown="0" showInputMessage="0" showErrorMessage="1" allowBlank="1" errorTitle="Virheellinen arvo" error="Valitse listasta: 1, 2, 3" type="list">
      <formula1>"1,2,3"</formula1>
    </dataValidation>
    <dataValidation sqref="Z29" showDropDown="0" showInputMessage="0" showErrorMessage="1" allowBlank="1" errorTitle="Virheellinen arvo" error="Valitse listasta: 1, 2, 3" type="list">
      <formula1>"1,2,3"</formula1>
    </dataValidation>
    <dataValidation sqref="AB29" showDropDown="0" showInputMessage="0" showErrorMessage="1" allowBlank="1" errorTitle="Virheellinen arvo" error="Valitse listasta: 1, 2, 3" type="list">
      <formula1>"1,2,3"</formula1>
    </dataValidation>
    <dataValidation sqref="AD29" showDropDown="0" showInputMessage="0" showErrorMessage="1" allowBlank="1" errorTitle="Virheellinen arvo" error="Valitse listasta: 1, 2, 3" type="list">
      <formula1>"1,2,3"</formula1>
    </dataValidation>
    <dataValidation sqref="AF29" showDropDown="0" showInputMessage="0" showErrorMessage="1" allowBlank="1" errorTitle="Virheellinen arvo" error="Valitse listasta: 1, 2, 3" type="list">
      <formula1>"1,2,3"</formula1>
    </dataValidation>
    <dataValidation sqref="AH29" showDropDown="0" showInputMessage="0" showErrorMessage="1" allowBlank="1" errorTitle="Virheellinen arvo" error="Valitse listasta: 1, 2, 3" type="list">
      <formula1>"1,2,3"</formula1>
    </dataValidation>
    <dataValidation sqref="F30" showDropDown="0" showInputMessage="0" showErrorMessage="1" allowBlank="1" errorTitle="Virheellinen arvo" error="Valitse listasta: AN, PH, VA" type="list">
      <formula1>"AN,PH,VA"</formula1>
    </dataValidation>
    <dataValidation sqref="V30" showDropDown="0" showInputMessage="0" showErrorMessage="1" allowBlank="1" errorTitle="Virheellinen arvo" error="Valitse listasta: 1, 2, 3" type="list">
      <formula1>"1,2,3"</formula1>
    </dataValidation>
    <dataValidation sqref="X30" showDropDown="0" showInputMessage="0" showErrorMessage="1" allowBlank="1" errorTitle="Virheellinen arvo" error="Valitse listasta: 1, 2, 3" type="list">
      <formula1>"1,2,3"</formula1>
    </dataValidation>
    <dataValidation sqref="Z30" showDropDown="0" showInputMessage="0" showErrorMessage="1" allowBlank="1" errorTitle="Virheellinen arvo" error="Valitse listasta: 1, 2, 3" type="list">
      <formula1>"1,2,3"</formula1>
    </dataValidation>
    <dataValidation sqref="AB30" showDropDown="0" showInputMessage="0" showErrorMessage="1" allowBlank="1" errorTitle="Virheellinen arvo" error="Valitse listasta: 1, 2, 3" type="list">
      <formula1>"1,2,3"</formula1>
    </dataValidation>
    <dataValidation sqref="AD30" showDropDown="0" showInputMessage="0" showErrorMessage="1" allowBlank="1" errorTitle="Virheellinen arvo" error="Valitse listasta: 1, 2, 3" type="list">
      <formula1>"1,2,3"</formula1>
    </dataValidation>
    <dataValidation sqref="AF30" showDropDown="0" showInputMessage="0" showErrorMessage="1" allowBlank="1" errorTitle="Virheellinen arvo" error="Valitse listasta: 1, 2, 3" type="list">
      <formula1>"1,2,3"</formula1>
    </dataValidation>
    <dataValidation sqref="AH30" showDropDown="0" showInputMessage="0" showErrorMessage="1" allowBlank="1" errorTitle="Virheellinen arvo" error="Valitse listasta: 1, 2, 3" type="list">
      <formula1>"1,2,3"</formula1>
    </dataValidation>
    <dataValidation sqref="F31" showDropDown="0" showInputMessage="0" showErrorMessage="1" allowBlank="1" errorTitle="Virheellinen arvo" error="Valitse listasta: AN, PH, VA" type="list">
      <formula1>"AN,PH,VA"</formula1>
    </dataValidation>
    <dataValidation sqref="V31" showDropDown="0" showInputMessage="0" showErrorMessage="1" allowBlank="1" errorTitle="Virheellinen arvo" error="Valitse listasta: 1, 2, 3" type="list">
      <formula1>"1,2,3"</formula1>
    </dataValidation>
    <dataValidation sqref="X31" showDropDown="0" showInputMessage="0" showErrorMessage="1" allowBlank="1" errorTitle="Virheellinen arvo" error="Valitse listasta: 1, 2, 3" type="list">
      <formula1>"1,2,3"</formula1>
    </dataValidation>
    <dataValidation sqref="Z31" showDropDown="0" showInputMessage="0" showErrorMessage="1" allowBlank="1" errorTitle="Virheellinen arvo" error="Valitse listasta: 1, 2, 3" type="list">
      <formula1>"1,2,3"</formula1>
    </dataValidation>
    <dataValidation sqref="AB31" showDropDown="0" showInputMessage="0" showErrorMessage="1" allowBlank="1" errorTitle="Virheellinen arvo" error="Valitse listasta: 1, 2, 3" type="list">
      <formula1>"1,2,3"</formula1>
    </dataValidation>
    <dataValidation sqref="AD31" showDropDown="0" showInputMessage="0" showErrorMessage="1" allowBlank="1" errorTitle="Virheellinen arvo" error="Valitse listasta: 1, 2, 3" type="list">
      <formula1>"1,2,3"</formula1>
    </dataValidation>
    <dataValidation sqref="AF31" showDropDown="0" showInputMessage="0" showErrorMessage="1" allowBlank="1" errorTitle="Virheellinen arvo" error="Valitse listasta: 1, 2, 3" type="list">
      <formula1>"1,2,3"</formula1>
    </dataValidation>
    <dataValidation sqref="AH31" showDropDown="0" showInputMessage="0" showErrorMessage="1" allowBlank="1" errorTitle="Virheellinen arvo" error="Valitse listasta: 1, 2, 3" type="list">
      <formula1>"1,2,3"</formula1>
    </dataValidation>
    <dataValidation sqref="F32" showDropDown="0" showInputMessage="0" showErrorMessage="1" allowBlank="1" errorTitle="Virheellinen arvo" error="Valitse listasta: AN, PH, VA" type="list">
      <formula1>"AN,PH,VA"</formula1>
    </dataValidation>
    <dataValidation sqref="V32" showDropDown="0" showInputMessage="0" showErrorMessage="1" allowBlank="1" errorTitle="Virheellinen arvo" error="Valitse listasta: 1, 2, 3" type="list">
      <formula1>"1,2,3"</formula1>
    </dataValidation>
    <dataValidation sqref="X32" showDropDown="0" showInputMessage="0" showErrorMessage="1" allowBlank="1" errorTitle="Virheellinen arvo" error="Valitse listasta: 1, 2, 3" type="list">
      <formula1>"1,2,3"</formula1>
    </dataValidation>
    <dataValidation sqref="Z32" showDropDown="0" showInputMessage="0" showErrorMessage="1" allowBlank="1" errorTitle="Virheellinen arvo" error="Valitse listasta: 1, 2, 3" type="list">
      <formula1>"1,2,3"</formula1>
    </dataValidation>
    <dataValidation sqref="AB32" showDropDown="0" showInputMessage="0" showErrorMessage="1" allowBlank="1" errorTitle="Virheellinen arvo" error="Valitse listasta: 1, 2, 3" type="list">
      <formula1>"1,2,3"</formula1>
    </dataValidation>
    <dataValidation sqref="AD32" showDropDown="0" showInputMessage="0" showErrorMessage="1" allowBlank="1" errorTitle="Virheellinen arvo" error="Valitse listasta: 1, 2, 3" type="list">
      <formula1>"1,2,3"</formula1>
    </dataValidation>
    <dataValidation sqref="AF32" showDropDown="0" showInputMessage="0" showErrorMessage="1" allowBlank="1" errorTitle="Virheellinen arvo" error="Valitse listasta: 1, 2, 3" type="list">
      <formula1>"1,2,3"</formula1>
    </dataValidation>
    <dataValidation sqref="AH32" showDropDown="0" showInputMessage="0" showErrorMessage="1" allowBlank="1" errorTitle="Virheellinen arvo" error="Valitse listasta: 1, 2, 3" type="list">
      <formula1>"1,2,3"</formula1>
    </dataValidation>
    <dataValidation sqref="F33" showDropDown="0" showInputMessage="0" showErrorMessage="1" allowBlank="1" errorTitle="Virheellinen arvo" error="Valitse listasta: AN, PH, VA" type="list">
      <formula1>"AN,PH,VA"</formula1>
    </dataValidation>
    <dataValidation sqref="V33" showDropDown="0" showInputMessage="0" showErrorMessage="1" allowBlank="1" errorTitle="Virheellinen arvo" error="Valitse listasta: 1, 2, 3" type="list">
      <formula1>"1,2,3"</formula1>
    </dataValidation>
    <dataValidation sqref="X33" showDropDown="0" showInputMessage="0" showErrorMessage="1" allowBlank="1" errorTitle="Virheellinen arvo" error="Valitse listasta: 1, 2, 3" type="list">
      <formula1>"1,2,3"</formula1>
    </dataValidation>
    <dataValidation sqref="Z33" showDropDown="0" showInputMessage="0" showErrorMessage="1" allowBlank="1" errorTitle="Virheellinen arvo" error="Valitse listasta: 1, 2, 3" type="list">
      <formula1>"1,2,3"</formula1>
    </dataValidation>
    <dataValidation sqref="AB33" showDropDown="0" showInputMessage="0" showErrorMessage="1" allowBlank="1" errorTitle="Virheellinen arvo" error="Valitse listasta: 1, 2, 3" type="list">
      <formula1>"1,2,3"</formula1>
    </dataValidation>
    <dataValidation sqref="AD33" showDropDown="0" showInputMessage="0" showErrorMessage="1" allowBlank="1" errorTitle="Virheellinen arvo" error="Valitse listasta: 1, 2, 3" type="list">
      <formula1>"1,2,3"</formula1>
    </dataValidation>
    <dataValidation sqref="AF33" showDropDown="0" showInputMessage="0" showErrorMessage="1" allowBlank="1" errorTitle="Virheellinen arvo" error="Valitse listasta: 1, 2, 3" type="list">
      <formula1>"1,2,3"</formula1>
    </dataValidation>
    <dataValidation sqref="AH33" showDropDown="0" showInputMessage="0" showErrorMessage="1" allowBlank="1" errorTitle="Virheellinen arvo" error="Valitse listasta: 1, 2, 3" type="list">
      <formula1>"1,2,3"</formula1>
    </dataValidation>
    <dataValidation sqref="F34" showDropDown="0" showInputMessage="0" showErrorMessage="1" allowBlank="1" errorTitle="Virheellinen arvo" error="Valitse listasta: AN, PH, VA" type="list">
      <formula1>"AN,PH,VA"</formula1>
    </dataValidation>
    <dataValidation sqref="V34" showDropDown="0" showInputMessage="0" showErrorMessage="1" allowBlank="1" errorTitle="Virheellinen arvo" error="Valitse listasta: 1, 2, 3" type="list">
      <formula1>"1,2,3"</formula1>
    </dataValidation>
    <dataValidation sqref="X34" showDropDown="0" showInputMessage="0" showErrorMessage="1" allowBlank="1" errorTitle="Virheellinen arvo" error="Valitse listasta: 1, 2, 3" type="list">
      <formula1>"1,2,3"</formula1>
    </dataValidation>
    <dataValidation sqref="Z34" showDropDown="0" showInputMessage="0" showErrorMessage="1" allowBlank="1" errorTitle="Virheellinen arvo" error="Valitse listasta: 1, 2, 3" type="list">
      <formula1>"1,2,3"</formula1>
    </dataValidation>
    <dataValidation sqref="AB34" showDropDown="0" showInputMessage="0" showErrorMessage="1" allowBlank="1" errorTitle="Virheellinen arvo" error="Valitse listasta: 1, 2, 3" type="list">
      <formula1>"1,2,3"</formula1>
    </dataValidation>
    <dataValidation sqref="AD34" showDropDown="0" showInputMessage="0" showErrorMessage="1" allowBlank="1" errorTitle="Virheellinen arvo" error="Valitse listasta: 1, 2, 3" type="list">
      <formula1>"1,2,3"</formula1>
    </dataValidation>
    <dataValidation sqref="AF34" showDropDown="0" showInputMessage="0" showErrorMessage="1" allowBlank="1" errorTitle="Virheellinen arvo" error="Valitse listasta: 1, 2, 3" type="list">
      <formula1>"1,2,3"</formula1>
    </dataValidation>
    <dataValidation sqref="AH34" showDropDown="0" showInputMessage="0" showErrorMessage="1" allowBlank="1" errorTitle="Virheellinen arvo" error="Valitse listasta: 1, 2, 3" type="list">
      <formula1>"1,2,3"</formula1>
    </dataValidation>
    <dataValidation sqref="F35" showDropDown="0" showInputMessage="0" showErrorMessage="1" allowBlank="1" errorTitle="Virheellinen arvo" error="Valitse listasta: AN, PH, VA" type="list">
      <formula1>"AN,PH,VA"</formula1>
    </dataValidation>
    <dataValidation sqref="V35" showDropDown="0" showInputMessage="0" showErrorMessage="1" allowBlank="1" errorTitle="Virheellinen arvo" error="Valitse listasta: 1, 2, 3" type="list">
      <formula1>"1,2,3"</formula1>
    </dataValidation>
    <dataValidation sqref="X35" showDropDown="0" showInputMessage="0" showErrorMessage="1" allowBlank="1" errorTitle="Virheellinen arvo" error="Valitse listasta: 1, 2, 3" type="list">
      <formula1>"1,2,3"</formula1>
    </dataValidation>
    <dataValidation sqref="Z35" showDropDown="0" showInputMessage="0" showErrorMessage="1" allowBlank="1" errorTitle="Virheellinen arvo" error="Valitse listasta: 1, 2, 3" type="list">
      <formula1>"1,2,3"</formula1>
    </dataValidation>
    <dataValidation sqref="AB35" showDropDown="0" showInputMessage="0" showErrorMessage="1" allowBlank="1" errorTitle="Virheellinen arvo" error="Valitse listasta: 1, 2, 3" type="list">
      <formula1>"1,2,3"</formula1>
    </dataValidation>
    <dataValidation sqref="AD35" showDropDown="0" showInputMessage="0" showErrorMessage="1" allowBlank="1" errorTitle="Virheellinen arvo" error="Valitse listasta: 1, 2, 3" type="list">
      <formula1>"1,2,3"</formula1>
    </dataValidation>
    <dataValidation sqref="AF35" showDropDown="0" showInputMessage="0" showErrorMessage="1" allowBlank="1" errorTitle="Virheellinen arvo" error="Valitse listasta: 1, 2, 3" type="list">
      <formula1>"1,2,3"</formula1>
    </dataValidation>
    <dataValidation sqref="AH35" showDropDown="0" showInputMessage="0" showErrorMessage="1" allowBlank="1" errorTitle="Virheellinen arvo" error="Valitse listasta: 1, 2, 3" type="list">
      <formula1>"1,2,3"</formula1>
    </dataValidation>
    <dataValidation sqref="F36" showDropDown="0" showInputMessage="0" showErrorMessage="1" allowBlank="1" errorTitle="Virheellinen arvo" error="Valitse listasta: AN, PH, VA" type="list">
      <formula1>"AN,PH,VA"</formula1>
    </dataValidation>
    <dataValidation sqref="V36" showDropDown="0" showInputMessage="0" showErrorMessage="1" allowBlank="1" errorTitle="Virheellinen arvo" error="Valitse listasta: 1, 2, 3" type="list">
      <formula1>"1,2,3"</formula1>
    </dataValidation>
    <dataValidation sqref="X36" showDropDown="0" showInputMessage="0" showErrorMessage="1" allowBlank="1" errorTitle="Virheellinen arvo" error="Valitse listasta: 1, 2, 3" type="list">
      <formula1>"1,2,3"</formula1>
    </dataValidation>
    <dataValidation sqref="Z36" showDropDown="0" showInputMessage="0" showErrorMessage="1" allowBlank="1" errorTitle="Virheellinen arvo" error="Valitse listasta: 1, 2, 3" type="list">
      <formula1>"1,2,3"</formula1>
    </dataValidation>
    <dataValidation sqref="AB36" showDropDown="0" showInputMessage="0" showErrorMessage="1" allowBlank="1" errorTitle="Virheellinen arvo" error="Valitse listasta: 1, 2, 3" type="list">
      <formula1>"1,2,3"</formula1>
    </dataValidation>
    <dataValidation sqref="AD36" showDropDown="0" showInputMessage="0" showErrorMessage="1" allowBlank="1" errorTitle="Virheellinen arvo" error="Valitse listasta: 1, 2, 3" type="list">
      <formula1>"1,2,3"</formula1>
    </dataValidation>
    <dataValidation sqref="AF36" showDropDown="0" showInputMessage="0" showErrorMessage="1" allowBlank="1" errorTitle="Virheellinen arvo" error="Valitse listasta: 1, 2, 3" type="list">
      <formula1>"1,2,3"</formula1>
    </dataValidation>
    <dataValidation sqref="AH36" showDropDown="0" showInputMessage="0" showErrorMessage="1" allowBlank="1" errorTitle="Virheellinen arvo" error="Valitse listasta: 1, 2, 3" type="list">
      <formula1>"1,2,3"</formula1>
    </dataValidation>
    <dataValidation sqref="F37" showDropDown="0" showInputMessage="0" showErrorMessage="1" allowBlank="1" errorTitle="Virheellinen arvo" error="Valitse listasta: AN, PH, VA" type="list">
      <formula1>"AN,PH,VA"</formula1>
    </dataValidation>
    <dataValidation sqref="V37" showDropDown="0" showInputMessage="0" showErrorMessage="1" allowBlank="1" errorTitle="Virheellinen arvo" error="Valitse listasta: 1, 2, 3" type="list">
      <formula1>"1,2,3"</formula1>
    </dataValidation>
    <dataValidation sqref="X37" showDropDown="0" showInputMessage="0" showErrorMessage="1" allowBlank="1" errorTitle="Virheellinen arvo" error="Valitse listasta: 1, 2, 3" type="list">
      <formula1>"1,2,3"</formula1>
    </dataValidation>
    <dataValidation sqref="Z37" showDropDown="0" showInputMessage="0" showErrorMessage="1" allowBlank="1" errorTitle="Virheellinen arvo" error="Valitse listasta: 1, 2, 3" type="list">
      <formula1>"1,2,3"</formula1>
    </dataValidation>
    <dataValidation sqref="AB37" showDropDown="0" showInputMessage="0" showErrorMessage="1" allowBlank="1" errorTitle="Virheellinen arvo" error="Valitse listasta: 1, 2, 3" type="list">
      <formula1>"1,2,3"</formula1>
    </dataValidation>
    <dataValidation sqref="AD37" showDropDown="0" showInputMessage="0" showErrorMessage="1" allowBlank="1" errorTitle="Virheellinen arvo" error="Valitse listasta: 1, 2, 3" type="list">
      <formula1>"1,2,3"</formula1>
    </dataValidation>
    <dataValidation sqref="AF37" showDropDown="0" showInputMessage="0" showErrorMessage="1" allowBlank="1" errorTitle="Virheellinen arvo" error="Valitse listasta: 1, 2, 3" type="list">
      <formula1>"1,2,3"</formula1>
    </dataValidation>
    <dataValidation sqref="AH37" showDropDown="0" showInputMessage="0" showErrorMessage="1" allowBlank="1" errorTitle="Virheellinen arvo" error="Valitse listasta: 1, 2, 3" type="list">
      <formula1>"1,2,3"</formula1>
    </dataValidation>
    <dataValidation sqref="F38" showDropDown="0" showInputMessage="0" showErrorMessage="1" allowBlank="1" errorTitle="Virheellinen arvo" error="Valitse listasta: AN, PH, VA" type="list">
      <formula1>"AN,PH,VA"</formula1>
    </dataValidation>
    <dataValidation sqref="V38" showDropDown="0" showInputMessage="0" showErrorMessage="1" allowBlank="1" errorTitle="Virheellinen arvo" error="Valitse listasta: 1, 2, 3" type="list">
      <formula1>"1,2,3"</formula1>
    </dataValidation>
    <dataValidation sqref="X38" showDropDown="0" showInputMessage="0" showErrorMessage="1" allowBlank="1" errorTitle="Virheellinen arvo" error="Valitse listasta: 1, 2, 3" type="list">
      <formula1>"1,2,3"</formula1>
    </dataValidation>
    <dataValidation sqref="Z38" showDropDown="0" showInputMessage="0" showErrorMessage="1" allowBlank="1" errorTitle="Virheellinen arvo" error="Valitse listasta: 1, 2, 3" type="list">
      <formula1>"1,2,3"</formula1>
    </dataValidation>
    <dataValidation sqref="AB38" showDropDown="0" showInputMessage="0" showErrorMessage="1" allowBlank="1" errorTitle="Virheellinen arvo" error="Valitse listasta: 1, 2, 3" type="list">
      <formula1>"1,2,3"</formula1>
    </dataValidation>
    <dataValidation sqref="AD38" showDropDown="0" showInputMessage="0" showErrorMessage="1" allowBlank="1" errorTitle="Virheellinen arvo" error="Valitse listasta: 1, 2, 3" type="list">
      <formula1>"1,2,3"</formula1>
    </dataValidation>
    <dataValidation sqref="AF38" showDropDown="0" showInputMessage="0" showErrorMessage="1" allowBlank="1" errorTitle="Virheellinen arvo" error="Valitse listasta: 1, 2, 3" type="list">
      <formula1>"1,2,3"</formula1>
    </dataValidation>
    <dataValidation sqref="AH38" showDropDown="0" showInputMessage="0" showErrorMessage="1" allowBlank="1" errorTitle="Virheellinen arvo" error="Valitse listasta: 1, 2, 3" type="list">
      <formula1>"1,2,3"</formula1>
    </dataValidation>
    <dataValidation sqref="F39" showDropDown="0" showInputMessage="0" showErrorMessage="1" allowBlank="1" errorTitle="Virheellinen arvo" error="Valitse listasta: AN, PH, VA" type="list">
      <formula1>"AN,PH,VA"</formula1>
    </dataValidation>
    <dataValidation sqref="V39" showDropDown="0" showInputMessage="0" showErrorMessage="1" allowBlank="1" errorTitle="Virheellinen arvo" error="Valitse listasta: 1, 2, 3" type="list">
      <formula1>"1,2,3"</formula1>
    </dataValidation>
    <dataValidation sqref="X39" showDropDown="0" showInputMessage="0" showErrorMessage="1" allowBlank="1" errorTitle="Virheellinen arvo" error="Valitse listasta: 1, 2, 3" type="list">
      <formula1>"1,2,3"</formula1>
    </dataValidation>
    <dataValidation sqref="Z39" showDropDown="0" showInputMessage="0" showErrorMessage="1" allowBlank="1" errorTitle="Virheellinen arvo" error="Valitse listasta: 1, 2, 3" type="list">
      <formula1>"1,2,3"</formula1>
    </dataValidation>
    <dataValidation sqref="AB39" showDropDown="0" showInputMessage="0" showErrorMessage="1" allowBlank="1" errorTitle="Virheellinen arvo" error="Valitse listasta: 1, 2, 3" type="list">
      <formula1>"1,2,3"</formula1>
    </dataValidation>
    <dataValidation sqref="AD39" showDropDown="0" showInputMessage="0" showErrorMessage="1" allowBlank="1" errorTitle="Virheellinen arvo" error="Valitse listasta: 1, 2, 3" type="list">
      <formula1>"1,2,3"</formula1>
    </dataValidation>
    <dataValidation sqref="AF39" showDropDown="0" showInputMessage="0" showErrorMessage="1" allowBlank="1" errorTitle="Virheellinen arvo" error="Valitse listasta: 1, 2, 3" type="list">
      <formula1>"1,2,3"</formula1>
    </dataValidation>
    <dataValidation sqref="AH39" showDropDown="0" showInputMessage="0" showErrorMessage="1" allowBlank="1" errorTitle="Virheellinen arvo" error="Valitse listasta: 1, 2, 3" type="list">
      <formula1>"1,2,3"</formula1>
    </dataValidation>
    <dataValidation sqref="F40" showDropDown="0" showInputMessage="0" showErrorMessage="1" allowBlank="1" errorTitle="Virheellinen arvo" error="Valitse listasta: AN, PH, VA" type="list">
      <formula1>"AN,PH,VA"</formula1>
    </dataValidation>
    <dataValidation sqref="V40" showDropDown="0" showInputMessage="0" showErrorMessage="1" allowBlank="1" errorTitle="Virheellinen arvo" error="Valitse listasta: 1, 2, 3" type="list">
      <formula1>"1,2,3"</formula1>
    </dataValidation>
    <dataValidation sqref="X40" showDropDown="0" showInputMessage="0" showErrorMessage="1" allowBlank="1" errorTitle="Virheellinen arvo" error="Valitse listasta: 1, 2, 3" type="list">
      <formula1>"1,2,3"</formula1>
    </dataValidation>
    <dataValidation sqref="Z40" showDropDown="0" showInputMessage="0" showErrorMessage="1" allowBlank="1" errorTitle="Virheellinen arvo" error="Valitse listasta: 1, 2, 3" type="list">
      <formula1>"1,2,3"</formula1>
    </dataValidation>
    <dataValidation sqref="AB40" showDropDown="0" showInputMessage="0" showErrorMessage="1" allowBlank="1" errorTitle="Virheellinen arvo" error="Valitse listasta: 1, 2, 3" type="list">
      <formula1>"1,2,3"</formula1>
    </dataValidation>
    <dataValidation sqref="AD40" showDropDown="0" showInputMessage="0" showErrorMessage="1" allowBlank="1" errorTitle="Virheellinen arvo" error="Valitse listasta: 1, 2, 3" type="list">
      <formula1>"1,2,3"</formula1>
    </dataValidation>
    <dataValidation sqref="AF40" showDropDown="0" showInputMessage="0" showErrorMessage="1" allowBlank="1" errorTitle="Virheellinen arvo" error="Valitse listasta: 1, 2, 3" type="list">
      <formula1>"1,2,3"</formula1>
    </dataValidation>
    <dataValidation sqref="AH40" showDropDown="0" showInputMessage="0" showErrorMessage="1" allowBlank="1" errorTitle="Virheellinen arvo" error="Valitse listasta: 1, 2, 3" type="list">
      <formula1>"1,2,3"</formula1>
    </dataValidation>
    <dataValidation sqref="F41" showDropDown="0" showInputMessage="0" showErrorMessage="1" allowBlank="1" errorTitle="Virheellinen arvo" error="Valitse listasta: AN, PH, VA" type="list">
      <formula1>"AN,PH,VA"</formula1>
    </dataValidation>
    <dataValidation sqref="V41" showDropDown="0" showInputMessage="0" showErrorMessage="1" allowBlank="1" errorTitle="Virheellinen arvo" error="Valitse listasta: 1, 2, 3" type="list">
      <formula1>"1,2,3"</formula1>
    </dataValidation>
    <dataValidation sqref="X41" showDropDown="0" showInputMessage="0" showErrorMessage="1" allowBlank="1" errorTitle="Virheellinen arvo" error="Valitse listasta: 1, 2, 3" type="list">
      <formula1>"1,2,3"</formula1>
    </dataValidation>
    <dataValidation sqref="Z41" showDropDown="0" showInputMessage="0" showErrorMessage="1" allowBlank="1" errorTitle="Virheellinen arvo" error="Valitse listasta: 1, 2, 3" type="list">
      <formula1>"1,2,3"</formula1>
    </dataValidation>
    <dataValidation sqref="AB41" showDropDown="0" showInputMessage="0" showErrorMessage="1" allowBlank="1" errorTitle="Virheellinen arvo" error="Valitse listasta: 1, 2, 3" type="list">
      <formula1>"1,2,3"</formula1>
    </dataValidation>
    <dataValidation sqref="AD41" showDropDown="0" showInputMessage="0" showErrorMessage="1" allowBlank="1" errorTitle="Virheellinen arvo" error="Valitse listasta: 1, 2, 3" type="list">
      <formula1>"1,2,3"</formula1>
    </dataValidation>
    <dataValidation sqref="AF41" showDropDown="0" showInputMessage="0" showErrorMessage="1" allowBlank="1" errorTitle="Virheellinen arvo" error="Valitse listasta: 1, 2, 3" type="list">
      <formula1>"1,2,3"</formula1>
    </dataValidation>
    <dataValidation sqref="AH41" showDropDown="0" showInputMessage="0" showErrorMessage="1" allowBlank="1" errorTitle="Virheellinen arvo" error="Valitse listasta: 1, 2, 3" type="list">
      <formula1>"1,2,3"</formula1>
    </dataValidation>
    <dataValidation sqref="F42" showDropDown="0" showInputMessage="0" showErrorMessage="1" allowBlank="1" errorTitle="Virheellinen arvo" error="Valitse listasta: AN, PH, VA" type="list">
      <formula1>"AN,PH,VA"</formula1>
    </dataValidation>
    <dataValidation sqref="V42" showDropDown="0" showInputMessage="0" showErrorMessage="1" allowBlank="1" errorTitle="Virheellinen arvo" error="Valitse listasta: 1, 2, 3" type="list">
      <formula1>"1,2,3"</formula1>
    </dataValidation>
    <dataValidation sqref="X42" showDropDown="0" showInputMessage="0" showErrorMessage="1" allowBlank="1" errorTitle="Virheellinen arvo" error="Valitse listasta: 1, 2, 3" type="list">
      <formula1>"1,2,3"</formula1>
    </dataValidation>
    <dataValidation sqref="Z42" showDropDown="0" showInputMessage="0" showErrorMessage="1" allowBlank="1" errorTitle="Virheellinen arvo" error="Valitse listasta: 1, 2, 3" type="list">
      <formula1>"1,2,3"</formula1>
    </dataValidation>
    <dataValidation sqref="AB42" showDropDown="0" showInputMessage="0" showErrorMessage="1" allowBlank="1" errorTitle="Virheellinen arvo" error="Valitse listasta: 1, 2, 3" type="list">
      <formula1>"1,2,3"</formula1>
    </dataValidation>
    <dataValidation sqref="AD42" showDropDown="0" showInputMessage="0" showErrorMessage="1" allowBlank="1" errorTitle="Virheellinen arvo" error="Valitse listasta: 1, 2, 3" type="list">
      <formula1>"1,2,3"</formula1>
    </dataValidation>
    <dataValidation sqref="AF42" showDropDown="0" showInputMessage="0" showErrorMessage="1" allowBlank="1" errorTitle="Virheellinen arvo" error="Valitse listasta: 1, 2, 3" type="list">
      <formula1>"1,2,3"</formula1>
    </dataValidation>
    <dataValidation sqref="AH42" showDropDown="0" showInputMessage="0" showErrorMessage="1" allowBlank="1" errorTitle="Virheellinen arvo" error="Valitse listasta: 1, 2, 3" type="list">
      <formula1>"1,2,3"</formula1>
    </dataValidation>
    <dataValidation sqref="F43" showDropDown="0" showInputMessage="0" showErrorMessage="1" allowBlank="1" errorTitle="Virheellinen arvo" error="Valitse listasta: AN, PH, VA" type="list">
      <formula1>"AN,PH,VA"</formula1>
    </dataValidation>
    <dataValidation sqref="V43" showDropDown="0" showInputMessage="0" showErrorMessage="1" allowBlank="1" errorTitle="Virheellinen arvo" error="Valitse listasta: 1, 2, 3" type="list">
      <formula1>"1,2,3"</formula1>
    </dataValidation>
    <dataValidation sqref="X43" showDropDown="0" showInputMessage="0" showErrorMessage="1" allowBlank="1" errorTitle="Virheellinen arvo" error="Valitse listasta: 1, 2, 3" type="list">
      <formula1>"1,2,3"</formula1>
    </dataValidation>
    <dataValidation sqref="Z43" showDropDown="0" showInputMessage="0" showErrorMessage="1" allowBlank="1" errorTitle="Virheellinen arvo" error="Valitse listasta: 1, 2, 3" type="list">
      <formula1>"1,2,3"</formula1>
    </dataValidation>
    <dataValidation sqref="AB43" showDropDown="0" showInputMessage="0" showErrorMessage="1" allowBlank="1" errorTitle="Virheellinen arvo" error="Valitse listasta: 1, 2, 3" type="list">
      <formula1>"1,2,3"</formula1>
    </dataValidation>
    <dataValidation sqref="AD43" showDropDown="0" showInputMessage="0" showErrorMessage="1" allowBlank="1" errorTitle="Virheellinen arvo" error="Valitse listasta: 1, 2, 3" type="list">
      <formula1>"1,2,3"</formula1>
    </dataValidation>
    <dataValidation sqref="AF43" showDropDown="0" showInputMessage="0" showErrorMessage="1" allowBlank="1" errorTitle="Virheellinen arvo" error="Valitse listasta: 1, 2, 3" type="list">
      <formula1>"1,2,3"</formula1>
    </dataValidation>
    <dataValidation sqref="AH43" showDropDown="0" showInputMessage="0" showErrorMessage="1" allowBlank="1" errorTitle="Virheellinen arvo" error="Valitse listasta: 1, 2, 3" type="list">
      <formula1>"1,2,3"</formula1>
    </dataValidation>
    <dataValidation sqref="F44" showDropDown="0" showInputMessage="0" showErrorMessage="1" allowBlank="1" errorTitle="Virheellinen arvo" error="Valitse listasta: AN, PH, VA" type="list">
      <formula1>"AN,PH,VA"</formula1>
    </dataValidation>
    <dataValidation sqref="V44" showDropDown="0" showInputMessage="0" showErrorMessage="1" allowBlank="1" errorTitle="Virheellinen arvo" error="Valitse listasta: 1, 2, 3" type="list">
      <formula1>"1,2,3"</formula1>
    </dataValidation>
    <dataValidation sqref="X44" showDropDown="0" showInputMessage="0" showErrorMessage="1" allowBlank="1" errorTitle="Virheellinen arvo" error="Valitse listasta: 1, 2, 3" type="list">
      <formula1>"1,2,3"</formula1>
    </dataValidation>
    <dataValidation sqref="Z44" showDropDown="0" showInputMessage="0" showErrorMessage="1" allowBlank="1" errorTitle="Virheellinen arvo" error="Valitse listasta: 1, 2, 3" type="list">
      <formula1>"1,2,3"</formula1>
    </dataValidation>
    <dataValidation sqref="AB44" showDropDown="0" showInputMessage="0" showErrorMessage="1" allowBlank="1" errorTitle="Virheellinen arvo" error="Valitse listasta: 1, 2, 3" type="list">
      <formula1>"1,2,3"</formula1>
    </dataValidation>
    <dataValidation sqref="AD44" showDropDown="0" showInputMessage="0" showErrorMessage="1" allowBlank="1" errorTitle="Virheellinen arvo" error="Valitse listasta: 1, 2, 3" type="list">
      <formula1>"1,2,3"</formula1>
    </dataValidation>
    <dataValidation sqref="AF44" showDropDown="0" showInputMessage="0" showErrorMessage="1" allowBlank="1" errorTitle="Virheellinen arvo" error="Valitse listasta: 1, 2, 3" type="list">
      <formula1>"1,2,3"</formula1>
    </dataValidation>
    <dataValidation sqref="AH44" showDropDown="0" showInputMessage="0" showErrorMessage="1" allowBlank="1" errorTitle="Virheellinen arvo" error="Valitse listasta: 1, 2, 3" type="list">
      <formula1>"1,2,3"</formula1>
    </dataValidation>
    <dataValidation sqref="F45" showDropDown="0" showInputMessage="0" showErrorMessage="1" allowBlank="1" errorTitle="Virheellinen arvo" error="Valitse listasta: AN, PH, VA" type="list">
      <formula1>"AN,PH,VA"</formula1>
    </dataValidation>
    <dataValidation sqref="V45" showDropDown="0" showInputMessage="0" showErrorMessage="1" allowBlank="1" errorTitle="Virheellinen arvo" error="Valitse listasta: 1, 2, 3" type="list">
      <formula1>"1,2,3"</formula1>
    </dataValidation>
    <dataValidation sqref="X45" showDropDown="0" showInputMessage="0" showErrorMessage="1" allowBlank="1" errorTitle="Virheellinen arvo" error="Valitse listasta: 1, 2, 3" type="list">
      <formula1>"1,2,3"</formula1>
    </dataValidation>
    <dataValidation sqref="Z45" showDropDown="0" showInputMessage="0" showErrorMessage="1" allowBlank="1" errorTitle="Virheellinen arvo" error="Valitse listasta: 1, 2, 3" type="list">
      <formula1>"1,2,3"</formula1>
    </dataValidation>
    <dataValidation sqref="AB45" showDropDown="0" showInputMessage="0" showErrorMessage="1" allowBlank="1" errorTitle="Virheellinen arvo" error="Valitse listasta: 1, 2, 3" type="list">
      <formula1>"1,2,3"</formula1>
    </dataValidation>
    <dataValidation sqref="AD45" showDropDown="0" showInputMessage="0" showErrorMessage="1" allowBlank="1" errorTitle="Virheellinen arvo" error="Valitse listasta: 1, 2, 3" type="list">
      <formula1>"1,2,3"</formula1>
    </dataValidation>
    <dataValidation sqref="AF45" showDropDown="0" showInputMessage="0" showErrorMessage="1" allowBlank="1" errorTitle="Virheellinen arvo" error="Valitse listasta: 1, 2, 3" type="list">
      <formula1>"1,2,3"</formula1>
    </dataValidation>
    <dataValidation sqref="AH45" showDropDown="0" showInputMessage="0" showErrorMessage="1" allowBlank="1" errorTitle="Virheellinen arvo" error="Valitse listasta: 1, 2, 3" type="list">
      <formula1>"1,2,3"</formula1>
    </dataValidation>
    <dataValidation sqref="F46" showDropDown="0" showInputMessage="0" showErrorMessage="1" allowBlank="1" errorTitle="Virheellinen arvo" error="Valitse listasta: AN, PH, VA" type="list">
      <formula1>"AN,PH,VA"</formula1>
    </dataValidation>
    <dataValidation sqref="V46" showDropDown="0" showInputMessage="0" showErrorMessage="1" allowBlank="1" errorTitle="Virheellinen arvo" error="Valitse listasta: 1, 2, 3" type="list">
      <formula1>"1,2,3"</formula1>
    </dataValidation>
    <dataValidation sqref="X46" showDropDown="0" showInputMessage="0" showErrorMessage="1" allowBlank="1" errorTitle="Virheellinen arvo" error="Valitse listasta: 1, 2, 3" type="list">
      <formula1>"1,2,3"</formula1>
    </dataValidation>
    <dataValidation sqref="Z46" showDropDown="0" showInputMessage="0" showErrorMessage="1" allowBlank="1" errorTitle="Virheellinen arvo" error="Valitse listasta: 1, 2, 3" type="list">
      <formula1>"1,2,3"</formula1>
    </dataValidation>
    <dataValidation sqref="AB46" showDropDown="0" showInputMessage="0" showErrorMessage="1" allowBlank="1" errorTitle="Virheellinen arvo" error="Valitse listasta: 1, 2, 3" type="list">
      <formula1>"1,2,3"</formula1>
    </dataValidation>
    <dataValidation sqref="AD46" showDropDown="0" showInputMessage="0" showErrorMessage="1" allowBlank="1" errorTitle="Virheellinen arvo" error="Valitse listasta: 1, 2, 3" type="list">
      <formula1>"1,2,3"</formula1>
    </dataValidation>
    <dataValidation sqref="AF46" showDropDown="0" showInputMessage="0" showErrorMessage="1" allowBlank="1" errorTitle="Virheellinen arvo" error="Valitse listasta: 1, 2, 3" type="list">
      <formula1>"1,2,3"</formula1>
    </dataValidation>
    <dataValidation sqref="AH46" showDropDown="0" showInputMessage="0" showErrorMessage="1" allowBlank="1" errorTitle="Virheellinen arvo" error="Valitse listasta: 1, 2, 3" type="list">
      <formula1>"1,2,3"</formula1>
    </dataValidation>
    <dataValidation sqref="F47" showDropDown="0" showInputMessage="0" showErrorMessage="1" allowBlank="1" errorTitle="Virheellinen arvo" error="Valitse listasta: AN, PH, VA" type="list">
      <formula1>"AN,PH,VA"</formula1>
    </dataValidation>
    <dataValidation sqref="V47" showDropDown="0" showInputMessage="0" showErrorMessage="1" allowBlank="1" errorTitle="Virheellinen arvo" error="Valitse listasta: 1, 2, 3" type="list">
      <formula1>"1,2,3"</formula1>
    </dataValidation>
    <dataValidation sqref="X47" showDropDown="0" showInputMessage="0" showErrorMessage="1" allowBlank="1" errorTitle="Virheellinen arvo" error="Valitse listasta: 1, 2, 3" type="list">
      <formula1>"1,2,3"</formula1>
    </dataValidation>
    <dataValidation sqref="Z47" showDropDown="0" showInputMessage="0" showErrorMessage="1" allowBlank="1" errorTitle="Virheellinen arvo" error="Valitse listasta: 1, 2, 3" type="list">
      <formula1>"1,2,3"</formula1>
    </dataValidation>
    <dataValidation sqref="AB47" showDropDown="0" showInputMessage="0" showErrorMessage="1" allowBlank="1" errorTitle="Virheellinen arvo" error="Valitse listasta: 1, 2, 3" type="list">
      <formula1>"1,2,3"</formula1>
    </dataValidation>
    <dataValidation sqref="AD47" showDropDown="0" showInputMessage="0" showErrorMessage="1" allowBlank="1" errorTitle="Virheellinen arvo" error="Valitse listasta: 1, 2, 3" type="list">
      <formula1>"1,2,3"</formula1>
    </dataValidation>
    <dataValidation sqref="AF47" showDropDown="0" showInputMessage="0" showErrorMessage="1" allowBlank="1" errorTitle="Virheellinen arvo" error="Valitse listasta: 1, 2, 3" type="list">
      <formula1>"1,2,3"</formula1>
    </dataValidation>
    <dataValidation sqref="AH47" showDropDown="0" showInputMessage="0" showErrorMessage="1" allowBlank="1" errorTitle="Virheellinen arvo" error="Valitse listasta: 1, 2, 3" type="list">
      <formula1>"1,2,3"</formula1>
    </dataValidation>
    <dataValidation sqref="F48" showDropDown="0" showInputMessage="0" showErrorMessage="1" allowBlank="1" errorTitle="Virheellinen arvo" error="Valitse listasta: AN, PH, VA" type="list">
      <formula1>"AN,PH,VA"</formula1>
    </dataValidation>
    <dataValidation sqref="V48" showDropDown="0" showInputMessage="0" showErrorMessage="1" allowBlank="1" errorTitle="Virheellinen arvo" error="Valitse listasta: 1, 2, 3" type="list">
      <formula1>"1,2,3"</formula1>
    </dataValidation>
    <dataValidation sqref="X48" showDropDown="0" showInputMessage="0" showErrorMessage="1" allowBlank="1" errorTitle="Virheellinen arvo" error="Valitse listasta: 1, 2, 3" type="list">
      <formula1>"1,2,3"</formula1>
    </dataValidation>
    <dataValidation sqref="Z48" showDropDown="0" showInputMessage="0" showErrorMessage="1" allowBlank="1" errorTitle="Virheellinen arvo" error="Valitse listasta: 1, 2, 3" type="list">
      <formula1>"1,2,3"</formula1>
    </dataValidation>
    <dataValidation sqref="AB48" showDropDown="0" showInputMessage="0" showErrorMessage="1" allowBlank="1" errorTitle="Virheellinen arvo" error="Valitse listasta: 1, 2, 3" type="list">
      <formula1>"1,2,3"</formula1>
    </dataValidation>
    <dataValidation sqref="AD48" showDropDown="0" showInputMessage="0" showErrorMessage="1" allowBlank="1" errorTitle="Virheellinen arvo" error="Valitse listasta: 1, 2, 3" type="list">
      <formula1>"1,2,3"</formula1>
    </dataValidation>
    <dataValidation sqref="AF48" showDropDown="0" showInputMessage="0" showErrorMessage="1" allowBlank="1" errorTitle="Virheellinen arvo" error="Valitse listasta: 1, 2, 3" type="list">
      <formula1>"1,2,3"</formula1>
    </dataValidation>
    <dataValidation sqref="AH48" showDropDown="0" showInputMessage="0" showErrorMessage="1" allowBlank="1" errorTitle="Virheellinen arvo" error="Valitse listasta: 1, 2, 3" type="list">
      <formula1>"1,2,3"</formula1>
    </dataValidation>
    <dataValidation sqref="F49" showDropDown="0" showInputMessage="0" showErrorMessage="1" allowBlank="1" errorTitle="Virheellinen arvo" error="Valitse listasta: AN, PH, VA" type="list">
      <formula1>"AN,PH,VA"</formula1>
    </dataValidation>
    <dataValidation sqref="V49" showDropDown="0" showInputMessage="0" showErrorMessage="1" allowBlank="1" errorTitle="Virheellinen arvo" error="Valitse listasta: 1, 2, 3" type="list">
      <formula1>"1,2,3"</formula1>
    </dataValidation>
    <dataValidation sqref="X49" showDropDown="0" showInputMessage="0" showErrorMessage="1" allowBlank="1" errorTitle="Virheellinen arvo" error="Valitse listasta: 1, 2, 3" type="list">
      <formula1>"1,2,3"</formula1>
    </dataValidation>
    <dataValidation sqref="Z49" showDropDown="0" showInputMessage="0" showErrorMessage="1" allowBlank="1" errorTitle="Virheellinen arvo" error="Valitse listasta: 1, 2, 3" type="list">
      <formula1>"1,2,3"</formula1>
    </dataValidation>
    <dataValidation sqref="AB49" showDropDown="0" showInputMessage="0" showErrorMessage="1" allowBlank="1" errorTitle="Virheellinen arvo" error="Valitse listasta: 1, 2, 3" type="list">
      <formula1>"1,2,3"</formula1>
    </dataValidation>
    <dataValidation sqref="AD49" showDropDown="0" showInputMessage="0" showErrorMessage="1" allowBlank="1" errorTitle="Virheellinen arvo" error="Valitse listasta: 1, 2, 3" type="list">
      <formula1>"1,2,3"</formula1>
    </dataValidation>
    <dataValidation sqref="AF49" showDropDown="0" showInputMessage="0" showErrorMessage="1" allowBlank="1" errorTitle="Virheellinen arvo" error="Valitse listasta: 1, 2, 3" type="list">
      <formula1>"1,2,3"</formula1>
    </dataValidation>
    <dataValidation sqref="AH49" showDropDown="0" showInputMessage="0" showErrorMessage="1" allowBlank="1" errorTitle="Virheellinen arvo" error="Valitse listasta: 1, 2, 3" type="list">
      <formula1>"1,2,3"</formula1>
    </dataValidation>
    <dataValidation sqref="F50" showDropDown="0" showInputMessage="0" showErrorMessage="1" allowBlank="1" errorTitle="Virheellinen arvo" error="Valitse listasta: AN, PH, VA" type="list">
      <formula1>"AN,PH,VA"</formula1>
    </dataValidation>
    <dataValidation sqref="V50" showDropDown="0" showInputMessage="0" showErrorMessage="1" allowBlank="1" errorTitle="Virheellinen arvo" error="Valitse listasta: 1, 2, 3" type="list">
      <formula1>"1,2,3"</formula1>
    </dataValidation>
    <dataValidation sqref="X50" showDropDown="0" showInputMessage="0" showErrorMessage="1" allowBlank="1" errorTitle="Virheellinen arvo" error="Valitse listasta: 1, 2, 3" type="list">
      <formula1>"1,2,3"</formula1>
    </dataValidation>
    <dataValidation sqref="Z50" showDropDown="0" showInputMessage="0" showErrorMessage="1" allowBlank="1" errorTitle="Virheellinen arvo" error="Valitse listasta: 1, 2, 3" type="list">
      <formula1>"1,2,3"</formula1>
    </dataValidation>
    <dataValidation sqref="AB50" showDropDown="0" showInputMessage="0" showErrorMessage="1" allowBlank="1" errorTitle="Virheellinen arvo" error="Valitse listasta: 1, 2, 3" type="list">
      <formula1>"1,2,3"</formula1>
    </dataValidation>
    <dataValidation sqref="AD50" showDropDown="0" showInputMessage="0" showErrorMessage="1" allowBlank="1" errorTitle="Virheellinen arvo" error="Valitse listasta: 1, 2, 3" type="list">
      <formula1>"1,2,3"</formula1>
    </dataValidation>
    <dataValidation sqref="AF50" showDropDown="0" showInputMessage="0" showErrorMessage="1" allowBlank="1" errorTitle="Virheellinen arvo" error="Valitse listasta: 1, 2, 3" type="list">
      <formula1>"1,2,3"</formula1>
    </dataValidation>
    <dataValidation sqref="AH50" showDropDown="0" showInputMessage="0" showErrorMessage="1" allowBlank="1" errorTitle="Virheellinen arvo" error="Valitse listasta: 1, 2, 3" type="list">
      <formula1>"1,2,3"</formula1>
    </dataValidation>
    <dataValidation sqref="F51" showDropDown="0" showInputMessage="0" showErrorMessage="1" allowBlank="1" errorTitle="Virheellinen arvo" error="Valitse listasta: AN, PH, VA" type="list">
      <formula1>"AN,PH,VA"</formula1>
    </dataValidation>
    <dataValidation sqref="V51" showDropDown="0" showInputMessage="0" showErrorMessage="1" allowBlank="1" errorTitle="Virheellinen arvo" error="Valitse listasta: 1, 2, 3" type="list">
      <formula1>"1,2,3"</formula1>
    </dataValidation>
    <dataValidation sqref="X51" showDropDown="0" showInputMessage="0" showErrorMessage="1" allowBlank="1" errorTitle="Virheellinen arvo" error="Valitse listasta: 1, 2, 3" type="list">
      <formula1>"1,2,3"</formula1>
    </dataValidation>
    <dataValidation sqref="Z51" showDropDown="0" showInputMessage="0" showErrorMessage="1" allowBlank="1" errorTitle="Virheellinen arvo" error="Valitse listasta: 1, 2, 3" type="list">
      <formula1>"1,2,3"</formula1>
    </dataValidation>
    <dataValidation sqref="AB51" showDropDown="0" showInputMessage="0" showErrorMessage="1" allowBlank="1" errorTitle="Virheellinen arvo" error="Valitse listasta: 1, 2, 3" type="list">
      <formula1>"1,2,3"</formula1>
    </dataValidation>
    <dataValidation sqref="AD51" showDropDown="0" showInputMessage="0" showErrorMessage="1" allowBlank="1" errorTitle="Virheellinen arvo" error="Valitse listasta: 1, 2, 3" type="list">
      <formula1>"1,2,3"</formula1>
    </dataValidation>
    <dataValidation sqref="AF51" showDropDown="0" showInputMessage="0" showErrorMessage="1" allowBlank="1" errorTitle="Virheellinen arvo" error="Valitse listasta: 1, 2, 3" type="list">
      <formula1>"1,2,3"</formula1>
    </dataValidation>
    <dataValidation sqref="AH51" showDropDown="0" showInputMessage="0" showErrorMessage="1" allowBlank="1" errorTitle="Virheellinen arvo" error="Valitse listasta: 1, 2, 3" type="list">
      <formula1>"1,2,3"</formula1>
    </dataValidation>
    <dataValidation sqref="F52" showDropDown="0" showInputMessage="0" showErrorMessage="1" allowBlank="1" errorTitle="Virheellinen arvo" error="Valitse listasta: AN, PH, VA" type="list">
      <formula1>"AN,PH,VA"</formula1>
    </dataValidation>
    <dataValidation sqref="V52" showDropDown="0" showInputMessage="0" showErrorMessage="1" allowBlank="1" errorTitle="Virheellinen arvo" error="Valitse listasta: 1, 2, 3" type="list">
      <formula1>"1,2,3"</formula1>
    </dataValidation>
    <dataValidation sqref="X52" showDropDown="0" showInputMessage="0" showErrorMessage="1" allowBlank="1" errorTitle="Virheellinen arvo" error="Valitse listasta: 1, 2, 3" type="list">
      <formula1>"1,2,3"</formula1>
    </dataValidation>
    <dataValidation sqref="Z52" showDropDown="0" showInputMessage="0" showErrorMessage="1" allowBlank="1" errorTitle="Virheellinen arvo" error="Valitse listasta: 1, 2, 3" type="list">
      <formula1>"1,2,3"</formula1>
    </dataValidation>
    <dataValidation sqref="AB52" showDropDown="0" showInputMessage="0" showErrorMessage="1" allowBlank="1" errorTitle="Virheellinen arvo" error="Valitse listasta: 1, 2, 3" type="list">
      <formula1>"1,2,3"</formula1>
    </dataValidation>
    <dataValidation sqref="AD52" showDropDown="0" showInputMessage="0" showErrorMessage="1" allowBlank="1" errorTitle="Virheellinen arvo" error="Valitse listasta: 1, 2, 3" type="list">
      <formula1>"1,2,3"</formula1>
    </dataValidation>
    <dataValidation sqref="AF52" showDropDown="0" showInputMessage="0" showErrorMessage="1" allowBlank="1" errorTitle="Virheellinen arvo" error="Valitse listasta: 1, 2, 3" type="list">
      <formula1>"1,2,3"</formula1>
    </dataValidation>
    <dataValidation sqref="AH52" showDropDown="0" showInputMessage="0" showErrorMessage="1" allowBlank="1" errorTitle="Virheellinen arvo" error="Valitse listasta: 1, 2, 3" type="list">
      <formula1>"1,2,3"</formula1>
    </dataValidation>
    <dataValidation sqref="F53" showDropDown="0" showInputMessage="0" showErrorMessage="1" allowBlank="1" errorTitle="Virheellinen arvo" error="Valitse listasta: AN, PH, VA" type="list">
      <formula1>"AN,PH,VA"</formula1>
    </dataValidation>
    <dataValidation sqref="V53" showDropDown="0" showInputMessage="0" showErrorMessage="1" allowBlank="1" errorTitle="Virheellinen arvo" error="Valitse listasta: 1, 2, 3" type="list">
      <formula1>"1,2,3"</formula1>
    </dataValidation>
    <dataValidation sqref="X53" showDropDown="0" showInputMessage="0" showErrorMessage="1" allowBlank="1" errorTitle="Virheellinen arvo" error="Valitse listasta: 1, 2, 3" type="list">
      <formula1>"1,2,3"</formula1>
    </dataValidation>
    <dataValidation sqref="Z53" showDropDown="0" showInputMessage="0" showErrorMessage="1" allowBlank="1" errorTitle="Virheellinen arvo" error="Valitse listasta: 1, 2, 3" type="list">
      <formula1>"1,2,3"</formula1>
    </dataValidation>
    <dataValidation sqref="AB53" showDropDown="0" showInputMessage="0" showErrorMessage="1" allowBlank="1" errorTitle="Virheellinen arvo" error="Valitse listasta: 1, 2, 3" type="list">
      <formula1>"1,2,3"</formula1>
    </dataValidation>
    <dataValidation sqref="AD53" showDropDown="0" showInputMessage="0" showErrorMessage="1" allowBlank="1" errorTitle="Virheellinen arvo" error="Valitse listasta: 1, 2, 3" type="list">
      <formula1>"1,2,3"</formula1>
    </dataValidation>
    <dataValidation sqref="AF53" showDropDown="0" showInputMessage="0" showErrorMessage="1" allowBlank="1" errorTitle="Virheellinen arvo" error="Valitse listasta: 1, 2, 3" type="list">
      <formula1>"1,2,3"</formula1>
    </dataValidation>
    <dataValidation sqref="AH53" showDropDown="0" showInputMessage="0" showErrorMessage="1" allowBlank="1" errorTitle="Virheellinen arvo" error="Valitse listasta: 1, 2, 3" type="list">
      <formula1>"1,2,3"</formula1>
    </dataValidation>
    <dataValidation sqref="F54" showDropDown="0" showInputMessage="0" showErrorMessage="1" allowBlank="1" errorTitle="Virheellinen arvo" error="Valitse listasta: AN, PH, VA" type="list">
      <formula1>"AN,PH,VA"</formula1>
    </dataValidation>
    <dataValidation sqref="V54" showDropDown="0" showInputMessage="0" showErrorMessage="1" allowBlank="1" errorTitle="Virheellinen arvo" error="Valitse listasta: 1, 2, 3" type="list">
      <formula1>"1,2,3"</formula1>
    </dataValidation>
    <dataValidation sqref="X54" showDropDown="0" showInputMessage="0" showErrorMessage="1" allowBlank="1" errorTitle="Virheellinen arvo" error="Valitse listasta: 1, 2, 3" type="list">
      <formula1>"1,2,3"</formula1>
    </dataValidation>
    <dataValidation sqref="Z54" showDropDown="0" showInputMessage="0" showErrorMessage="1" allowBlank="1" errorTitle="Virheellinen arvo" error="Valitse listasta: 1, 2, 3" type="list">
      <formula1>"1,2,3"</formula1>
    </dataValidation>
    <dataValidation sqref="AB54" showDropDown="0" showInputMessage="0" showErrorMessage="1" allowBlank="1" errorTitle="Virheellinen arvo" error="Valitse listasta: 1, 2, 3" type="list">
      <formula1>"1,2,3"</formula1>
    </dataValidation>
    <dataValidation sqref="AD54" showDropDown="0" showInputMessage="0" showErrorMessage="1" allowBlank="1" errorTitle="Virheellinen arvo" error="Valitse listasta: 1, 2, 3" type="list">
      <formula1>"1,2,3"</formula1>
    </dataValidation>
    <dataValidation sqref="AF54" showDropDown="0" showInputMessage="0" showErrorMessage="1" allowBlank="1" errorTitle="Virheellinen arvo" error="Valitse listasta: 1, 2, 3" type="list">
      <formula1>"1,2,3"</formula1>
    </dataValidation>
    <dataValidation sqref="AH54" showDropDown="0" showInputMessage="0" showErrorMessage="1" allowBlank="1" errorTitle="Virheellinen arvo" error="Valitse listasta: 1, 2, 3" type="list">
      <formula1>"1,2,3"</formula1>
    </dataValidation>
  </dataValidations>
  <pageMargins left="0.75" right="0.75" top="1" bottom="1" header="0.5" footer="0.5"/>
  <pageSetup orientation="landscape" paperSize="9" fitToWidth="1"/>
</worksheet>
</file>

<file path=xl/worksheets/sheet5.xml><?xml version="1.0" encoding="utf-8"?>
<worksheet xmlns="http://schemas.openxmlformats.org/spreadsheetml/2006/main">
  <sheetPr>
    <tabColor rgb="00F5B700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35" customWidth="1" min="3" max="3"/>
    <col width="35" customWidth="1" min="4" max="4"/>
    <col width="45" customWidth="1" min="5" max="5"/>
    <col width="15" customWidth="1" min="6" max="6"/>
  </cols>
  <sheetData>
    <row r="1" ht="24" customHeight="1">
      <c r="A1" s="22" t="inlineStr">
        <is>
          <t>AUTO-OHJELMA — Fascia-linja → Harjoitekirjasto (vain luku, käyttö VP-dashboardissa)</t>
        </is>
      </c>
    </row>
    <row r="2" ht="22" customHeight="1">
      <c r="A2" s="23" t="inlineStr">
        <is>
          <t>Fascia</t>
        </is>
      </c>
      <c r="B2" s="23" t="inlineStr">
        <is>
          <t>Aktivointi (joka harjoitus)</t>
        </is>
      </c>
      <c r="C2" s="23" t="inlineStr">
        <is>
          <t>Taso 1 (1p → aloita)</t>
        </is>
      </c>
      <c r="D2" s="23" t="inlineStr">
        <is>
          <t>Taso 2 (progressio)</t>
        </is>
      </c>
      <c r="E2" s="23" t="inlineStr">
        <is>
          <t>Kenttä-cue</t>
        </is>
      </c>
      <c r="F2" s="23" t="inlineStr">
        <is>
          <t>Klinikka-trigger</t>
        </is>
      </c>
    </row>
    <row r="3">
      <c r="A3" t="inlineStr">
        <is>
          <t>DFL</t>
        </is>
      </c>
      <c r="B3" t="inlineStr">
        <is>
          <t>360° palleahengitys 3×5 min + Dead bug taso 1 3×5/puoli</t>
        </is>
      </c>
      <c r="C3" t="inlineStr">
        <is>
          <t>Plank 2×20s + Dead bug polvi 3×5/puoli</t>
        </is>
      </c>
      <c r="D3" t="inlineStr">
        <is>
          <t>Plank 3×40s + Dead bug jalka suorana 3×5/puoli</t>
        </is>
      </c>
      <c r="E3" t="inlineStr">
        <is>
          <t>Skannaus + asento: katse ympäriinsä ennen palloa
"Hengitä ympäri kylkiä — ei rintaan ylös"</t>
        </is>
      </c>
      <c r="F3" t="inlineStr">
        <is>
          <t>Kyllä</t>
        </is>
      </c>
    </row>
    <row r="4">
      <c r="A4" t="inlineStr">
        <is>
          <t>SBL</t>
        </is>
      </c>
      <c r="B4" t="inlineStr">
        <is>
          <t>Jalkapohjan rullaus 60s/jalka + SLR-flossing 2×10/jalka</t>
        </is>
      </c>
      <c r="C4" t="inlineStr">
        <is>
          <t>SL lantionnosto koroke 3×8/jalka + pohje eksentrinen 3×10 hidas</t>
        </is>
      </c>
      <c r="D4" t="inlineStr">
        <is>
          <t>Nordic hamstring taso 1 (TRX/penkki) 3×5 + RDL 3×8</t>
        </is>
      </c>
      <c r="E4" t="inlineStr">
        <is>
          <t>Kiihdytys: anna takaketjun vetää — ei ponnisteta eteen, vedetään taakaa
"Nopeus syntyy takaa — takaketju vetää"</t>
        </is>
      </c>
      <c r="F4" t="inlineStr">
        <is>
          <t>FLEI &lt; 60%</t>
        </is>
      </c>
    </row>
    <row r="5">
      <c r="A5" t="inlineStr">
        <is>
          <t>SFL</t>
        </is>
      </c>
      <c r="B5" t="inlineStr">
        <is>
          <t>90/90 hip flexor passiivinen 2×45s/puoli + Quad rock back 2×10</t>
        </is>
      </c>
      <c r="C5" t="inlineStr">
        <is>
          <t>Hip hinge kepillä 3×10 + Anterior chain isometria 3×30s</t>
        </is>
      </c>
      <c r="D5" t="inlineStr">
        <is>
          <t>Askelkyykky 3×8/jalka + Hip thrust 3×10</t>
        </is>
      </c>
      <c r="E5" t="inlineStr">
        <is>
          <t>Potkutekniikka: lonkka taakse ensin — sitten potku lähtee auki
"Lonkka auki — sitten lähetä potku"</t>
        </is>
      </c>
      <c r="F5" t="inlineStr">
        <is>
          <t>FLEI &lt; 60%</t>
        </is>
      </c>
    </row>
    <row r="6">
      <c r="A6" t="inlineStr">
        <is>
          <t>LL</t>
        </is>
      </c>
      <c r="B6" t="inlineStr">
        <is>
          <t>Clamshell 2×12 + Lateral hip circle 2×10 + SL wall hold 2×20s</t>
        </is>
      </c>
      <c r="C6" t="inlineStr">
        <is>
          <t>Lateral band walk 3×15 + SL squat tuella 3×6</t>
        </is>
      </c>
      <c r="D6" t="inlineStr">
        <is>
          <t>Lateral bound &amp; stick 3×5/puoli + Pistoolikyykky koroke 3×6</t>
        </is>
      </c>
      <c r="E6" t="inlineStr">
        <is>
          <t>Suunnanmuutos: kolme askelta jarrutuksessa — polvilinja ei murru
"3 askeleella jarrutus — ei sorru sisään"</t>
        </is>
      </c>
      <c r="F6" t="inlineStr">
        <is>
          <t>FLEI &lt; 60%</t>
        </is>
      </c>
    </row>
    <row r="7">
      <c r="A7" t="inlineStr">
        <is>
          <t>SL</t>
        </is>
      </c>
      <c r="B7" t="inlineStr">
        <is>
          <t>Thorax rotaatio 2×10 + pallonheitto seinään ristikkäin 2×10</t>
        </is>
      </c>
      <c r="C7" t="inlineStr">
        <is>
          <t>Anti-rotation plank 3×30s + Pallaton rotaatio 3×10</t>
        </is>
      </c>
      <c r="D7" t="inlineStr">
        <is>
          <t>Rotational med ball throw 3×6 + Diagonal pattern 3×8</t>
        </is>
      </c>
      <c r="E7" t="inlineStr">
        <is>
          <t>Harhautus: rintakehä ohjaa — jalka seuraa automaattisesti
"Kääntele rintakehää — jalka seuraa luonnostaan"</t>
        </is>
      </c>
      <c r="F7" t="inlineStr">
        <is>
          <t>FLEI &lt; 60%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2026-03-27T14:54:28Z</dcterms:created>
  <dcterms:modified xmlns:dcterms="http://purl.org/dc/terms/" xmlns:xsi="http://www.w3.org/2001/XMLSchema-instance" xsi:type="dcterms:W3CDTF">2026-03-29T06:05:35Z</dcterms:modified>
</cp:coreProperties>
</file>