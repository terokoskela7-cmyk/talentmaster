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📋 Ohjeet" sheetId="1" state="visible" r:id="rId1"/>
    <sheet xmlns:r="http://schemas.openxmlformats.org/officeDocument/2006/relationships" name="📝 U12" sheetId="2" state="visible" r:id="rId2"/>
    <sheet xmlns:r="http://schemas.openxmlformats.org/officeDocument/2006/relationships" name="📝 U15" sheetId="3" state="visible" r:id="rId3"/>
    <sheet xmlns:r="http://schemas.openxmlformats.org/officeDocument/2006/relationships" name="📝 U19" sheetId="4" state="visible" r:id="rId4"/>
    <sheet xmlns:r="http://schemas.openxmlformats.org/officeDocument/2006/relationships" name="⚡ Auto-ohjelm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6">
    <font>
      <name val="Calibri"/>
      <family val="2"/>
      <color theme="1"/>
      <sz val="11"/>
      <scheme val="minor"/>
    </font>
    <font>
      <name val="Arial"/>
      <b val="1"/>
      <color rgb="FFF5B700"/>
      <sz val="16"/>
    </font>
    <font>
      <name val="Arial"/>
      <b val="1"/>
      <color rgb="FFFFFFFF"/>
      <sz val="11"/>
    </font>
    <font>
      <name val="Arial"/>
      <b val="1"/>
      <color rgb="FFF5B700"/>
      <sz val="12"/>
    </font>
    <font>
      <name val="Arial"/>
      <color rgb="FF2D2D4A"/>
      <sz val="10"/>
    </font>
    <font>
      <name val="Arial"/>
      <b val="1"/>
      <color rgb="FF8B0000"/>
      <sz val="11"/>
    </font>
    <font>
      <name val="Arial"/>
      <color rgb="FF8B0000"/>
      <sz val="10"/>
    </font>
    <font>
      <name val="Arial"/>
      <b val="1"/>
      <color rgb="FFF5B700"/>
      <sz val="11"/>
    </font>
    <font>
      <name val="Arial"/>
      <b val="1"/>
      <color rgb="FFFFFFFF"/>
      <sz val="13"/>
    </font>
    <font>
      <name val="Arial"/>
      <color rgb="FF555555"/>
      <sz val="9"/>
    </font>
    <font>
      <name val="Arial"/>
      <b val="1"/>
      <sz val="10"/>
    </font>
    <font>
      <name val="Arial"/>
      <b val="1"/>
      <color rgb="FFFFFFFF"/>
      <sz val="9"/>
    </font>
    <font>
      <name val="Arial"/>
      <b val="1"/>
      <color rgb="FFFFFFFF"/>
      <sz val="8"/>
    </font>
    <font>
      <name val="Arial"/>
      <sz val="9"/>
    </font>
    <font>
      <name val="Arial"/>
      <b val="1"/>
      <sz val="9"/>
    </font>
    <font>
      <name val="Arial"/>
      <b val="1"/>
      <color rgb="FF8B0000"/>
      <sz val="10"/>
    </font>
  </fonts>
  <fills count="10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2D2D4A"/>
      </patternFill>
    </fill>
    <fill>
      <patternFill patternType="solid">
        <fgColor rgb="FFFFFFFF"/>
      </patternFill>
    </fill>
    <fill>
      <patternFill patternType="solid">
        <fgColor rgb="FFFFE0E0"/>
      </patternFill>
    </fill>
    <fill>
      <patternFill patternType="solid">
        <fgColor rgb="FFF0F0F0"/>
      </patternFill>
    </fill>
    <fill>
      <patternFill patternType="solid">
        <fgColor rgb="FFFFFF99"/>
      </patternFill>
    </fill>
    <fill>
      <patternFill patternType="solid">
        <fgColor rgb="FF1A1A5E"/>
      </patternFill>
    </fill>
    <fill>
      <patternFill patternType="solid">
        <fgColor rgb="FFE6FFE6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0" fontId="5" fillId="5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0" fontId="7" fillId="3" borderId="0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10" fillId="0" borderId="0" pivotButton="0" quotePrefix="0" xfId="0"/>
    <xf numFmtId="0" fontId="0" fillId="7" borderId="0" pivotButton="0" quotePrefix="0" xfId="0"/>
    <xf numFmtId="0" fontId="11" fillId="3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3" fillId="7" borderId="1" pivotButton="0" quotePrefix="0" xfId="0"/>
    <xf numFmtId="0" fontId="15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11" fillId="3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1A2E"/>
    <outlinePr summaryBelow="1" summaryRight="1"/>
    <pageSetUpPr/>
  </sheetPr>
  <dimension ref="B1:C23"/>
  <sheetViews>
    <sheetView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40" customWidth="1" min="3" max="3"/>
  </cols>
  <sheetData>
    <row r="1" ht="32" customHeight="1">
      <c r="B1" s="1" t="inlineStr">
        <is>
          <t>TalentMaster™ — Harjoitettavuuskartoitus</t>
        </is>
      </c>
    </row>
    <row r="2">
      <c r="B2" s="2" t="inlineStr">
        <is>
          <t>Eerikkilä-protokolla 2026 · U12 / U15 / U19</t>
        </is>
      </c>
    </row>
    <row r="4" ht="20" customHeight="1">
      <c r="B4" s="3" t="inlineStr">
        <is>
          <t>🎯 KÄYTTÖOHJE</t>
        </is>
      </c>
    </row>
    <row r="5" ht="20" customHeight="1">
      <c r="B5" s="4" t="inlineStr">
        <is>
          <t>1. Mene oikealle ikäluokkavälilehdelle: U12, U15 tai U19</t>
        </is>
      </c>
    </row>
    <row r="6" ht="20" customHeight="1">
      <c r="B6" s="4" t="inlineStr">
        <is>
          <t>2. Täytä pelaajatiedot riveille 5 alkaen (keltaiset solut)</t>
        </is>
      </c>
    </row>
    <row r="7" ht="20" customHeight="1">
      <c r="B7" s="4" t="inlineStr">
        <is>
          <t>3. Kirjaa testitulos (tulos-sarake) ja pisteet 1–3</t>
        </is>
      </c>
    </row>
    <row r="8" ht="20" customHeight="1">
      <c r="B8" s="4" t="inlineStr">
        <is>
          <t>4. FLEI-% ja taso laskevat automaattisesti</t>
        </is>
      </c>
    </row>
    <row r="9" ht="20" customHeight="1">
      <c r="B9" s="4" t="inlineStr">
        <is>
          <t>5. Tallenna tiedosto ja lataa VP-dashboardiin</t>
        </is>
      </c>
    </row>
    <row r="11" ht="20" customHeight="1">
      <c r="B11" s="5" t="inlineStr">
        <is>
          <t>⚠️ PHV-HUOMIO (U15)</t>
        </is>
      </c>
    </row>
    <row r="12" ht="20" customHeight="1">
      <c r="B12" s="6" t="inlineStr">
        <is>
          <t>Tarkista PHV-tila ENNEN testausta! PHV-HUIPPU → MAX 60% kuorma.</t>
        </is>
      </c>
    </row>
    <row r="13" ht="20" customHeight="1">
      <c r="B13" s="6" t="inlineStr">
        <is>
          <t>Lantionnosto &lt;29 toistoa + kantakipu → VÄLITÖN terapia-referral.</t>
        </is>
      </c>
    </row>
    <row r="15" ht="20" customHeight="1">
      <c r="B15" s="7" t="inlineStr">
        <is>
          <t>📊 PISTEYTYS</t>
        </is>
      </c>
    </row>
    <row r="16" ht="20" customHeight="1">
      <c r="B16" s="4" t="inlineStr">
        <is>
          <t>🔴 1p = rajoitteita / kehitettävää kriittisesti</t>
        </is>
      </c>
    </row>
    <row r="17" ht="20" customHeight="1">
      <c r="B17" s="4" t="inlineStr">
        <is>
          <t>🟡 2p = kehitettävää</t>
        </is>
      </c>
    </row>
    <row r="18" ht="20" customHeight="1">
      <c r="B18" s="4" t="inlineStr">
        <is>
          <t>🟢 3p = hallitsee hyvin</t>
        </is>
      </c>
    </row>
    <row r="20" ht="20" customHeight="1">
      <c r="B20" s="7" t="inlineStr">
        <is>
          <t>🔗 FLEI-ASTEIKKO</t>
        </is>
      </c>
    </row>
    <row r="21" ht="20" customHeight="1">
      <c r="B21" s="4" t="inlineStr">
        <is>
          <t>🔴 Prioriteetti: alle 60%  →  klinikka-triggerit aktiiviseksi</t>
        </is>
      </c>
    </row>
    <row r="22" ht="20" customHeight="1">
      <c r="B22" s="4" t="inlineStr">
        <is>
          <t>🟡 Kehitys: 60–79%  →  fokus harjoittelussa + seuranta</t>
        </is>
      </c>
    </row>
    <row r="23" ht="20" customHeight="1">
      <c r="B23" s="4" t="inlineStr">
        <is>
          <t>🟢 Hyvä: 80–100%  →  ylläpito + lajitason haasteet</t>
        </is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9B"/>
    <outlinePr summaryBelow="1" summaryRight="1"/>
    <pageSetUpPr/>
  </sheetPr>
  <dimension ref="A1:AF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7" customWidth="1" min="3" max="3"/>
    <col width="5" customWidth="1" min="4" max="4"/>
    <col width="12" customWidth="1" min="5" max="5"/>
    <col width="10" customWidth="1" min="6" max="6"/>
    <col width="14" customWidth="1" min="7" max="7"/>
    <col width="14" customWidth="1" min="8" max="8"/>
    <col width="11" customWidth="1" min="9" max="9"/>
    <col width="6" customWidth="1" min="10" max="10"/>
    <col width="11" customWidth="1" min="11" max="11"/>
    <col width="6" customWidth="1" min="12" max="12"/>
    <col width="11" customWidth="1" min="13" max="13"/>
    <col width="6" customWidth="1" min="14" max="14"/>
    <col width="11" customWidth="1" min="15" max="15"/>
    <col width="6" customWidth="1" min="16" max="16"/>
    <col width="11" customWidth="1" min="17" max="17"/>
    <col width="6" customWidth="1" min="18" max="18"/>
    <col width="11" customWidth="1" min="19" max="19"/>
    <col width="6" customWidth="1" min="20" max="20"/>
    <col width="11" customWidth="1" min="21" max="21"/>
    <col width="6" customWidth="1" min="22" max="22"/>
    <col width="11" customWidth="1" min="23" max="23"/>
    <col width="6" customWidth="1" min="24" max="24"/>
    <col width="11" customWidth="1" min="25" max="25"/>
    <col width="6" customWidth="1" min="26" max="26"/>
    <col width="9" customWidth="1" min="27" max="27"/>
    <col width="9" customWidth="1" min="28" max="28"/>
    <col width="9" customWidth="1" min="29" max="29"/>
    <col width="9" customWidth="1" min="30" max="30"/>
    <col width="22" customWidth="1" min="31" max="31"/>
    <col width="22" customWidth="1" min="32" max="32"/>
  </cols>
  <sheetData>
    <row r="1" ht="28" customHeight="1">
      <c r="A1" s="8" t="inlineStr">
        <is>
          <t>HARJOITETTAVUUSKARTOITUS U12 — 10–12-vuotiaat | Liiketaito + Perusvoima + SSC</t>
        </is>
      </c>
    </row>
    <row r="2" ht="20" customHeight="1">
      <c r="A2" s="9" t="inlineStr">
        <is>
          <t>Pisteet: 🔴 1p = rajoitteita/kehitettävää kriittisesti  |  🟡 2p = kehitettävää  |  🟢 3p = hallitsee hyvin  |  Pisteet 1–3 per testi</t>
        </is>
      </c>
    </row>
    <row r="3" ht="18" customHeight="1">
      <c r="A3" s="10" t="inlineStr">
        <is>
          <t>Seura:</t>
        </is>
      </c>
      <c r="B3" s="11" t="n"/>
      <c r="D3" s="10" t="inlineStr">
        <is>
          <t>Kausi:</t>
        </is>
      </c>
      <c r="E3" s="11" t="n"/>
      <c r="G3" s="10" t="inlineStr">
        <is>
          <t>Joukkue:</t>
        </is>
      </c>
      <c r="H3" s="11" t="n"/>
    </row>
    <row r="4" ht="32" customHeight="1">
      <c r="A4" s="12" t="inlineStr">
        <is>
          <t>PelaajaID</t>
        </is>
      </c>
      <c r="B4" s="12" t="inlineStr">
        <is>
          <t>Nimi</t>
        </is>
      </c>
      <c r="C4" s="12" t="inlineStr">
        <is>
          <t>Sukup
(P/T)</t>
        </is>
      </c>
      <c r="D4" s="12" t="inlineStr">
        <is>
          <t>Ikä
(v)</t>
        </is>
      </c>
      <c r="E4" s="12" t="inlineStr">
        <is>
          <t>Testaus
pvm</t>
        </is>
      </c>
      <c r="F4" s="12" t="inlineStr">
        <is>
          <t>PHV-
tila</t>
        </is>
      </c>
      <c r="G4" s="12" t="inlineStr">
        <is>
          <t>Joukkue</t>
        </is>
      </c>
      <c r="H4" s="12" t="inlineStr">
        <is>
          <t>Arvioija</t>
        </is>
      </c>
      <c r="I4" s="13" t="inlineStr">
        <is>
          <t>Valakyykky
(tulos)</t>
        </is>
      </c>
      <c r="J4" s="13" t="inlineStr">
        <is>
          <t>Pist.
1–3</t>
        </is>
      </c>
      <c r="K4" s="13" t="inlineStr">
        <is>
          <t>Luistelijan kyykky
(tulos)</t>
        </is>
      </c>
      <c r="L4" s="13" t="inlineStr">
        <is>
          <t>Pist.
1–3</t>
        </is>
      </c>
      <c r="M4" s="13" t="inlineStr">
        <is>
          <t>Askelkyykky
(tulos)</t>
        </is>
      </c>
      <c r="N4" s="13" t="inlineStr">
        <is>
          <t>Pist.
1–3</t>
        </is>
      </c>
      <c r="O4" s="13" t="inlineStr">
        <is>
          <t>Hyvää huomenta
(tulos)</t>
        </is>
      </c>
      <c r="P4" s="13" t="inlineStr">
        <is>
          <t>Pist.
1–3</t>
        </is>
      </c>
      <c r="Q4" s="13" t="inlineStr">
        <is>
          <t>Etunojapunnerrus
(tulos)</t>
        </is>
      </c>
      <c r="R4" s="13" t="inlineStr">
        <is>
          <t>Pist.
1–3</t>
        </is>
      </c>
      <c r="S4" s="13" t="inlineStr">
        <is>
          <t>Lankku 60s
(tulos)</t>
        </is>
      </c>
      <c r="T4" s="13" t="inlineStr">
        <is>
          <t>Pist.
1–3</t>
        </is>
      </c>
      <c r="U4" s="13" t="inlineStr">
        <is>
          <t>Naruhypyt 15s
(tulos)</t>
        </is>
      </c>
      <c r="V4" s="13" t="inlineStr">
        <is>
          <t>Pist.
1–3</t>
        </is>
      </c>
      <c r="W4" s="13" t="inlineStr">
        <is>
          <t>Pituushyppy
(tulos)</t>
        </is>
      </c>
      <c r="X4" s="13" t="inlineStr">
        <is>
          <t>Pist.
1–3</t>
        </is>
      </c>
      <c r="Y4" s="13" t="inlineStr">
        <is>
          <t>5-loikka
(tulos)</t>
        </is>
      </c>
      <c r="Z4" s="13" t="inlineStr">
        <is>
          <t>Pist.
1–3</t>
        </is>
      </c>
      <c r="AA4" s="14" t="inlineStr">
        <is>
          <t>Kokon.
pisteet</t>
        </is>
      </c>
      <c r="AB4" s="14" t="inlineStr">
        <is>
          <t>FLEI
(%)</t>
        </is>
      </c>
      <c r="AC4" s="14" t="inlineStr">
        <is>
          <t>FLEI-
taso</t>
        </is>
      </c>
      <c r="AD4" s="14" t="inlineStr">
        <is>
          <t>Kuorma-
rajoitin</t>
        </is>
      </c>
      <c r="AE4" s="14" t="inlineStr">
        <is>
          <t>Huomiot</t>
        </is>
      </c>
      <c r="AF4" s="14" t="inlineStr">
        <is>
          <t>ASI-
huomio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6" t="n"/>
      <c r="K5" s="15" t="n"/>
      <c r="L5" s="16" t="n"/>
      <c r="M5" s="15" t="n"/>
      <c r="N5" s="16" t="n"/>
      <c r="O5" s="15" t="n"/>
      <c r="P5" s="16" t="n"/>
      <c r="Q5" s="15" t="n"/>
      <c r="R5" s="16" t="n"/>
      <c r="S5" s="15" t="n"/>
      <c r="T5" s="16" t="n"/>
      <c r="U5" s="15" t="n"/>
      <c r="V5" s="16" t="n"/>
      <c r="W5" s="15" t="n"/>
      <c r="X5" s="16" t="n"/>
      <c r="Y5" s="15" t="n"/>
      <c r="Z5" s="16" t="n"/>
      <c r="AA5" s="17">
        <f>IFERROR(J5+L5+N5+P5+R5+T5+V5+X5+Z5,"")</f>
        <v/>
      </c>
      <c r="AB5" s="18">
        <f>IFERROR(ROUND(AA5/27*100,0),"")</f>
        <v/>
      </c>
      <c r="AC5" s="19">
        <f>IFERROR(IF(AB5&gt;=80,"🟢 Hyvä",IF(AB5&gt;=60,"🟡 Kehitys","🔴 Prioriteetti")),"")</f>
        <v/>
      </c>
      <c r="AD5" s="19">
        <f>IFERROR(IF(OR(F5="PHV-huippu",AB5&lt;60),"⚠️ MAX 60%","OK"),"")</f>
        <v/>
      </c>
      <c r="AE5" s="20" t="n"/>
      <c r="AF5" s="20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6" t="n"/>
      <c r="K6" s="15" t="n"/>
      <c r="L6" s="16" t="n"/>
      <c r="M6" s="15" t="n"/>
      <c r="N6" s="16" t="n"/>
      <c r="O6" s="15" t="n"/>
      <c r="P6" s="16" t="n"/>
      <c r="Q6" s="15" t="n"/>
      <c r="R6" s="16" t="n"/>
      <c r="S6" s="15" t="n"/>
      <c r="T6" s="16" t="n"/>
      <c r="U6" s="15" t="n"/>
      <c r="V6" s="16" t="n"/>
      <c r="W6" s="15" t="n"/>
      <c r="X6" s="16" t="n"/>
      <c r="Y6" s="15" t="n"/>
      <c r="Z6" s="16" t="n"/>
      <c r="AA6" s="17">
        <f>IFERROR(J6+L6+N6+P6+R6+T6+V6+X6+Z6,"")</f>
        <v/>
      </c>
      <c r="AB6" s="18">
        <f>IFERROR(ROUND(AA6/27*100,0),"")</f>
        <v/>
      </c>
      <c r="AC6" s="19">
        <f>IFERROR(IF(AB6&gt;=80,"🟢 Hyvä",IF(AB6&gt;=60,"🟡 Kehitys","🔴 Prioriteetti")),"")</f>
        <v/>
      </c>
      <c r="AD6" s="19">
        <f>IFERROR(IF(OR(F6="PHV-huippu",AB6&lt;60),"⚠️ MAX 60%","OK"),"")</f>
        <v/>
      </c>
      <c r="AE6" s="20" t="n"/>
      <c r="AF6" s="20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6" t="n"/>
      <c r="K7" s="15" t="n"/>
      <c r="L7" s="16" t="n"/>
      <c r="M7" s="15" t="n"/>
      <c r="N7" s="16" t="n"/>
      <c r="O7" s="15" t="n"/>
      <c r="P7" s="16" t="n"/>
      <c r="Q7" s="15" t="n"/>
      <c r="R7" s="16" t="n"/>
      <c r="S7" s="15" t="n"/>
      <c r="T7" s="16" t="n"/>
      <c r="U7" s="15" t="n"/>
      <c r="V7" s="16" t="n"/>
      <c r="W7" s="15" t="n"/>
      <c r="X7" s="16" t="n"/>
      <c r="Y7" s="15" t="n"/>
      <c r="Z7" s="16" t="n"/>
      <c r="AA7" s="17">
        <f>IFERROR(J7+L7+N7+P7+R7+T7+V7+X7+Z7,"")</f>
        <v/>
      </c>
      <c r="AB7" s="18">
        <f>IFERROR(ROUND(AA7/27*100,0),"")</f>
        <v/>
      </c>
      <c r="AC7" s="19">
        <f>IFERROR(IF(AB7&gt;=80,"🟢 Hyvä",IF(AB7&gt;=60,"🟡 Kehitys","🔴 Prioriteetti")),"")</f>
        <v/>
      </c>
      <c r="AD7" s="19">
        <f>IFERROR(IF(OR(F7="PHV-huippu",AB7&lt;60),"⚠️ MAX 60%","OK"),"")</f>
        <v/>
      </c>
      <c r="AE7" s="20" t="n"/>
      <c r="AF7" s="20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6" t="n"/>
      <c r="K8" s="15" t="n"/>
      <c r="L8" s="16" t="n"/>
      <c r="M8" s="15" t="n"/>
      <c r="N8" s="16" t="n"/>
      <c r="O8" s="15" t="n"/>
      <c r="P8" s="16" t="n"/>
      <c r="Q8" s="15" t="n"/>
      <c r="R8" s="16" t="n"/>
      <c r="S8" s="15" t="n"/>
      <c r="T8" s="16" t="n"/>
      <c r="U8" s="15" t="n"/>
      <c r="V8" s="16" t="n"/>
      <c r="W8" s="15" t="n"/>
      <c r="X8" s="16" t="n"/>
      <c r="Y8" s="15" t="n"/>
      <c r="Z8" s="16" t="n"/>
      <c r="AA8" s="17">
        <f>IFERROR(J8+L8+N8+P8+R8+T8+V8+X8+Z8,"")</f>
        <v/>
      </c>
      <c r="AB8" s="18">
        <f>IFERROR(ROUND(AA8/27*100,0),"")</f>
        <v/>
      </c>
      <c r="AC8" s="19">
        <f>IFERROR(IF(AB8&gt;=80,"🟢 Hyvä",IF(AB8&gt;=60,"🟡 Kehitys","🔴 Prioriteetti")),"")</f>
        <v/>
      </c>
      <c r="AD8" s="19">
        <f>IFERROR(IF(OR(F8="PHV-huippu",AB8&lt;60),"⚠️ MAX 60%","OK"),"")</f>
        <v/>
      </c>
      <c r="AE8" s="20" t="n"/>
      <c r="AF8" s="20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6" t="n"/>
      <c r="K9" s="15" t="n"/>
      <c r="L9" s="16" t="n"/>
      <c r="M9" s="15" t="n"/>
      <c r="N9" s="16" t="n"/>
      <c r="O9" s="15" t="n"/>
      <c r="P9" s="16" t="n"/>
      <c r="Q9" s="15" t="n"/>
      <c r="R9" s="16" t="n"/>
      <c r="S9" s="15" t="n"/>
      <c r="T9" s="16" t="n"/>
      <c r="U9" s="15" t="n"/>
      <c r="V9" s="16" t="n"/>
      <c r="W9" s="15" t="n"/>
      <c r="X9" s="16" t="n"/>
      <c r="Y9" s="15" t="n"/>
      <c r="Z9" s="16" t="n"/>
      <c r="AA9" s="17">
        <f>IFERROR(J9+L9+N9+P9+R9+T9+V9+X9+Z9,"")</f>
        <v/>
      </c>
      <c r="AB9" s="18">
        <f>IFERROR(ROUND(AA9/27*100,0),"")</f>
        <v/>
      </c>
      <c r="AC9" s="19">
        <f>IFERROR(IF(AB9&gt;=80,"🟢 Hyvä",IF(AB9&gt;=60,"🟡 Kehitys","🔴 Prioriteetti")),"")</f>
        <v/>
      </c>
      <c r="AD9" s="19">
        <f>IFERROR(IF(OR(F9="PHV-huippu",AB9&lt;60),"⚠️ MAX 60%","OK"),"")</f>
        <v/>
      </c>
      <c r="AE9" s="20" t="n"/>
      <c r="AF9" s="20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 t="n"/>
      <c r="K10" s="15" t="n"/>
      <c r="L10" s="16" t="n"/>
      <c r="M10" s="15" t="n"/>
      <c r="N10" s="16" t="n"/>
      <c r="O10" s="15" t="n"/>
      <c r="P10" s="16" t="n"/>
      <c r="Q10" s="15" t="n"/>
      <c r="R10" s="16" t="n"/>
      <c r="S10" s="15" t="n"/>
      <c r="T10" s="16" t="n"/>
      <c r="U10" s="15" t="n"/>
      <c r="V10" s="16" t="n"/>
      <c r="W10" s="15" t="n"/>
      <c r="X10" s="16" t="n"/>
      <c r="Y10" s="15" t="n"/>
      <c r="Z10" s="16" t="n"/>
      <c r="AA10" s="17">
        <f>IFERROR(J10+L10+N10+P10+R10+T10+V10+X10+Z10,"")</f>
        <v/>
      </c>
      <c r="AB10" s="18">
        <f>IFERROR(ROUND(AA10/27*100,0),"")</f>
        <v/>
      </c>
      <c r="AC10" s="19">
        <f>IFERROR(IF(AB10&gt;=80,"🟢 Hyvä",IF(AB10&gt;=60,"🟡 Kehitys","🔴 Prioriteetti")),"")</f>
        <v/>
      </c>
      <c r="AD10" s="19">
        <f>IFERROR(IF(OR(F10="PHV-huippu",AB10&lt;60),"⚠️ MAX 60%","OK"),"")</f>
        <v/>
      </c>
      <c r="AE10" s="20" t="n"/>
      <c r="AF10" s="20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15" t="n"/>
      <c r="L11" s="16" t="n"/>
      <c r="M11" s="15" t="n"/>
      <c r="N11" s="16" t="n"/>
      <c r="O11" s="15" t="n"/>
      <c r="P11" s="16" t="n"/>
      <c r="Q11" s="15" t="n"/>
      <c r="R11" s="16" t="n"/>
      <c r="S11" s="15" t="n"/>
      <c r="T11" s="16" t="n"/>
      <c r="U11" s="15" t="n"/>
      <c r="V11" s="16" t="n"/>
      <c r="W11" s="15" t="n"/>
      <c r="X11" s="16" t="n"/>
      <c r="Y11" s="15" t="n"/>
      <c r="Z11" s="16" t="n"/>
      <c r="AA11" s="17">
        <f>IFERROR(J11+L11+N11+P11+R11+T11+V11+X11+Z11,"")</f>
        <v/>
      </c>
      <c r="AB11" s="18">
        <f>IFERROR(ROUND(AA11/27*100,0),"")</f>
        <v/>
      </c>
      <c r="AC11" s="19">
        <f>IFERROR(IF(AB11&gt;=80,"🟢 Hyvä",IF(AB11&gt;=60,"🟡 Kehitys","🔴 Prioriteetti")),"")</f>
        <v/>
      </c>
      <c r="AD11" s="19">
        <f>IFERROR(IF(OR(F11="PHV-huippu",AB11&lt;60),"⚠️ MAX 60%","OK"),"")</f>
        <v/>
      </c>
      <c r="AE11" s="20" t="n"/>
      <c r="AF11" s="20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15" t="n"/>
      <c r="L12" s="16" t="n"/>
      <c r="M12" s="15" t="n"/>
      <c r="N12" s="16" t="n"/>
      <c r="O12" s="15" t="n"/>
      <c r="P12" s="16" t="n"/>
      <c r="Q12" s="15" t="n"/>
      <c r="R12" s="16" t="n"/>
      <c r="S12" s="15" t="n"/>
      <c r="T12" s="16" t="n"/>
      <c r="U12" s="15" t="n"/>
      <c r="V12" s="16" t="n"/>
      <c r="W12" s="15" t="n"/>
      <c r="X12" s="16" t="n"/>
      <c r="Y12" s="15" t="n"/>
      <c r="Z12" s="16" t="n"/>
      <c r="AA12" s="17">
        <f>IFERROR(J12+L12+N12+P12+R12+T12+V12+X12+Z12,"")</f>
        <v/>
      </c>
      <c r="AB12" s="18">
        <f>IFERROR(ROUND(AA12/27*100,0),"")</f>
        <v/>
      </c>
      <c r="AC12" s="19">
        <f>IFERROR(IF(AB12&gt;=80,"🟢 Hyvä",IF(AB12&gt;=60,"🟡 Kehitys","🔴 Prioriteetti")),"")</f>
        <v/>
      </c>
      <c r="AD12" s="19">
        <f>IFERROR(IF(OR(F12="PHV-huippu",AB12&lt;60),"⚠️ MAX 60%","OK"),"")</f>
        <v/>
      </c>
      <c r="AE12" s="20" t="n"/>
      <c r="AF12" s="20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6" t="n"/>
      <c r="K13" s="15" t="n"/>
      <c r="L13" s="16" t="n"/>
      <c r="M13" s="15" t="n"/>
      <c r="N13" s="16" t="n"/>
      <c r="O13" s="15" t="n"/>
      <c r="P13" s="16" t="n"/>
      <c r="Q13" s="15" t="n"/>
      <c r="R13" s="16" t="n"/>
      <c r="S13" s="15" t="n"/>
      <c r="T13" s="16" t="n"/>
      <c r="U13" s="15" t="n"/>
      <c r="V13" s="16" t="n"/>
      <c r="W13" s="15" t="n"/>
      <c r="X13" s="16" t="n"/>
      <c r="Y13" s="15" t="n"/>
      <c r="Z13" s="16" t="n"/>
      <c r="AA13" s="17">
        <f>IFERROR(J13+L13+N13+P13+R13+T13+V13+X13+Z13,"")</f>
        <v/>
      </c>
      <c r="AB13" s="18">
        <f>IFERROR(ROUND(AA13/27*100,0),"")</f>
        <v/>
      </c>
      <c r="AC13" s="19">
        <f>IFERROR(IF(AB13&gt;=80,"🟢 Hyvä",IF(AB13&gt;=60,"🟡 Kehitys","🔴 Prioriteetti")),"")</f>
        <v/>
      </c>
      <c r="AD13" s="19">
        <f>IFERROR(IF(OR(F13="PHV-huippu",AB13&lt;60),"⚠️ MAX 60%","OK"),"")</f>
        <v/>
      </c>
      <c r="AE13" s="20" t="n"/>
      <c r="AF13" s="20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6" t="n"/>
      <c r="K14" s="15" t="n"/>
      <c r="L14" s="16" t="n"/>
      <c r="M14" s="15" t="n"/>
      <c r="N14" s="16" t="n"/>
      <c r="O14" s="15" t="n"/>
      <c r="P14" s="16" t="n"/>
      <c r="Q14" s="15" t="n"/>
      <c r="R14" s="16" t="n"/>
      <c r="S14" s="15" t="n"/>
      <c r="T14" s="16" t="n"/>
      <c r="U14" s="15" t="n"/>
      <c r="V14" s="16" t="n"/>
      <c r="W14" s="15" t="n"/>
      <c r="X14" s="16" t="n"/>
      <c r="Y14" s="15" t="n"/>
      <c r="Z14" s="16" t="n"/>
      <c r="AA14" s="17">
        <f>IFERROR(J14+L14+N14+P14+R14+T14+V14+X14+Z14,"")</f>
        <v/>
      </c>
      <c r="AB14" s="18">
        <f>IFERROR(ROUND(AA14/27*100,0),"")</f>
        <v/>
      </c>
      <c r="AC14" s="19">
        <f>IFERROR(IF(AB14&gt;=80,"🟢 Hyvä",IF(AB14&gt;=60,"🟡 Kehitys","🔴 Prioriteetti")),"")</f>
        <v/>
      </c>
      <c r="AD14" s="19">
        <f>IFERROR(IF(OR(F14="PHV-huippu",AB14&lt;60),"⚠️ MAX 60%","OK"),"")</f>
        <v/>
      </c>
      <c r="AE14" s="20" t="n"/>
      <c r="AF14" s="20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6" t="n"/>
      <c r="K15" s="15" t="n"/>
      <c r="L15" s="16" t="n"/>
      <c r="M15" s="15" t="n"/>
      <c r="N15" s="16" t="n"/>
      <c r="O15" s="15" t="n"/>
      <c r="P15" s="16" t="n"/>
      <c r="Q15" s="15" t="n"/>
      <c r="R15" s="16" t="n"/>
      <c r="S15" s="15" t="n"/>
      <c r="T15" s="16" t="n"/>
      <c r="U15" s="15" t="n"/>
      <c r="V15" s="16" t="n"/>
      <c r="W15" s="15" t="n"/>
      <c r="X15" s="16" t="n"/>
      <c r="Y15" s="15" t="n"/>
      <c r="Z15" s="16" t="n"/>
      <c r="AA15" s="17">
        <f>IFERROR(J15+L15+N15+P15+R15+T15+V15+X15+Z15,"")</f>
        <v/>
      </c>
      <c r="AB15" s="18">
        <f>IFERROR(ROUND(AA15/27*100,0),"")</f>
        <v/>
      </c>
      <c r="AC15" s="19">
        <f>IFERROR(IF(AB15&gt;=80,"🟢 Hyvä",IF(AB15&gt;=60,"🟡 Kehitys","🔴 Prioriteetti")),"")</f>
        <v/>
      </c>
      <c r="AD15" s="19">
        <f>IFERROR(IF(OR(F15="PHV-huippu",AB15&lt;60),"⚠️ MAX 60%","OK"),"")</f>
        <v/>
      </c>
      <c r="AE15" s="20" t="n"/>
      <c r="AF15" s="20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6" t="n"/>
      <c r="K16" s="15" t="n"/>
      <c r="L16" s="16" t="n"/>
      <c r="M16" s="15" t="n"/>
      <c r="N16" s="16" t="n"/>
      <c r="O16" s="15" t="n"/>
      <c r="P16" s="16" t="n"/>
      <c r="Q16" s="15" t="n"/>
      <c r="R16" s="16" t="n"/>
      <c r="S16" s="15" t="n"/>
      <c r="T16" s="16" t="n"/>
      <c r="U16" s="15" t="n"/>
      <c r="V16" s="16" t="n"/>
      <c r="W16" s="15" t="n"/>
      <c r="X16" s="16" t="n"/>
      <c r="Y16" s="15" t="n"/>
      <c r="Z16" s="16" t="n"/>
      <c r="AA16" s="17">
        <f>IFERROR(J16+L16+N16+P16+R16+T16+V16+X16+Z16,"")</f>
        <v/>
      </c>
      <c r="AB16" s="18">
        <f>IFERROR(ROUND(AA16/27*100,0),"")</f>
        <v/>
      </c>
      <c r="AC16" s="19">
        <f>IFERROR(IF(AB16&gt;=80,"🟢 Hyvä",IF(AB16&gt;=60,"🟡 Kehitys","🔴 Prioriteetti")),"")</f>
        <v/>
      </c>
      <c r="AD16" s="19">
        <f>IFERROR(IF(OR(F16="PHV-huippu",AB16&lt;60),"⚠️ MAX 60%","OK"),"")</f>
        <v/>
      </c>
      <c r="AE16" s="20" t="n"/>
      <c r="AF16" s="20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6" t="n"/>
      <c r="K17" s="15" t="n"/>
      <c r="L17" s="16" t="n"/>
      <c r="M17" s="15" t="n"/>
      <c r="N17" s="16" t="n"/>
      <c r="O17" s="15" t="n"/>
      <c r="P17" s="16" t="n"/>
      <c r="Q17" s="15" t="n"/>
      <c r="R17" s="16" t="n"/>
      <c r="S17" s="15" t="n"/>
      <c r="T17" s="16" t="n"/>
      <c r="U17" s="15" t="n"/>
      <c r="V17" s="16" t="n"/>
      <c r="W17" s="15" t="n"/>
      <c r="X17" s="16" t="n"/>
      <c r="Y17" s="15" t="n"/>
      <c r="Z17" s="16" t="n"/>
      <c r="AA17" s="17">
        <f>IFERROR(J17+L17+N17+P17+R17+T17+V17+X17+Z17,"")</f>
        <v/>
      </c>
      <c r="AB17" s="18">
        <f>IFERROR(ROUND(AA17/27*100,0),"")</f>
        <v/>
      </c>
      <c r="AC17" s="19">
        <f>IFERROR(IF(AB17&gt;=80,"🟢 Hyvä",IF(AB17&gt;=60,"🟡 Kehitys","🔴 Prioriteetti")),"")</f>
        <v/>
      </c>
      <c r="AD17" s="19">
        <f>IFERROR(IF(OR(F17="PHV-huippu",AB17&lt;60),"⚠️ MAX 60%","OK"),"")</f>
        <v/>
      </c>
      <c r="AE17" s="20" t="n"/>
      <c r="AF17" s="20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6" t="n"/>
      <c r="K18" s="15" t="n"/>
      <c r="L18" s="16" t="n"/>
      <c r="M18" s="15" t="n"/>
      <c r="N18" s="16" t="n"/>
      <c r="O18" s="15" t="n"/>
      <c r="P18" s="16" t="n"/>
      <c r="Q18" s="15" t="n"/>
      <c r="R18" s="16" t="n"/>
      <c r="S18" s="15" t="n"/>
      <c r="T18" s="16" t="n"/>
      <c r="U18" s="15" t="n"/>
      <c r="V18" s="16" t="n"/>
      <c r="W18" s="15" t="n"/>
      <c r="X18" s="16" t="n"/>
      <c r="Y18" s="15" t="n"/>
      <c r="Z18" s="16" t="n"/>
      <c r="AA18" s="17">
        <f>IFERROR(J18+L18+N18+P18+R18+T18+V18+X18+Z18,"")</f>
        <v/>
      </c>
      <c r="AB18" s="18">
        <f>IFERROR(ROUND(AA18/27*100,0),"")</f>
        <v/>
      </c>
      <c r="AC18" s="19">
        <f>IFERROR(IF(AB18&gt;=80,"🟢 Hyvä",IF(AB18&gt;=60,"🟡 Kehitys","🔴 Prioriteetti")),"")</f>
        <v/>
      </c>
      <c r="AD18" s="19">
        <f>IFERROR(IF(OR(F18="PHV-huippu",AB18&lt;60),"⚠️ MAX 60%","OK"),"")</f>
        <v/>
      </c>
      <c r="AE18" s="20" t="n"/>
      <c r="AF18" s="20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6" t="n"/>
      <c r="K19" s="15" t="n"/>
      <c r="L19" s="16" t="n"/>
      <c r="M19" s="15" t="n"/>
      <c r="N19" s="16" t="n"/>
      <c r="O19" s="15" t="n"/>
      <c r="P19" s="16" t="n"/>
      <c r="Q19" s="15" t="n"/>
      <c r="R19" s="16" t="n"/>
      <c r="S19" s="15" t="n"/>
      <c r="T19" s="16" t="n"/>
      <c r="U19" s="15" t="n"/>
      <c r="V19" s="16" t="n"/>
      <c r="W19" s="15" t="n"/>
      <c r="X19" s="16" t="n"/>
      <c r="Y19" s="15" t="n"/>
      <c r="Z19" s="16" t="n"/>
      <c r="AA19" s="17">
        <f>IFERROR(J19+L19+N19+P19+R19+T19+V19+X19+Z19,"")</f>
        <v/>
      </c>
      <c r="AB19" s="18">
        <f>IFERROR(ROUND(AA19/27*100,0),"")</f>
        <v/>
      </c>
      <c r="AC19" s="19">
        <f>IFERROR(IF(AB19&gt;=80,"🟢 Hyvä",IF(AB19&gt;=60,"🟡 Kehitys","🔴 Prioriteetti")),"")</f>
        <v/>
      </c>
      <c r="AD19" s="19">
        <f>IFERROR(IF(OR(F19="PHV-huippu",AB19&lt;60),"⚠️ MAX 60%","OK"),"")</f>
        <v/>
      </c>
      <c r="AE19" s="20" t="n"/>
      <c r="AF19" s="20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6" t="n"/>
      <c r="K20" s="15" t="n"/>
      <c r="L20" s="16" t="n"/>
      <c r="M20" s="15" t="n"/>
      <c r="N20" s="16" t="n"/>
      <c r="O20" s="15" t="n"/>
      <c r="P20" s="16" t="n"/>
      <c r="Q20" s="15" t="n"/>
      <c r="R20" s="16" t="n"/>
      <c r="S20" s="15" t="n"/>
      <c r="T20" s="16" t="n"/>
      <c r="U20" s="15" t="n"/>
      <c r="V20" s="16" t="n"/>
      <c r="W20" s="15" t="n"/>
      <c r="X20" s="16" t="n"/>
      <c r="Y20" s="15" t="n"/>
      <c r="Z20" s="16" t="n"/>
      <c r="AA20" s="17">
        <f>IFERROR(J20+L20+N20+P20+R20+T20+V20+X20+Z20,"")</f>
        <v/>
      </c>
      <c r="AB20" s="18">
        <f>IFERROR(ROUND(AA20/27*100,0),"")</f>
        <v/>
      </c>
      <c r="AC20" s="19">
        <f>IFERROR(IF(AB20&gt;=80,"🟢 Hyvä",IF(AB20&gt;=60,"🟡 Kehitys","🔴 Prioriteetti")),"")</f>
        <v/>
      </c>
      <c r="AD20" s="19">
        <f>IFERROR(IF(OR(F20="PHV-huippu",AB20&lt;60),"⚠️ MAX 60%","OK"),"")</f>
        <v/>
      </c>
      <c r="AE20" s="20" t="n"/>
      <c r="AF20" s="20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6" t="n"/>
      <c r="K21" s="15" t="n"/>
      <c r="L21" s="16" t="n"/>
      <c r="M21" s="15" t="n"/>
      <c r="N21" s="16" t="n"/>
      <c r="O21" s="15" t="n"/>
      <c r="P21" s="16" t="n"/>
      <c r="Q21" s="15" t="n"/>
      <c r="R21" s="16" t="n"/>
      <c r="S21" s="15" t="n"/>
      <c r="T21" s="16" t="n"/>
      <c r="U21" s="15" t="n"/>
      <c r="V21" s="16" t="n"/>
      <c r="W21" s="15" t="n"/>
      <c r="X21" s="16" t="n"/>
      <c r="Y21" s="15" t="n"/>
      <c r="Z21" s="16" t="n"/>
      <c r="AA21" s="17">
        <f>IFERROR(J21+L21+N21+P21+R21+T21+V21+X21+Z21,"")</f>
        <v/>
      </c>
      <c r="AB21" s="18">
        <f>IFERROR(ROUND(AA21/27*100,0),"")</f>
        <v/>
      </c>
      <c r="AC21" s="19">
        <f>IFERROR(IF(AB21&gt;=80,"🟢 Hyvä",IF(AB21&gt;=60,"🟡 Kehitys","🔴 Prioriteetti")),"")</f>
        <v/>
      </c>
      <c r="AD21" s="19">
        <f>IFERROR(IF(OR(F21="PHV-huippu",AB21&lt;60),"⚠️ MAX 60%","OK"),"")</f>
        <v/>
      </c>
      <c r="AE21" s="20" t="n"/>
      <c r="AF21" s="20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6" t="n"/>
      <c r="K22" s="15" t="n"/>
      <c r="L22" s="16" t="n"/>
      <c r="M22" s="15" t="n"/>
      <c r="N22" s="16" t="n"/>
      <c r="O22" s="15" t="n"/>
      <c r="P22" s="16" t="n"/>
      <c r="Q22" s="15" t="n"/>
      <c r="R22" s="16" t="n"/>
      <c r="S22" s="15" t="n"/>
      <c r="T22" s="16" t="n"/>
      <c r="U22" s="15" t="n"/>
      <c r="V22" s="16" t="n"/>
      <c r="W22" s="15" t="n"/>
      <c r="X22" s="16" t="n"/>
      <c r="Y22" s="15" t="n"/>
      <c r="Z22" s="16" t="n"/>
      <c r="AA22" s="17">
        <f>IFERROR(J22+L22+N22+P22+R22+T22+V22+X22+Z22,"")</f>
        <v/>
      </c>
      <c r="AB22" s="18">
        <f>IFERROR(ROUND(AA22/27*100,0),"")</f>
        <v/>
      </c>
      <c r="AC22" s="19">
        <f>IFERROR(IF(AB22&gt;=80,"🟢 Hyvä",IF(AB22&gt;=60,"🟡 Kehitys","🔴 Prioriteetti")),"")</f>
        <v/>
      </c>
      <c r="AD22" s="19">
        <f>IFERROR(IF(OR(F22="PHV-huippu",AB22&lt;60),"⚠️ MAX 60%","OK"),"")</f>
        <v/>
      </c>
      <c r="AE22" s="20" t="n"/>
      <c r="AF22" s="20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6" t="n"/>
      <c r="K23" s="15" t="n"/>
      <c r="L23" s="16" t="n"/>
      <c r="M23" s="15" t="n"/>
      <c r="N23" s="16" t="n"/>
      <c r="O23" s="15" t="n"/>
      <c r="P23" s="16" t="n"/>
      <c r="Q23" s="15" t="n"/>
      <c r="R23" s="16" t="n"/>
      <c r="S23" s="15" t="n"/>
      <c r="T23" s="16" t="n"/>
      <c r="U23" s="15" t="n"/>
      <c r="V23" s="16" t="n"/>
      <c r="W23" s="15" t="n"/>
      <c r="X23" s="16" t="n"/>
      <c r="Y23" s="15" t="n"/>
      <c r="Z23" s="16" t="n"/>
      <c r="AA23" s="17">
        <f>IFERROR(J23+L23+N23+P23+R23+T23+V23+X23+Z23,"")</f>
        <v/>
      </c>
      <c r="AB23" s="18">
        <f>IFERROR(ROUND(AA23/27*100,0),"")</f>
        <v/>
      </c>
      <c r="AC23" s="19">
        <f>IFERROR(IF(AB23&gt;=80,"🟢 Hyvä",IF(AB23&gt;=60,"🟡 Kehitys","🔴 Prioriteetti")),"")</f>
        <v/>
      </c>
      <c r="AD23" s="19">
        <f>IFERROR(IF(OR(F23="PHV-huippu",AB23&lt;60),"⚠️ MAX 60%","OK"),"")</f>
        <v/>
      </c>
      <c r="AE23" s="20" t="n"/>
      <c r="AF23" s="20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6" t="n"/>
      <c r="K24" s="15" t="n"/>
      <c r="L24" s="16" t="n"/>
      <c r="M24" s="15" t="n"/>
      <c r="N24" s="16" t="n"/>
      <c r="O24" s="15" t="n"/>
      <c r="P24" s="16" t="n"/>
      <c r="Q24" s="15" t="n"/>
      <c r="R24" s="16" t="n"/>
      <c r="S24" s="15" t="n"/>
      <c r="T24" s="16" t="n"/>
      <c r="U24" s="15" t="n"/>
      <c r="V24" s="16" t="n"/>
      <c r="W24" s="15" t="n"/>
      <c r="X24" s="16" t="n"/>
      <c r="Y24" s="15" t="n"/>
      <c r="Z24" s="16" t="n"/>
      <c r="AA24" s="17">
        <f>IFERROR(J24+L24+N24+P24+R24+T24+V24+X24+Z24,"")</f>
        <v/>
      </c>
      <c r="AB24" s="18">
        <f>IFERROR(ROUND(AA24/27*100,0),"")</f>
        <v/>
      </c>
      <c r="AC24" s="19">
        <f>IFERROR(IF(AB24&gt;=80,"🟢 Hyvä",IF(AB24&gt;=60,"🟡 Kehitys","🔴 Prioriteetti")),"")</f>
        <v/>
      </c>
      <c r="AD24" s="19">
        <f>IFERROR(IF(OR(F24="PHV-huippu",AB24&lt;60),"⚠️ MAX 60%","OK"),"")</f>
        <v/>
      </c>
      <c r="AE24" s="20" t="n"/>
      <c r="AF24" s="20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n"/>
      <c r="K25" s="15" t="n"/>
      <c r="L25" s="16" t="n"/>
      <c r="M25" s="15" t="n"/>
      <c r="N25" s="16" t="n"/>
      <c r="O25" s="15" t="n"/>
      <c r="P25" s="16" t="n"/>
      <c r="Q25" s="15" t="n"/>
      <c r="R25" s="16" t="n"/>
      <c r="S25" s="15" t="n"/>
      <c r="T25" s="16" t="n"/>
      <c r="U25" s="15" t="n"/>
      <c r="V25" s="16" t="n"/>
      <c r="W25" s="15" t="n"/>
      <c r="X25" s="16" t="n"/>
      <c r="Y25" s="15" t="n"/>
      <c r="Z25" s="16" t="n"/>
      <c r="AA25" s="17">
        <f>IFERROR(J25+L25+N25+P25+R25+T25+V25+X25+Z25,"")</f>
        <v/>
      </c>
      <c r="AB25" s="18">
        <f>IFERROR(ROUND(AA25/27*100,0),"")</f>
        <v/>
      </c>
      <c r="AC25" s="19">
        <f>IFERROR(IF(AB25&gt;=80,"🟢 Hyvä",IF(AB25&gt;=60,"🟡 Kehitys","🔴 Prioriteetti")),"")</f>
        <v/>
      </c>
      <c r="AD25" s="19">
        <f>IFERROR(IF(OR(F25="PHV-huippu",AB25&lt;60),"⚠️ MAX 60%","OK"),"")</f>
        <v/>
      </c>
      <c r="AE25" s="20" t="n"/>
      <c r="AF25" s="20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15" t="n"/>
      <c r="L26" s="16" t="n"/>
      <c r="M26" s="15" t="n"/>
      <c r="N26" s="16" t="n"/>
      <c r="O26" s="15" t="n"/>
      <c r="P26" s="16" t="n"/>
      <c r="Q26" s="15" t="n"/>
      <c r="R26" s="16" t="n"/>
      <c r="S26" s="15" t="n"/>
      <c r="T26" s="16" t="n"/>
      <c r="U26" s="15" t="n"/>
      <c r="V26" s="16" t="n"/>
      <c r="W26" s="15" t="n"/>
      <c r="X26" s="16" t="n"/>
      <c r="Y26" s="15" t="n"/>
      <c r="Z26" s="16" t="n"/>
      <c r="AA26" s="17">
        <f>IFERROR(J26+L26+N26+P26+R26+T26+V26+X26+Z26,"")</f>
        <v/>
      </c>
      <c r="AB26" s="18">
        <f>IFERROR(ROUND(AA26/27*100,0),"")</f>
        <v/>
      </c>
      <c r="AC26" s="19">
        <f>IFERROR(IF(AB26&gt;=80,"🟢 Hyvä",IF(AB26&gt;=60,"🟡 Kehitys","🔴 Prioriteetti")),"")</f>
        <v/>
      </c>
      <c r="AD26" s="19">
        <f>IFERROR(IF(OR(F26="PHV-huippu",AB26&lt;60),"⚠️ MAX 60%","OK"),"")</f>
        <v/>
      </c>
      <c r="AE26" s="20" t="n"/>
      <c r="AF26" s="20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15" t="n"/>
      <c r="L27" s="16" t="n"/>
      <c r="M27" s="15" t="n"/>
      <c r="N27" s="16" t="n"/>
      <c r="O27" s="15" t="n"/>
      <c r="P27" s="16" t="n"/>
      <c r="Q27" s="15" t="n"/>
      <c r="R27" s="16" t="n"/>
      <c r="S27" s="15" t="n"/>
      <c r="T27" s="16" t="n"/>
      <c r="U27" s="15" t="n"/>
      <c r="V27" s="16" t="n"/>
      <c r="W27" s="15" t="n"/>
      <c r="X27" s="16" t="n"/>
      <c r="Y27" s="15" t="n"/>
      <c r="Z27" s="16" t="n"/>
      <c r="AA27" s="17">
        <f>IFERROR(J27+L27+N27+P27+R27+T27+V27+X27+Z27,"")</f>
        <v/>
      </c>
      <c r="AB27" s="18">
        <f>IFERROR(ROUND(AA27/27*100,0),"")</f>
        <v/>
      </c>
      <c r="AC27" s="19">
        <f>IFERROR(IF(AB27&gt;=80,"🟢 Hyvä",IF(AB27&gt;=60,"🟡 Kehitys","🔴 Prioriteetti")),"")</f>
        <v/>
      </c>
      <c r="AD27" s="19">
        <f>IFERROR(IF(OR(F27="PHV-huippu",AB27&lt;60),"⚠️ MAX 60%","OK"),"")</f>
        <v/>
      </c>
      <c r="AE27" s="20" t="n"/>
      <c r="AF27" s="20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n"/>
      <c r="K28" s="15" t="n"/>
      <c r="L28" s="16" t="n"/>
      <c r="M28" s="15" t="n"/>
      <c r="N28" s="16" t="n"/>
      <c r="O28" s="15" t="n"/>
      <c r="P28" s="16" t="n"/>
      <c r="Q28" s="15" t="n"/>
      <c r="R28" s="16" t="n"/>
      <c r="S28" s="15" t="n"/>
      <c r="T28" s="16" t="n"/>
      <c r="U28" s="15" t="n"/>
      <c r="V28" s="16" t="n"/>
      <c r="W28" s="15" t="n"/>
      <c r="X28" s="16" t="n"/>
      <c r="Y28" s="15" t="n"/>
      <c r="Z28" s="16" t="n"/>
      <c r="AA28" s="17">
        <f>IFERROR(J28+L28+N28+P28+R28+T28+V28+X28+Z28,"")</f>
        <v/>
      </c>
      <c r="AB28" s="18">
        <f>IFERROR(ROUND(AA28/27*100,0),"")</f>
        <v/>
      </c>
      <c r="AC28" s="19">
        <f>IFERROR(IF(AB28&gt;=80,"🟢 Hyvä",IF(AB28&gt;=60,"🟡 Kehitys","🔴 Prioriteetti")),"")</f>
        <v/>
      </c>
      <c r="AD28" s="19">
        <f>IFERROR(IF(OR(F28="PHV-huippu",AB28&lt;60),"⚠️ MAX 60%","OK"),"")</f>
        <v/>
      </c>
      <c r="AE28" s="20" t="n"/>
      <c r="AF28" s="20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  <c r="K29" s="15" t="n"/>
      <c r="L29" s="16" t="n"/>
      <c r="M29" s="15" t="n"/>
      <c r="N29" s="16" t="n"/>
      <c r="O29" s="15" t="n"/>
      <c r="P29" s="16" t="n"/>
      <c r="Q29" s="15" t="n"/>
      <c r="R29" s="16" t="n"/>
      <c r="S29" s="15" t="n"/>
      <c r="T29" s="16" t="n"/>
      <c r="U29" s="15" t="n"/>
      <c r="V29" s="16" t="n"/>
      <c r="W29" s="15" t="n"/>
      <c r="X29" s="16" t="n"/>
      <c r="Y29" s="15" t="n"/>
      <c r="Z29" s="16" t="n"/>
      <c r="AA29" s="17">
        <f>IFERROR(J29+L29+N29+P29+R29+T29+V29+X29+Z29,"")</f>
        <v/>
      </c>
      <c r="AB29" s="18">
        <f>IFERROR(ROUND(AA29/27*100,0),"")</f>
        <v/>
      </c>
      <c r="AC29" s="19">
        <f>IFERROR(IF(AB29&gt;=80,"🟢 Hyvä",IF(AB29&gt;=60,"🟡 Kehitys","🔴 Prioriteetti")),"")</f>
        <v/>
      </c>
      <c r="AD29" s="19">
        <f>IFERROR(IF(OR(F29="PHV-huippu",AB29&lt;60),"⚠️ MAX 60%","OK"),"")</f>
        <v/>
      </c>
      <c r="AE29" s="20" t="n"/>
      <c r="AF29" s="20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n"/>
      <c r="K30" s="15" t="n"/>
      <c r="L30" s="16" t="n"/>
      <c r="M30" s="15" t="n"/>
      <c r="N30" s="16" t="n"/>
      <c r="O30" s="15" t="n"/>
      <c r="P30" s="16" t="n"/>
      <c r="Q30" s="15" t="n"/>
      <c r="R30" s="16" t="n"/>
      <c r="S30" s="15" t="n"/>
      <c r="T30" s="16" t="n"/>
      <c r="U30" s="15" t="n"/>
      <c r="V30" s="16" t="n"/>
      <c r="W30" s="15" t="n"/>
      <c r="X30" s="16" t="n"/>
      <c r="Y30" s="15" t="n"/>
      <c r="Z30" s="16" t="n"/>
      <c r="AA30" s="17">
        <f>IFERROR(J30+L30+N30+P30+R30+T30+V30+X30+Z30,"")</f>
        <v/>
      </c>
      <c r="AB30" s="18">
        <f>IFERROR(ROUND(AA30/27*100,0),"")</f>
        <v/>
      </c>
      <c r="AC30" s="19">
        <f>IFERROR(IF(AB30&gt;=80,"🟢 Hyvä",IF(AB30&gt;=60,"🟡 Kehitys","🔴 Prioriteetti")),"")</f>
        <v/>
      </c>
      <c r="AD30" s="19">
        <f>IFERROR(IF(OR(F30="PHV-huippu",AB30&lt;60),"⚠️ MAX 60%","OK"),"")</f>
        <v/>
      </c>
      <c r="AE30" s="20" t="n"/>
      <c r="AF30" s="20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n"/>
      <c r="K31" s="15" t="n"/>
      <c r="L31" s="16" t="n"/>
      <c r="M31" s="15" t="n"/>
      <c r="N31" s="16" t="n"/>
      <c r="O31" s="15" t="n"/>
      <c r="P31" s="16" t="n"/>
      <c r="Q31" s="15" t="n"/>
      <c r="R31" s="16" t="n"/>
      <c r="S31" s="15" t="n"/>
      <c r="T31" s="16" t="n"/>
      <c r="U31" s="15" t="n"/>
      <c r="V31" s="16" t="n"/>
      <c r="W31" s="15" t="n"/>
      <c r="X31" s="16" t="n"/>
      <c r="Y31" s="15" t="n"/>
      <c r="Z31" s="16" t="n"/>
      <c r="AA31" s="17">
        <f>IFERROR(J31+L31+N31+P31+R31+T31+V31+X31+Z31,"")</f>
        <v/>
      </c>
      <c r="AB31" s="18">
        <f>IFERROR(ROUND(AA31/27*100,0),"")</f>
        <v/>
      </c>
      <c r="AC31" s="19">
        <f>IFERROR(IF(AB31&gt;=80,"🟢 Hyvä",IF(AB31&gt;=60,"🟡 Kehitys","🔴 Prioriteetti")),"")</f>
        <v/>
      </c>
      <c r="AD31" s="19">
        <f>IFERROR(IF(OR(F31="PHV-huippu",AB31&lt;60),"⚠️ MAX 60%","OK"),"")</f>
        <v/>
      </c>
      <c r="AE31" s="20" t="n"/>
      <c r="AF31" s="20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n"/>
      <c r="K32" s="15" t="n"/>
      <c r="L32" s="16" t="n"/>
      <c r="M32" s="15" t="n"/>
      <c r="N32" s="16" t="n"/>
      <c r="O32" s="15" t="n"/>
      <c r="P32" s="16" t="n"/>
      <c r="Q32" s="15" t="n"/>
      <c r="R32" s="16" t="n"/>
      <c r="S32" s="15" t="n"/>
      <c r="T32" s="16" t="n"/>
      <c r="U32" s="15" t="n"/>
      <c r="V32" s="16" t="n"/>
      <c r="W32" s="15" t="n"/>
      <c r="X32" s="16" t="n"/>
      <c r="Y32" s="15" t="n"/>
      <c r="Z32" s="16" t="n"/>
      <c r="AA32" s="17">
        <f>IFERROR(J32+L32+N32+P32+R32+T32+V32+X32+Z32,"")</f>
        <v/>
      </c>
      <c r="AB32" s="18">
        <f>IFERROR(ROUND(AA32/27*100,0),"")</f>
        <v/>
      </c>
      <c r="AC32" s="19">
        <f>IFERROR(IF(AB32&gt;=80,"🟢 Hyvä",IF(AB32&gt;=60,"🟡 Kehitys","🔴 Prioriteetti")),"")</f>
        <v/>
      </c>
      <c r="AD32" s="19">
        <f>IFERROR(IF(OR(F32="PHV-huippu",AB32&lt;60),"⚠️ MAX 60%","OK"),"")</f>
        <v/>
      </c>
      <c r="AE32" s="20" t="n"/>
      <c r="AF32" s="20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n"/>
      <c r="K33" s="15" t="n"/>
      <c r="L33" s="16" t="n"/>
      <c r="M33" s="15" t="n"/>
      <c r="N33" s="16" t="n"/>
      <c r="O33" s="15" t="n"/>
      <c r="P33" s="16" t="n"/>
      <c r="Q33" s="15" t="n"/>
      <c r="R33" s="16" t="n"/>
      <c r="S33" s="15" t="n"/>
      <c r="T33" s="16" t="n"/>
      <c r="U33" s="15" t="n"/>
      <c r="V33" s="16" t="n"/>
      <c r="W33" s="15" t="n"/>
      <c r="X33" s="16" t="n"/>
      <c r="Y33" s="15" t="n"/>
      <c r="Z33" s="16" t="n"/>
      <c r="AA33" s="17">
        <f>IFERROR(J33+L33+N33+P33+R33+T33+V33+X33+Z33,"")</f>
        <v/>
      </c>
      <c r="AB33" s="18">
        <f>IFERROR(ROUND(AA33/27*100,0),"")</f>
        <v/>
      </c>
      <c r="AC33" s="19">
        <f>IFERROR(IF(AB33&gt;=80,"🟢 Hyvä",IF(AB33&gt;=60,"🟡 Kehitys","🔴 Prioriteetti")),"")</f>
        <v/>
      </c>
      <c r="AD33" s="19">
        <f>IFERROR(IF(OR(F33="PHV-huippu",AB33&lt;60),"⚠️ MAX 60%","OK"),"")</f>
        <v/>
      </c>
      <c r="AE33" s="20" t="n"/>
      <c r="AF33" s="20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6" t="n"/>
      <c r="K34" s="15" t="n"/>
      <c r="L34" s="16" t="n"/>
      <c r="M34" s="15" t="n"/>
      <c r="N34" s="16" t="n"/>
      <c r="O34" s="15" t="n"/>
      <c r="P34" s="16" t="n"/>
      <c r="Q34" s="15" t="n"/>
      <c r="R34" s="16" t="n"/>
      <c r="S34" s="15" t="n"/>
      <c r="T34" s="16" t="n"/>
      <c r="U34" s="15" t="n"/>
      <c r="V34" s="16" t="n"/>
      <c r="W34" s="15" t="n"/>
      <c r="X34" s="16" t="n"/>
      <c r="Y34" s="15" t="n"/>
      <c r="Z34" s="16" t="n"/>
      <c r="AA34" s="17">
        <f>IFERROR(J34+L34+N34+P34+R34+T34+V34+X34+Z34,"")</f>
        <v/>
      </c>
      <c r="AB34" s="18">
        <f>IFERROR(ROUND(AA34/27*100,0),"")</f>
        <v/>
      </c>
      <c r="AC34" s="19">
        <f>IFERROR(IF(AB34&gt;=80,"🟢 Hyvä",IF(AB34&gt;=60,"🟡 Kehitys","🔴 Prioriteetti")),"")</f>
        <v/>
      </c>
      <c r="AD34" s="19">
        <f>IFERROR(IF(OR(F34="PHV-huippu",AB34&lt;60),"⚠️ MAX 60%","OK"),"")</f>
        <v/>
      </c>
      <c r="AE34" s="20" t="n"/>
      <c r="AF34" s="20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6" t="n"/>
      <c r="K35" s="15" t="n"/>
      <c r="L35" s="16" t="n"/>
      <c r="M35" s="15" t="n"/>
      <c r="N35" s="16" t="n"/>
      <c r="O35" s="15" t="n"/>
      <c r="P35" s="16" t="n"/>
      <c r="Q35" s="15" t="n"/>
      <c r="R35" s="16" t="n"/>
      <c r="S35" s="15" t="n"/>
      <c r="T35" s="16" t="n"/>
      <c r="U35" s="15" t="n"/>
      <c r="V35" s="16" t="n"/>
      <c r="W35" s="15" t="n"/>
      <c r="X35" s="16" t="n"/>
      <c r="Y35" s="15" t="n"/>
      <c r="Z35" s="16" t="n"/>
      <c r="AA35" s="17">
        <f>IFERROR(J35+L35+N35+P35+R35+T35+V35+X35+Z35,"")</f>
        <v/>
      </c>
      <c r="AB35" s="18">
        <f>IFERROR(ROUND(AA35/27*100,0),"")</f>
        <v/>
      </c>
      <c r="AC35" s="19">
        <f>IFERROR(IF(AB35&gt;=80,"🟢 Hyvä",IF(AB35&gt;=60,"🟡 Kehitys","🔴 Prioriteetti")),"")</f>
        <v/>
      </c>
      <c r="AD35" s="19">
        <f>IFERROR(IF(OR(F35="PHV-huippu",AB35&lt;60),"⚠️ MAX 60%","OK"),"")</f>
        <v/>
      </c>
      <c r="AE35" s="20" t="n"/>
      <c r="AF35" s="20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6" t="n"/>
      <c r="K36" s="15" t="n"/>
      <c r="L36" s="16" t="n"/>
      <c r="M36" s="15" t="n"/>
      <c r="N36" s="16" t="n"/>
      <c r="O36" s="15" t="n"/>
      <c r="P36" s="16" t="n"/>
      <c r="Q36" s="15" t="n"/>
      <c r="R36" s="16" t="n"/>
      <c r="S36" s="15" t="n"/>
      <c r="T36" s="16" t="n"/>
      <c r="U36" s="15" t="n"/>
      <c r="V36" s="16" t="n"/>
      <c r="W36" s="15" t="n"/>
      <c r="X36" s="16" t="n"/>
      <c r="Y36" s="15" t="n"/>
      <c r="Z36" s="16" t="n"/>
      <c r="AA36" s="17">
        <f>IFERROR(J36+L36+N36+P36+R36+T36+V36+X36+Z36,"")</f>
        <v/>
      </c>
      <c r="AB36" s="18">
        <f>IFERROR(ROUND(AA36/27*100,0),"")</f>
        <v/>
      </c>
      <c r="AC36" s="19">
        <f>IFERROR(IF(AB36&gt;=80,"🟢 Hyvä",IF(AB36&gt;=60,"🟡 Kehitys","🔴 Prioriteetti")),"")</f>
        <v/>
      </c>
      <c r="AD36" s="19">
        <f>IFERROR(IF(OR(F36="PHV-huippu",AB36&lt;60),"⚠️ MAX 60%","OK"),"")</f>
        <v/>
      </c>
      <c r="AE36" s="20" t="n"/>
      <c r="AF36" s="20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6" t="n"/>
      <c r="K37" s="15" t="n"/>
      <c r="L37" s="16" t="n"/>
      <c r="M37" s="15" t="n"/>
      <c r="N37" s="16" t="n"/>
      <c r="O37" s="15" t="n"/>
      <c r="P37" s="16" t="n"/>
      <c r="Q37" s="15" t="n"/>
      <c r="R37" s="16" t="n"/>
      <c r="S37" s="15" t="n"/>
      <c r="T37" s="16" t="n"/>
      <c r="U37" s="15" t="n"/>
      <c r="V37" s="16" t="n"/>
      <c r="W37" s="15" t="n"/>
      <c r="X37" s="16" t="n"/>
      <c r="Y37" s="15" t="n"/>
      <c r="Z37" s="16" t="n"/>
      <c r="AA37" s="17">
        <f>IFERROR(J37+L37+N37+P37+R37+T37+V37+X37+Z37,"")</f>
        <v/>
      </c>
      <c r="AB37" s="18">
        <f>IFERROR(ROUND(AA37/27*100,0),"")</f>
        <v/>
      </c>
      <c r="AC37" s="19">
        <f>IFERROR(IF(AB37&gt;=80,"🟢 Hyvä",IF(AB37&gt;=60,"🟡 Kehitys","🔴 Prioriteetti")),"")</f>
        <v/>
      </c>
      <c r="AD37" s="19">
        <f>IFERROR(IF(OR(F37="PHV-huippu",AB37&lt;60),"⚠️ MAX 60%","OK"),"")</f>
        <v/>
      </c>
      <c r="AE37" s="20" t="n"/>
      <c r="AF37" s="20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6" t="n"/>
      <c r="K38" s="15" t="n"/>
      <c r="L38" s="16" t="n"/>
      <c r="M38" s="15" t="n"/>
      <c r="N38" s="16" t="n"/>
      <c r="O38" s="15" t="n"/>
      <c r="P38" s="16" t="n"/>
      <c r="Q38" s="15" t="n"/>
      <c r="R38" s="16" t="n"/>
      <c r="S38" s="15" t="n"/>
      <c r="T38" s="16" t="n"/>
      <c r="U38" s="15" t="n"/>
      <c r="V38" s="16" t="n"/>
      <c r="W38" s="15" t="n"/>
      <c r="X38" s="16" t="n"/>
      <c r="Y38" s="15" t="n"/>
      <c r="Z38" s="16" t="n"/>
      <c r="AA38" s="17">
        <f>IFERROR(J38+L38+N38+P38+R38+T38+V38+X38+Z38,"")</f>
        <v/>
      </c>
      <c r="AB38" s="18">
        <f>IFERROR(ROUND(AA38/27*100,0),"")</f>
        <v/>
      </c>
      <c r="AC38" s="19">
        <f>IFERROR(IF(AB38&gt;=80,"🟢 Hyvä",IF(AB38&gt;=60,"🟡 Kehitys","🔴 Prioriteetti")),"")</f>
        <v/>
      </c>
      <c r="AD38" s="19">
        <f>IFERROR(IF(OR(F38="PHV-huippu",AB38&lt;60),"⚠️ MAX 60%","OK"),"")</f>
        <v/>
      </c>
      <c r="AE38" s="20" t="n"/>
      <c r="AF38" s="20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6" t="n"/>
      <c r="K39" s="15" t="n"/>
      <c r="L39" s="16" t="n"/>
      <c r="M39" s="15" t="n"/>
      <c r="N39" s="16" t="n"/>
      <c r="O39" s="15" t="n"/>
      <c r="P39" s="16" t="n"/>
      <c r="Q39" s="15" t="n"/>
      <c r="R39" s="16" t="n"/>
      <c r="S39" s="15" t="n"/>
      <c r="T39" s="16" t="n"/>
      <c r="U39" s="15" t="n"/>
      <c r="V39" s="16" t="n"/>
      <c r="W39" s="15" t="n"/>
      <c r="X39" s="16" t="n"/>
      <c r="Y39" s="15" t="n"/>
      <c r="Z39" s="16" t="n"/>
      <c r="AA39" s="17">
        <f>IFERROR(J39+L39+N39+P39+R39+T39+V39+X39+Z39,"")</f>
        <v/>
      </c>
      <c r="AB39" s="18">
        <f>IFERROR(ROUND(AA39/27*100,0),"")</f>
        <v/>
      </c>
      <c r="AC39" s="19">
        <f>IFERROR(IF(AB39&gt;=80,"🟢 Hyvä",IF(AB39&gt;=60,"🟡 Kehitys","🔴 Prioriteetti")),"")</f>
        <v/>
      </c>
      <c r="AD39" s="19">
        <f>IFERROR(IF(OR(F39="PHV-huippu",AB39&lt;60),"⚠️ MAX 60%","OK"),"")</f>
        <v/>
      </c>
      <c r="AE39" s="20" t="n"/>
      <c r="AF39" s="20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6" t="n"/>
      <c r="K40" s="15" t="n"/>
      <c r="L40" s="16" t="n"/>
      <c r="M40" s="15" t="n"/>
      <c r="N40" s="16" t="n"/>
      <c r="O40" s="15" t="n"/>
      <c r="P40" s="16" t="n"/>
      <c r="Q40" s="15" t="n"/>
      <c r="R40" s="16" t="n"/>
      <c r="S40" s="15" t="n"/>
      <c r="T40" s="16" t="n"/>
      <c r="U40" s="15" t="n"/>
      <c r="V40" s="16" t="n"/>
      <c r="W40" s="15" t="n"/>
      <c r="X40" s="16" t="n"/>
      <c r="Y40" s="15" t="n"/>
      <c r="Z40" s="16" t="n"/>
      <c r="AA40" s="17">
        <f>IFERROR(J40+L40+N40+P40+R40+T40+V40+X40+Z40,"")</f>
        <v/>
      </c>
      <c r="AB40" s="18">
        <f>IFERROR(ROUND(AA40/27*100,0),"")</f>
        <v/>
      </c>
      <c r="AC40" s="19">
        <f>IFERROR(IF(AB40&gt;=80,"🟢 Hyvä",IF(AB40&gt;=60,"🟡 Kehitys","🔴 Prioriteetti")),"")</f>
        <v/>
      </c>
      <c r="AD40" s="19">
        <f>IFERROR(IF(OR(F40="PHV-huippu",AB40&lt;60),"⚠️ MAX 60%","OK"),"")</f>
        <v/>
      </c>
      <c r="AE40" s="20" t="n"/>
      <c r="AF40" s="20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15" t="n"/>
      <c r="L41" s="16" t="n"/>
      <c r="M41" s="15" t="n"/>
      <c r="N41" s="16" t="n"/>
      <c r="O41" s="15" t="n"/>
      <c r="P41" s="16" t="n"/>
      <c r="Q41" s="15" t="n"/>
      <c r="R41" s="16" t="n"/>
      <c r="S41" s="15" t="n"/>
      <c r="T41" s="16" t="n"/>
      <c r="U41" s="15" t="n"/>
      <c r="V41" s="16" t="n"/>
      <c r="W41" s="15" t="n"/>
      <c r="X41" s="16" t="n"/>
      <c r="Y41" s="15" t="n"/>
      <c r="Z41" s="16" t="n"/>
      <c r="AA41" s="17">
        <f>IFERROR(J41+L41+N41+P41+R41+T41+V41+X41+Z41,"")</f>
        <v/>
      </c>
      <c r="AB41" s="18">
        <f>IFERROR(ROUND(AA41/27*100,0),"")</f>
        <v/>
      </c>
      <c r="AC41" s="19">
        <f>IFERROR(IF(AB41&gt;=80,"🟢 Hyvä",IF(AB41&gt;=60,"🟡 Kehitys","🔴 Prioriteetti")),"")</f>
        <v/>
      </c>
      <c r="AD41" s="19">
        <f>IFERROR(IF(OR(F41="PHV-huippu",AB41&lt;60),"⚠️ MAX 60%","OK"),"")</f>
        <v/>
      </c>
      <c r="AE41" s="20" t="n"/>
      <c r="AF41" s="20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15" t="n"/>
      <c r="L42" s="16" t="n"/>
      <c r="M42" s="15" t="n"/>
      <c r="N42" s="16" t="n"/>
      <c r="O42" s="15" t="n"/>
      <c r="P42" s="16" t="n"/>
      <c r="Q42" s="15" t="n"/>
      <c r="R42" s="16" t="n"/>
      <c r="S42" s="15" t="n"/>
      <c r="T42" s="16" t="n"/>
      <c r="U42" s="15" t="n"/>
      <c r="V42" s="16" t="n"/>
      <c r="W42" s="15" t="n"/>
      <c r="X42" s="16" t="n"/>
      <c r="Y42" s="15" t="n"/>
      <c r="Z42" s="16" t="n"/>
      <c r="AA42" s="17">
        <f>IFERROR(J42+L42+N42+P42+R42+T42+V42+X42+Z42,"")</f>
        <v/>
      </c>
      <c r="AB42" s="18">
        <f>IFERROR(ROUND(AA42/27*100,0),"")</f>
        <v/>
      </c>
      <c r="AC42" s="19">
        <f>IFERROR(IF(AB42&gt;=80,"🟢 Hyvä",IF(AB42&gt;=60,"🟡 Kehitys","🔴 Prioriteetti")),"")</f>
        <v/>
      </c>
      <c r="AD42" s="19">
        <f>IFERROR(IF(OR(F42="PHV-huippu",AB42&lt;60),"⚠️ MAX 60%","OK"),"")</f>
        <v/>
      </c>
      <c r="AE42" s="20" t="n"/>
      <c r="AF42" s="20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6" t="n"/>
      <c r="K43" s="15" t="n"/>
      <c r="L43" s="16" t="n"/>
      <c r="M43" s="15" t="n"/>
      <c r="N43" s="16" t="n"/>
      <c r="O43" s="15" t="n"/>
      <c r="P43" s="16" t="n"/>
      <c r="Q43" s="15" t="n"/>
      <c r="R43" s="16" t="n"/>
      <c r="S43" s="15" t="n"/>
      <c r="T43" s="16" t="n"/>
      <c r="U43" s="15" t="n"/>
      <c r="V43" s="16" t="n"/>
      <c r="W43" s="15" t="n"/>
      <c r="X43" s="16" t="n"/>
      <c r="Y43" s="15" t="n"/>
      <c r="Z43" s="16" t="n"/>
      <c r="AA43" s="17">
        <f>IFERROR(J43+L43+N43+P43+R43+T43+V43+X43+Z43,"")</f>
        <v/>
      </c>
      <c r="AB43" s="18">
        <f>IFERROR(ROUND(AA43/27*100,0),"")</f>
        <v/>
      </c>
      <c r="AC43" s="19">
        <f>IFERROR(IF(AB43&gt;=80,"🟢 Hyvä",IF(AB43&gt;=60,"🟡 Kehitys","🔴 Prioriteetti")),"")</f>
        <v/>
      </c>
      <c r="AD43" s="19">
        <f>IFERROR(IF(OR(F43="PHV-huippu",AB43&lt;60),"⚠️ MAX 60%","OK"),"")</f>
        <v/>
      </c>
      <c r="AE43" s="20" t="n"/>
      <c r="AF43" s="20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6" t="n"/>
      <c r="K44" s="15" t="n"/>
      <c r="L44" s="16" t="n"/>
      <c r="M44" s="15" t="n"/>
      <c r="N44" s="16" t="n"/>
      <c r="O44" s="15" t="n"/>
      <c r="P44" s="16" t="n"/>
      <c r="Q44" s="15" t="n"/>
      <c r="R44" s="16" t="n"/>
      <c r="S44" s="15" t="n"/>
      <c r="T44" s="16" t="n"/>
      <c r="U44" s="15" t="n"/>
      <c r="V44" s="16" t="n"/>
      <c r="W44" s="15" t="n"/>
      <c r="X44" s="16" t="n"/>
      <c r="Y44" s="15" t="n"/>
      <c r="Z44" s="16" t="n"/>
      <c r="AA44" s="17">
        <f>IFERROR(J44+L44+N44+P44+R44+T44+V44+X44+Z44,"")</f>
        <v/>
      </c>
      <c r="AB44" s="18">
        <f>IFERROR(ROUND(AA44/27*100,0),"")</f>
        <v/>
      </c>
      <c r="AC44" s="19">
        <f>IFERROR(IF(AB44&gt;=80,"🟢 Hyvä",IF(AB44&gt;=60,"🟡 Kehitys","🔴 Prioriteetti")),"")</f>
        <v/>
      </c>
      <c r="AD44" s="19">
        <f>IFERROR(IF(OR(F44="PHV-huippu",AB44&lt;60),"⚠️ MAX 60%","OK"),"")</f>
        <v/>
      </c>
      <c r="AE44" s="20" t="n"/>
      <c r="AF44" s="20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6" t="n"/>
      <c r="K45" s="15" t="n"/>
      <c r="L45" s="16" t="n"/>
      <c r="M45" s="15" t="n"/>
      <c r="N45" s="16" t="n"/>
      <c r="O45" s="15" t="n"/>
      <c r="P45" s="16" t="n"/>
      <c r="Q45" s="15" t="n"/>
      <c r="R45" s="16" t="n"/>
      <c r="S45" s="15" t="n"/>
      <c r="T45" s="16" t="n"/>
      <c r="U45" s="15" t="n"/>
      <c r="V45" s="16" t="n"/>
      <c r="W45" s="15" t="n"/>
      <c r="X45" s="16" t="n"/>
      <c r="Y45" s="15" t="n"/>
      <c r="Z45" s="16" t="n"/>
      <c r="AA45" s="17">
        <f>IFERROR(J45+L45+N45+P45+R45+T45+V45+X45+Z45,"")</f>
        <v/>
      </c>
      <c r="AB45" s="18">
        <f>IFERROR(ROUND(AA45/27*100,0),"")</f>
        <v/>
      </c>
      <c r="AC45" s="19">
        <f>IFERROR(IF(AB45&gt;=80,"🟢 Hyvä",IF(AB45&gt;=60,"🟡 Kehitys","🔴 Prioriteetti")),"")</f>
        <v/>
      </c>
      <c r="AD45" s="19">
        <f>IFERROR(IF(OR(F45="PHV-huippu",AB45&lt;60),"⚠️ MAX 60%","OK"),"")</f>
        <v/>
      </c>
      <c r="AE45" s="20" t="n"/>
      <c r="AF45" s="20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6" t="n"/>
      <c r="K46" s="15" t="n"/>
      <c r="L46" s="16" t="n"/>
      <c r="M46" s="15" t="n"/>
      <c r="N46" s="16" t="n"/>
      <c r="O46" s="15" t="n"/>
      <c r="P46" s="16" t="n"/>
      <c r="Q46" s="15" t="n"/>
      <c r="R46" s="16" t="n"/>
      <c r="S46" s="15" t="n"/>
      <c r="T46" s="16" t="n"/>
      <c r="U46" s="15" t="n"/>
      <c r="V46" s="16" t="n"/>
      <c r="W46" s="15" t="n"/>
      <c r="X46" s="16" t="n"/>
      <c r="Y46" s="15" t="n"/>
      <c r="Z46" s="16" t="n"/>
      <c r="AA46" s="17">
        <f>IFERROR(J46+L46+N46+P46+R46+T46+V46+X46+Z46,"")</f>
        <v/>
      </c>
      <c r="AB46" s="18">
        <f>IFERROR(ROUND(AA46/27*100,0),"")</f>
        <v/>
      </c>
      <c r="AC46" s="19">
        <f>IFERROR(IF(AB46&gt;=80,"🟢 Hyvä",IF(AB46&gt;=60,"🟡 Kehitys","🔴 Prioriteetti")),"")</f>
        <v/>
      </c>
      <c r="AD46" s="19">
        <f>IFERROR(IF(OR(F46="PHV-huippu",AB46&lt;60),"⚠️ MAX 60%","OK"),"")</f>
        <v/>
      </c>
      <c r="AE46" s="20" t="n"/>
      <c r="AF46" s="20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6" t="n"/>
      <c r="K47" s="15" t="n"/>
      <c r="L47" s="16" t="n"/>
      <c r="M47" s="15" t="n"/>
      <c r="N47" s="16" t="n"/>
      <c r="O47" s="15" t="n"/>
      <c r="P47" s="16" t="n"/>
      <c r="Q47" s="15" t="n"/>
      <c r="R47" s="16" t="n"/>
      <c r="S47" s="15" t="n"/>
      <c r="T47" s="16" t="n"/>
      <c r="U47" s="15" t="n"/>
      <c r="V47" s="16" t="n"/>
      <c r="W47" s="15" t="n"/>
      <c r="X47" s="16" t="n"/>
      <c r="Y47" s="15" t="n"/>
      <c r="Z47" s="16" t="n"/>
      <c r="AA47" s="17">
        <f>IFERROR(J47+L47+N47+P47+R47+T47+V47+X47+Z47,"")</f>
        <v/>
      </c>
      <c r="AB47" s="18">
        <f>IFERROR(ROUND(AA47/27*100,0),"")</f>
        <v/>
      </c>
      <c r="AC47" s="19">
        <f>IFERROR(IF(AB47&gt;=80,"🟢 Hyvä",IF(AB47&gt;=60,"🟡 Kehitys","🔴 Prioriteetti")),"")</f>
        <v/>
      </c>
      <c r="AD47" s="19">
        <f>IFERROR(IF(OR(F47="PHV-huippu",AB47&lt;60),"⚠️ MAX 60%","OK"),"")</f>
        <v/>
      </c>
      <c r="AE47" s="20" t="n"/>
      <c r="AF47" s="20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6" t="n"/>
      <c r="K48" s="15" t="n"/>
      <c r="L48" s="16" t="n"/>
      <c r="M48" s="15" t="n"/>
      <c r="N48" s="16" t="n"/>
      <c r="O48" s="15" t="n"/>
      <c r="P48" s="16" t="n"/>
      <c r="Q48" s="15" t="n"/>
      <c r="R48" s="16" t="n"/>
      <c r="S48" s="15" t="n"/>
      <c r="T48" s="16" t="n"/>
      <c r="U48" s="15" t="n"/>
      <c r="V48" s="16" t="n"/>
      <c r="W48" s="15" t="n"/>
      <c r="X48" s="16" t="n"/>
      <c r="Y48" s="15" t="n"/>
      <c r="Z48" s="16" t="n"/>
      <c r="AA48" s="17">
        <f>IFERROR(J48+L48+N48+P48+R48+T48+V48+X48+Z48,"")</f>
        <v/>
      </c>
      <c r="AB48" s="18">
        <f>IFERROR(ROUND(AA48/27*100,0),"")</f>
        <v/>
      </c>
      <c r="AC48" s="19">
        <f>IFERROR(IF(AB48&gt;=80,"🟢 Hyvä",IF(AB48&gt;=60,"🟡 Kehitys","🔴 Prioriteetti")),"")</f>
        <v/>
      </c>
      <c r="AD48" s="19">
        <f>IFERROR(IF(OR(F48="PHV-huippu",AB48&lt;60),"⚠️ MAX 60%","OK"),"")</f>
        <v/>
      </c>
      <c r="AE48" s="20" t="n"/>
      <c r="AF48" s="20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6" t="n"/>
      <c r="K49" s="15" t="n"/>
      <c r="L49" s="16" t="n"/>
      <c r="M49" s="15" t="n"/>
      <c r="N49" s="16" t="n"/>
      <c r="O49" s="15" t="n"/>
      <c r="P49" s="16" t="n"/>
      <c r="Q49" s="15" t="n"/>
      <c r="R49" s="16" t="n"/>
      <c r="S49" s="15" t="n"/>
      <c r="T49" s="16" t="n"/>
      <c r="U49" s="15" t="n"/>
      <c r="V49" s="16" t="n"/>
      <c r="W49" s="15" t="n"/>
      <c r="X49" s="16" t="n"/>
      <c r="Y49" s="15" t="n"/>
      <c r="Z49" s="16" t="n"/>
      <c r="AA49" s="17">
        <f>IFERROR(J49+L49+N49+P49+R49+T49+V49+X49+Z49,"")</f>
        <v/>
      </c>
      <c r="AB49" s="18">
        <f>IFERROR(ROUND(AA49/27*100,0),"")</f>
        <v/>
      </c>
      <c r="AC49" s="19">
        <f>IFERROR(IF(AB49&gt;=80,"🟢 Hyvä",IF(AB49&gt;=60,"🟡 Kehitys","🔴 Prioriteetti")),"")</f>
        <v/>
      </c>
      <c r="AD49" s="19">
        <f>IFERROR(IF(OR(F49="PHV-huippu",AB49&lt;60),"⚠️ MAX 60%","OK"),"")</f>
        <v/>
      </c>
      <c r="AE49" s="20" t="n"/>
      <c r="AF49" s="20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6" t="n"/>
      <c r="K50" s="15" t="n"/>
      <c r="L50" s="16" t="n"/>
      <c r="M50" s="15" t="n"/>
      <c r="N50" s="16" t="n"/>
      <c r="O50" s="15" t="n"/>
      <c r="P50" s="16" t="n"/>
      <c r="Q50" s="15" t="n"/>
      <c r="R50" s="16" t="n"/>
      <c r="S50" s="15" t="n"/>
      <c r="T50" s="16" t="n"/>
      <c r="U50" s="15" t="n"/>
      <c r="V50" s="16" t="n"/>
      <c r="W50" s="15" t="n"/>
      <c r="X50" s="16" t="n"/>
      <c r="Y50" s="15" t="n"/>
      <c r="Z50" s="16" t="n"/>
      <c r="AA50" s="17">
        <f>IFERROR(J50+L50+N50+P50+R50+T50+V50+X50+Z50,"")</f>
        <v/>
      </c>
      <c r="AB50" s="18">
        <f>IFERROR(ROUND(AA50/27*100,0),"")</f>
        <v/>
      </c>
      <c r="AC50" s="19">
        <f>IFERROR(IF(AB50&gt;=80,"🟢 Hyvä",IF(AB50&gt;=60,"🟡 Kehitys","🔴 Prioriteetti")),"")</f>
        <v/>
      </c>
      <c r="AD50" s="19">
        <f>IFERROR(IF(OR(F50="PHV-huippu",AB50&lt;60),"⚠️ MAX 60%","OK"),"")</f>
        <v/>
      </c>
      <c r="AE50" s="20" t="n"/>
      <c r="AF50" s="20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6" t="n"/>
      <c r="K51" s="15" t="n"/>
      <c r="L51" s="16" t="n"/>
      <c r="M51" s="15" t="n"/>
      <c r="N51" s="16" t="n"/>
      <c r="O51" s="15" t="n"/>
      <c r="P51" s="16" t="n"/>
      <c r="Q51" s="15" t="n"/>
      <c r="R51" s="16" t="n"/>
      <c r="S51" s="15" t="n"/>
      <c r="T51" s="16" t="n"/>
      <c r="U51" s="15" t="n"/>
      <c r="V51" s="16" t="n"/>
      <c r="W51" s="15" t="n"/>
      <c r="X51" s="16" t="n"/>
      <c r="Y51" s="15" t="n"/>
      <c r="Z51" s="16" t="n"/>
      <c r="AA51" s="17">
        <f>IFERROR(J51+L51+N51+P51+R51+T51+V51+X51+Z51,"")</f>
        <v/>
      </c>
      <c r="AB51" s="18">
        <f>IFERROR(ROUND(AA51/27*100,0),"")</f>
        <v/>
      </c>
      <c r="AC51" s="19">
        <f>IFERROR(IF(AB51&gt;=80,"🟢 Hyvä",IF(AB51&gt;=60,"🟡 Kehitys","🔴 Prioriteetti")),"")</f>
        <v/>
      </c>
      <c r="AD51" s="19">
        <f>IFERROR(IF(OR(F51="PHV-huippu",AB51&lt;60),"⚠️ MAX 60%","OK"),"")</f>
        <v/>
      </c>
      <c r="AE51" s="20" t="n"/>
      <c r="AF51" s="20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6" t="n"/>
      <c r="K52" s="15" t="n"/>
      <c r="L52" s="16" t="n"/>
      <c r="M52" s="15" t="n"/>
      <c r="N52" s="16" t="n"/>
      <c r="O52" s="15" t="n"/>
      <c r="P52" s="16" t="n"/>
      <c r="Q52" s="15" t="n"/>
      <c r="R52" s="16" t="n"/>
      <c r="S52" s="15" t="n"/>
      <c r="T52" s="16" t="n"/>
      <c r="U52" s="15" t="n"/>
      <c r="V52" s="16" t="n"/>
      <c r="W52" s="15" t="n"/>
      <c r="X52" s="16" t="n"/>
      <c r="Y52" s="15" t="n"/>
      <c r="Z52" s="16" t="n"/>
      <c r="AA52" s="17">
        <f>IFERROR(J52+L52+N52+P52+R52+T52+V52+X52+Z52,"")</f>
        <v/>
      </c>
      <c r="AB52" s="18">
        <f>IFERROR(ROUND(AA52/27*100,0),"")</f>
        <v/>
      </c>
      <c r="AC52" s="19">
        <f>IFERROR(IF(AB52&gt;=80,"🟢 Hyvä",IF(AB52&gt;=60,"🟡 Kehitys","🔴 Prioriteetti")),"")</f>
        <v/>
      </c>
      <c r="AD52" s="19">
        <f>IFERROR(IF(OR(F52="PHV-huippu",AB52&lt;60),"⚠️ MAX 60%","OK"),"")</f>
        <v/>
      </c>
      <c r="AE52" s="20" t="n"/>
      <c r="AF52" s="20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6" t="n"/>
      <c r="K53" s="15" t="n"/>
      <c r="L53" s="16" t="n"/>
      <c r="M53" s="15" t="n"/>
      <c r="N53" s="16" t="n"/>
      <c r="O53" s="15" t="n"/>
      <c r="P53" s="16" t="n"/>
      <c r="Q53" s="15" t="n"/>
      <c r="R53" s="16" t="n"/>
      <c r="S53" s="15" t="n"/>
      <c r="T53" s="16" t="n"/>
      <c r="U53" s="15" t="n"/>
      <c r="V53" s="16" t="n"/>
      <c r="W53" s="15" t="n"/>
      <c r="X53" s="16" t="n"/>
      <c r="Y53" s="15" t="n"/>
      <c r="Z53" s="16" t="n"/>
      <c r="AA53" s="17">
        <f>IFERROR(J53+L53+N53+P53+R53+T53+V53+X53+Z53,"")</f>
        <v/>
      </c>
      <c r="AB53" s="18">
        <f>IFERROR(ROUND(AA53/27*100,0),"")</f>
        <v/>
      </c>
      <c r="AC53" s="19">
        <f>IFERROR(IF(AB53&gt;=80,"🟢 Hyvä",IF(AB53&gt;=60,"🟡 Kehitys","🔴 Prioriteetti")),"")</f>
        <v/>
      </c>
      <c r="AD53" s="19">
        <f>IFERROR(IF(OR(F53="PHV-huippu",AB53&lt;60),"⚠️ MAX 60%","OK"),"")</f>
        <v/>
      </c>
      <c r="AE53" s="20" t="n"/>
      <c r="AF53" s="20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6" t="n"/>
      <c r="K54" s="15" t="n"/>
      <c r="L54" s="16" t="n"/>
      <c r="M54" s="15" t="n"/>
      <c r="N54" s="16" t="n"/>
      <c r="O54" s="15" t="n"/>
      <c r="P54" s="16" t="n"/>
      <c r="Q54" s="15" t="n"/>
      <c r="R54" s="16" t="n"/>
      <c r="S54" s="15" t="n"/>
      <c r="T54" s="16" t="n"/>
      <c r="U54" s="15" t="n"/>
      <c r="V54" s="16" t="n"/>
      <c r="W54" s="15" t="n"/>
      <c r="X54" s="16" t="n"/>
      <c r="Y54" s="15" t="n"/>
      <c r="Z54" s="16" t="n"/>
      <c r="AA54" s="17">
        <f>IFERROR(J54+L54+N54+P54+R54+T54+V54+X54+Z54,"")</f>
        <v/>
      </c>
      <c r="AB54" s="18">
        <f>IFERROR(ROUND(AA54/27*100,0),"")</f>
        <v/>
      </c>
      <c r="AC54" s="19">
        <f>IFERROR(IF(AB54&gt;=80,"🟢 Hyvä",IF(AB54&gt;=60,"🟡 Kehitys","🔴 Prioriteetti")),"")</f>
        <v/>
      </c>
      <c r="AD54" s="19">
        <f>IFERROR(IF(OR(F54="PHV-huippu",AB54&lt;60),"⚠️ MAX 60%","OK"),"")</f>
        <v/>
      </c>
      <c r="AE54" s="20" t="n"/>
      <c r="AF54" s="20" t="n"/>
    </row>
  </sheetData>
  <mergeCells count="2">
    <mergeCell ref="A1:AF1"/>
    <mergeCell ref="A2:AF2"/>
  </mergeCells>
  <dataValidations count="450">
    <dataValidation sqref="J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4" showDropDown="0" showInputMessage="0" showErrorMessage="1" allowBlank="0" errorTitle="Virheellinen arvo" error="Syötä vain 1, 2 tai 3" type="whole" operator="between">
      <formula1>1</formula1>
      <formula2>3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6B35"/>
    <outlinePr summaryBelow="1" summaryRight="1"/>
    <pageSetUpPr/>
  </sheetPr>
  <dimension ref="A1:AN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7" customWidth="1" min="3" max="3"/>
    <col width="5" customWidth="1" min="4" max="4"/>
    <col width="12" customWidth="1" min="5" max="5"/>
    <col width="10" customWidth="1" min="6" max="6"/>
    <col width="14" customWidth="1" min="7" max="7"/>
    <col width="14" customWidth="1" min="8" max="8"/>
    <col width="11" customWidth="1" min="9" max="9"/>
    <col width="6" customWidth="1" min="10" max="10"/>
    <col width="11" customWidth="1" min="11" max="11"/>
    <col width="6" customWidth="1" min="12" max="12"/>
    <col width="11" customWidth="1" min="13" max="13"/>
    <col width="6" customWidth="1" min="14" max="14"/>
    <col width="11" customWidth="1" min="15" max="15"/>
    <col width="6" customWidth="1" min="16" max="16"/>
    <col width="11" customWidth="1" min="17" max="17"/>
    <col width="6" customWidth="1" min="18" max="18"/>
    <col width="11" customWidth="1" min="19" max="19"/>
    <col width="6" customWidth="1" min="20" max="20"/>
    <col width="11" customWidth="1" min="21" max="21"/>
    <col width="6" customWidth="1" min="22" max="22"/>
    <col width="11" customWidth="1" min="23" max="23"/>
    <col width="6" customWidth="1" min="24" max="24"/>
    <col width="11" customWidth="1" min="25" max="25"/>
    <col width="6" customWidth="1" min="26" max="26"/>
    <col width="11" customWidth="1" min="27" max="27"/>
    <col width="6" customWidth="1" min="28" max="28"/>
    <col width="11" customWidth="1" min="29" max="29"/>
    <col width="6" customWidth="1" min="30" max="30"/>
    <col width="11" customWidth="1" min="31" max="31"/>
    <col width="6" customWidth="1" min="32" max="32"/>
    <col width="11" customWidth="1" min="33" max="33"/>
    <col width="6" customWidth="1" min="34" max="34"/>
    <col width="9" customWidth="1" min="35" max="35"/>
    <col width="9" customWidth="1" min="36" max="36"/>
    <col width="9" customWidth="1" min="37" max="37"/>
    <col width="9" customWidth="1" min="38" max="38"/>
    <col width="22" customWidth="1" min="39" max="39"/>
    <col width="22" customWidth="1" min="40" max="40"/>
  </cols>
  <sheetData>
    <row r="1" ht="28" customHeight="1">
      <c r="A1" s="8" t="inlineStr">
        <is>
          <t>HARJOITETTAVUUSKARTOITUS U15 — 13–15-vuotiaat | ⚠️ KRIITTINEN PHV-IKÄLUOKKA</t>
        </is>
      </c>
    </row>
    <row r="2" ht="20" customHeight="1">
      <c r="A2" s="21" t="inlineStr">
        <is>
          <t>⚠️ Tarkista PHV-tila ENNEN testausta. PHV-HUIPPU → MAX 60% kuorma. Lantionnosto &lt;29 tst + kantakipu → VÄLITÖN referral.</t>
        </is>
      </c>
    </row>
    <row r="3" ht="18" customHeight="1">
      <c r="A3" s="10" t="inlineStr">
        <is>
          <t>Seura:</t>
        </is>
      </c>
      <c r="B3" s="11" t="n"/>
      <c r="D3" s="10" t="inlineStr">
        <is>
          <t>Kausi:</t>
        </is>
      </c>
      <c r="E3" s="11" t="n"/>
      <c r="G3" s="10" t="inlineStr">
        <is>
          <t>Joukkue:</t>
        </is>
      </c>
      <c r="H3" s="11" t="n"/>
    </row>
    <row r="4" ht="32" customHeight="1">
      <c r="A4" s="12" t="inlineStr">
        <is>
          <t>PelaajaID</t>
        </is>
      </c>
      <c r="B4" s="12" t="inlineStr">
        <is>
          <t>Nimi</t>
        </is>
      </c>
      <c r="C4" s="12" t="inlineStr">
        <is>
          <t>Sukup
(P/T)</t>
        </is>
      </c>
      <c r="D4" s="12" t="inlineStr">
        <is>
          <t>Ikä
(v)</t>
        </is>
      </c>
      <c r="E4" s="12" t="inlineStr">
        <is>
          <t>Testaus
pvm</t>
        </is>
      </c>
      <c r="F4" s="12" t="inlineStr">
        <is>
          <t>PHV-
tila</t>
        </is>
      </c>
      <c r="G4" s="12" t="inlineStr">
        <is>
          <t>Joukkue</t>
        </is>
      </c>
      <c r="H4" s="12" t="inlineStr">
        <is>
          <t>Arvioija</t>
        </is>
      </c>
      <c r="I4" s="13" t="inlineStr">
        <is>
          <t>Pistoolikyykky
(tulos)</t>
        </is>
      </c>
      <c r="J4" s="13" t="inlineStr">
        <is>
          <t>Pist.
1–3</t>
        </is>
      </c>
      <c r="K4" s="13" t="inlineStr">
        <is>
          <t>Etunojapunnerrus
(tulos)</t>
        </is>
      </c>
      <c r="L4" s="13" t="inlineStr">
        <is>
          <t>Pist.
1–3</t>
        </is>
      </c>
      <c r="M4" s="13" t="inlineStr">
        <is>
          <t>Leuanveto
(tulos)</t>
        </is>
      </c>
      <c r="N4" s="13" t="inlineStr">
        <is>
          <t>Pist.
1–3</t>
        </is>
      </c>
      <c r="O4" s="13" t="inlineStr">
        <is>
          <t>Jalkojen nosto
(tulos)</t>
        </is>
      </c>
      <c r="P4" s="13" t="inlineStr">
        <is>
          <t>Pist.
1–3</t>
        </is>
      </c>
      <c r="Q4" s="13" t="inlineStr">
        <is>
          <t>Lankku 120s
(tulos)</t>
        </is>
      </c>
      <c r="R4" s="13" t="inlineStr">
        <is>
          <t>Pist.
1–3</t>
        </is>
      </c>
      <c r="S4" s="13" t="inlineStr">
        <is>
          <t>Sivulankku 60s
(tulos)</t>
        </is>
      </c>
      <c r="T4" s="13" t="inlineStr">
        <is>
          <t>Pist.
1–3</t>
        </is>
      </c>
      <c r="U4" s="13" t="inlineStr">
        <is>
          <t>Lantionnosto
(tulos)</t>
        </is>
      </c>
      <c r="V4" s="13" t="inlineStr">
        <is>
          <t>Pist.
1–3</t>
        </is>
      </c>
      <c r="W4" s="13" t="inlineStr">
        <is>
          <t>Naruhypyt 30s
(tulos)</t>
        </is>
      </c>
      <c r="X4" s="13" t="inlineStr">
        <is>
          <t>Pist.
1–3</t>
        </is>
      </c>
      <c r="Y4" s="13" t="inlineStr">
        <is>
          <t>Päkiänousu
(tulos)</t>
        </is>
      </c>
      <c r="Z4" s="13" t="inlineStr">
        <is>
          <t>Pist.
1–3</t>
        </is>
      </c>
      <c r="AA4" s="13" t="inlineStr">
        <is>
          <t>SLR neuraalinen
(tulos)</t>
        </is>
      </c>
      <c r="AB4" s="13" t="inlineStr">
        <is>
          <t>Pist.
1–3</t>
        </is>
      </c>
      <c r="AC4" s="13" t="inlineStr">
        <is>
          <t>Thomas-testi
(tulos)</t>
        </is>
      </c>
      <c r="AD4" s="13" t="inlineStr">
        <is>
          <t>Pist.
1–3</t>
        </is>
      </c>
      <c r="AE4" s="13" t="inlineStr">
        <is>
          <t>Pituushyppy
(tulos)</t>
        </is>
      </c>
      <c r="AF4" s="13" t="inlineStr">
        <is>
          <t>Pist.
1–3</t>
        </is>
      </c>
      <c r="AG4" s="13" t="inlineStr">
        <is>
          <t>5-loikka
(tulos)</t>
        </is>
      </c>
      <c r="AH4" s="13" t="inlineStr">
        <is>
          <t>Pist.
1–3</t>
        </is>
      </c>
      <c r="AI4" s="14" t="inlineStr">
        <is>
          <t>Kokon.
pisteet</t>
        </is>
      </c>
      <c r="AJ4" s="14" t="inlineStr">
        <is>
          <t>FLEI
(%)</t>
        </is>
      </c>
      <c r="AK4" s="14" t="inlineStr">
        <is>
          <t>FLEI-
taso</t>
        </is>
      </c>
      <c r="AL4" s="14" t="inlineStr">
        <is>
          <t>Kuorma-
rajoitin</t>
        </is>
      </c>
      <c r="AM4" s="14" t="inlineStr">
        <is>
          <t>Huomiot</t>
        </is>
      </c>
      <c r="AN4" s="14" t="inlineStr">
        <is>
          <t>ASI-
huomio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6" t="n"/>
      <c r="K5" s="15" t="n"/>
      <c r="L5" s="16" t="n"/>
      <c r="M5" s="15" t="n"/>
      <c r="N5" s="16" t="n"/>
      <c r="O5" s="15" t="n"/>
      <c r="P5" s="16" t="n"/>
      <c r="Q5" s="15" t="n"/>
      <c r="R5" s="16" t="n"/>
      <c r="S5" s="15" t="n"/>
      <c r="T5" s="16" t="n"/>
      <c r="U5" s="15" t="n"/>
      <c r="V5" s="16" t="n"/>
      <c r="W5" s="15" t="n"/>
      <c r="X5" s="16" t="n"/>
      <c r="Y5" s="15" t="n"/>
      <c r="Z5" s="16" t="n"/>
      <c r="AA5" s="15" t="n"/>
      <c r="AB5" s="16" t="n"/>
      <c r="AC5" s="15" t="n"/>
      <c r="AD5" s="16" t="n"/>
      <c r="AE5" s="15" t="n"/>
      <c r="AF5" s="16" t="n"/>
      <c r="AG5" s="15" t="n"/>
      <c r="AH5" s="16" t="n"/>
      <c r="AI5" s="17">
        <f>IFERROR(J5+L5+N5+P5+R5+T5+V5+X5+Z5+AB5+AD5+AF5+AH5,"")</f>
        <v/>
      </c>
      <c r="AJ5" s="18">
        <f>IFERROR(ROUND(AI5/39*100,0),"")</f>
        <v/>
      </c>
      <c r="AK5" s="19">
        <f>IFERROR(IF(AJ5&gt;=80,"🟢 Hyvä",IF(AJ5&gt;=60,"🟡 Kehitys","🔴 Prioriteetti")),"")</f>
        <v/>
      </c>
      <c r="AL5" s="19">
        <f>IFERROR(IF(OR(F5="PHV-huippu",AJ5&lt;60),"⚠️ MAX 60%","OK"),"")</f>
        <v/>
      </c>
      <c r="AM5" s="20" t="n"/>
      <c r="AN5" s="20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6" t="n"/>
      <c r="K6" s="15" t="n"/>
      <c r="L6" s="16" t="n"/>
      <c r="M6" s="15" t="n"/>
      <c r="N6" s="16" t="n"/>
      <c r="O6" s="15" t="n"/>
      <c r="P6" s="16" t="n"/>
      <c r="Q6" s="15" t="n"/>
      <c r="R6" s="16" t="n"/>
      <c r="S6" s="15" t="n"/>
      <c r="T6" s="16" t="n"/>
      <c r="U6" s="15" t="n"/>
      <c r="V6" s="16" t="n"/>
      <c r="W6" s="15" t="n"/>
      <c r="X6" s="16" t="n"/>
      <c r="Y6" s="15" t="n"/>
      <c r="Z6" s="16" t="n"/>
      <c r="AA6" s="15" t="n"/>
      <c r="AB6" s="16" t="n"/>
      <c r="AC6" s="15" t="n"/>
      <c r="AD6" s="16" t="n"/>
      <c r="AE6" s="15" t="n"/>
      <c r="AF6" s="16" t="n"/>
      <c r="AG6" s="15" t="n"/>
      <c r="AH6" s="16" t="n"/>
      <c r="AI6" s="17">
        <f>IFERROR(J6+L6+N6+P6+R6+T6+V6+X6+Z6+AB6+AD6+AF6+AH6,"")</f>
        <v/>
      </c>
      <c r="AJ6" s="18">
        <f>IFERROR(ROUND(AI6/39*100,0),"")</f>
        <v/>
      </c>
      <c r="AK6" s="19">
        <f>IFERROR(IF(AJ6&gt;=80,"🟢 Hyvä",IF(AJ6&gt;=60,"🟡 Kehitys","🔴 Prioriteetti")),"")</f>
        <v/>
      </c>
      <c r="AL6" s="19">
        <f>IFERROR(IF(OR(F6="PHV-huippu",AJ6&lt;60),"⚠️ MAX 60%","OK"),"")</f>
        <v/>
      </c>
      <c r="AM6" s="20" t="n"/>
      <c r="AN6" s="20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6" t="n"/>
      <c r="K7" s="15" t="n"/>
      <c r="L7" s="16" t="n"/>
      <c r="M7" s="15" t="n"/>
      <c r="N7" s="16" t="n"/>
      <c r="O7" s="15" t="n"/>
      <c r="P7" s="16" t="n"/>
      <c r="Q7" s="15" t="n"/>
      <c r="R7" s="16" t="n"/>
      <c r="S7" s="15" t="n"/>
      <c r="T7" s="16" t="n"/>
      <c r="U7" s="15" t="n"/>
      <c r="V7" s="16" t="n"/>
      <c r="W7" s="15" t="n"/>
      <c r="X7" s="16" t="n"/>
      <c r="Y7" s="15" t="n"/>
      <c r="Z7" s="16" t="n"/>
      <c r="AA7" s="15" t="n"/>
      <c r="AB7" s="16" t="n"/>
      <c r="AC7" s="15" t="n"/>
      <c r="AD7" s="16" t="n"/>
      <c r="AE7" s="15" t="n"/>
      <c r="AF7" s="16" t="n"/>
      <c r="AG7" s="15" t="n"/>
      <c r="AH7" s="16" t="n"/>
      <c r="AI7" s="17">
        <f>IFERROR(J7+L7+N7+P7+R7+T7+V7+X7+Z7+AB7+AD7+AF7+AH7,"")</f>
        <v/>
      </c>
      <c r="AJ7" s="18">
        <f>IFERROR(ROUND(AI7/39*100,0),"")</f>
        <v/>
      </c>
      <c r="AK7" s="19">
        <f>IFERROR(IF(AJ7&gt;=80,"🟢 Hyvä",IF(AJ7&gt;=60,"🟡 Kehitys","🔴 Prioriteetti")),"")</f>
        <v/>
      </c>
      <c r="AL7" s="19">
        <f>IFERROR(IF(OR(F7="PHV-huippu",AJ7&lt;60),"⚠️ MAX 60%","OK"),"")</f>
        <v/>
      </c>
      <c r="AM7" s="20" t="n"/>
      <c r="AN7" s="20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6" t="n"/>
      <c r="K8" s="15" t="n"/>
      <c r="L8" s="16" t="n"/>
      <c r="M8" s="15" t="n"/>
      <c r="N8" s="16" t="n"/>
      <c r="O8" s="15" t="n"/>
      <c r="P8" s="16" t="n"/>
      <c r="Q8" s="15" t="n"/>
      <c r="R8" s="16" t="n"/>
      <c r="S8" s="15" t="n"/>
      <c r="T8" s="16" t="n"/>
      <c r="U8" s="15" t="n"/>
      <c r="V8" s="16" t="n"/>
      <c r="W8" s="15" t="n"/>
      <c r="X8" s="16" t="n"/>
      <c r="Y8" s="15" t="n"/>
      <c r="Z8" s="16" t="n"/>
      <c r="AA8" s="15" t="n"/>
      <c r="AB8" s="16" t="n"/>
      <c r="AC8" s="15" t="n"/>
      <c r="AD8" s="16" t="n"/>
      <c r="AE8" s="15" t="n"/>
      <c r="AF8" s="16" t="n"/>
      <c r="AG8" s="15" t="n"/>
      <c r="AH8" s="16" t="n"/>
      <c r="AI8" s="17">
        <f>IFERROR(J8+L8+N8+P8+R8+T8+V8+X8+Z8+AB8+AD8+AF8+AH8,"")</f>
        <v/>
      </c>
      <c r="AJ8" s="18">
        <f>IFERROR(ROUND(AI8/39*100,0),"")</f>
        <v/>
      </c>
      <c r="AK8" s="19">
        <f>IFERROR(IF(AJ8&gt;=80,"🟢 Hyvä",IF(AJ8&gt;=60,"🟡 Kehitys","🔴 Prioriteetti")),"")</f>
        <v/>
      </c>
      <c r="AL8" s="19">
        <f>IFERROR(IF(OR(F8="PHV-huippu",AJ8&lt;60),"⚠️ MAX 60%","OK"),"")</f>
        <v/>
      </c>
      <c r="AM8" s="20" t="n"/>
      <c r="AN8" s="20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6" t="n"/>
      <c r="K9" s="15" t="n"/>
      <c r="L9" s="16" t="n"/>
      <c r="M9" s="15" t="n"/>
      <c r="N9" s="16" t="n"/>
      <c r="O9" s="15" t="n"/>
      <c r="P9" s="16" t="n"/>
      <c r="Q9" s="15" t="n"/>
      <c r="R9" s="16" t="n"/>
      <c r="S9" s="15" t="n"/>
      <c r="T9" s="16" t="n"/>
      <c r="U9" s="15" t="n"/>
      <c r="V9" s="16" t="n"/>
      <c r="W9" s="15" t="n"/>
      <c r="X9" s="16" t="n"/>
      <c r="Y9" s="15" t="n"/>
      <c r="Z9" s="16" t="n"/>
      <c r="AA9" s="15" t="n"/>
      <c r="AB9" s="16" t="n"/>
      <c r="AC9" s="15" t="n"/>
      <c r="AD9" s="16" t="n"/>
      <c r="AE9" s="15" t="n"/>
      <c r="AF9" s="16" t="n"/>
      <c r="AG9" s="15" t="n"/>
      <c r="AH9" s="16" t="n"/>
      <c r="AI9" s="17">
        <f>IFERROR(J9+L9+N9+P9+R9+T9+V9+X9+Z9+AB9+AD9+AF9+AH9,"")</f>
        <v/>
      </c>
      <c r="AJ9" s="18">
        <f>IFERROR(ROUND(AI9/39*100,0),"")</f>
        <v/>
      </c>
      <c r="AK9" s="19">
        <f>IFERROR(IF(AJ9&gt;=80,"🟢 Hyvä",IF(AJ9&gt;=60,"🟡 Kehitys","🔴 Prioriteetti")),"")</f>
        <v/>
      </c>
      <c r="AL9" s="19">
        <f>IFERROR(IF(OR(F9="PHV-huippu",AJ9&lt;60),"⚠️ MAX 60%","OK"),"")</f>
        <v/>
      </c>
      <c r="AM9" s="20" t="n"/>
      <c r="AN9" s="20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 t="n"/>
      <c r="K10" s="15" t="n"/>
      <c r="L10" s="16" t="n"/>
      <c r="M10" s="15" t="n"/>
      <c r="N10" s="16" t="n"/>
      <c r="O10" s="15" t="n"/>
      <c r="P10" s="16" t="n"/>
      <c r="Q10" s="15" t="n"/>
      <c r="R10" s="16" t="n"/>
      <c r="S10" s="15" t="n"/>
      <c r="T10" s="16" t="n"/>
      <c r="U10" s="15" t="n"/>
      <c r="V10" s="16" t="n"/>
      <c r="W10" s="15" t="n"/>
      <c r="X10" s="16" t="n"/>
      <c r="Y10" s="15" t="n"/>
      <c r="Z10" s="16" t="n"/>
      <c r="AA10" s="15" t="n"/>
      <c r="AB10" s="16" t="n"/>
      <c r="AC10" s="15" t="n"/>
      <c r="AD10" s="16" t="n"/>
      <c r="AE10" s="15" t="n"/>
      <c r="AF10" s="16" t="n"/>
      <c r="AG10" s="15" t="n"/>
      <c r="AH10" s="16" t="n"/>
      <c r="AI10" s="17">
        <f>IFERROR(J10+L10+N10+P10+R10+T10+V10+X10+Z10+AB10+AD10+AF10+AH10,"")</f>
        <v/>
      </c>
      <c r="AJ10" s="18">
        <f>IFERROR(ROUND(AI10/39*100,0),"")</f>
        <v/>
      </c>
      <c r="AK10" s="19">
        <f>IFERROR(IF(AJ10&gt;=80,"🟢 Hyvä",IF(AJ10&gt;=60,"🟡 Kehitys","🔴 Prioriteetti")),"")</f>
        <v/>
      </c>
      <c r="AL10" s="19">
        <f>IFERROR(IF(OR(F10="PHV-huippu",AJ10&lt;60),"⚠️ MAX 60%","OK"),"")</f>
        <v/>
      </c>
      <c r="AM10" s="20" t="n"/>
      <c r="AN10" s="20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15" t="n"/>
      <c r="L11" s="16" t="n"/>
      <c r="M11" s="15" t="n"/>
      <c r="N11" s="16" t="n"/>
      <c r="O11" s="15" t="n"/>
      <c r="P11" s="16" t="n"/>
      <c r="Q11" s="15" t="n"/>
      <c r="R11" s="16" t="n"/>
      <c r="S11" s="15" t="n"/>
      <c r="T11" s="16" t="n"/>
      <c r="U11" s="15" t="n"/>
      <c r="V11" s="16" t="n"/>
      <c r="W11" s="15" t="n"/>
      <c r="X11" s="16" t="n"/>
      <c r="Y11" s="15" t="n"/>
      <c r="Z11" s="16" t="n"/>
      <c r="AA11" s="15" t="n"/>
      <c r="AB11" s="16" t="n"/>
      <c r="AC11" s="15" t="n"/>
      <c r="AD11" s="16" t="n"/>
      <c r="AE11" s="15" t="n"/>
      <c r="AF11" s="16" t="n"/>
      <c r="AG11" s="15" t="n"/>
      <c r="AH11" s="16" t="n"/>
      <c r="AI11" s="17">
        <f>IFERROR(J11+L11+N11+P11+R11+T11+V11+X11+Z11+AB11+AD11+AF11+AH11,"")</f>
        <v/>
      </c>
      <c r="AJ11" s="18">
        <f>IFERROR(ROUND(AI11/39*100,0),"")</f>
        <v/>
      </c>
      <c r="AK11" s="19">
        <f>IFERROR(IF(AJ11&gt;=80,"🟢 Hyvä",IF(AJ11&gt;=60,"🟡 Kehitys","🔴 Prioriteetti")),"")</f>
        <v/>
      </c>
      <c r="AL11" s="19">
        <f>IFERROR(IF(OR(F11="PHV-huippu",AJ11&lt;60),"⚠️ MAX 60%","OK"),"")</f>
        <v/>
      </c>
      <c r="AM11" s="20" t="n"/>
      <c r="AN11" s="20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15" t="n"/>
      <c r="L12" s="16" t="n"/>
      <c r="M12" s="15" t="n"/>
      <c r="N12" s="16" t="n"/>
      <c r="O12" s="15" t="n"/>
      <c r="P12" s="16" t="n"/>
      <c r="Q12" s="15" t="n"/>
      <c r="R12" s="16" t="n"/>
      <c r="S12" s="15" t="n"/>
      <c r="T12" s="16" t="n"/>
      <c r="U12" s="15" t="n"/>
      <c r="V12" s="16" t="n"/>
      <c r="W12" s="15" t="n"/>
      <c r="X12" s="16" t="n"/>
      <c r="Y12" s="15" t="n"/>
      <c r="Z12" s="16" t="n"/>
      <c r="AA12" s="15" t="n"/>
      <c r="AB12" s="16" t="n"/>
      <c r="AC12" s="15" t="n"/>
      <c r="AD12" s="16" t="n"/>
      <c r="AE12" s="15" t="n"/>
      <c r="AF12" s="16" t="n"/>
      <c r="AG12" s="15" t="n"/>
      <c r="AH12" s="16" t="n"/>
      <c r="AI12" s="17">
        <f>IFERROR(J12+L12+N12+P12+R12+T12+V12+X12+Z12+AB12+AD12+AF12+AH12,"")</f>
        <v/>
      </c>
      <c r="AJ12" s="18">
        <f>IFERROR(ROUND(AI12/39*100,0),"")</f>
        <v/>
      </c>
      <c r="AK12" s="19">
        <f>IFERROR(IF(AJ12&gt;=80,"🟢 Hyvä",IF(AJ12&gt;=60,"🟡 Kehitys","🔴 Prioriteetti")),"")</f>
        <v/>
      </c>
      <c r="AL12" s="19">
        <f>IFERROR(IF(OR(F12="PHV-huippu",AJ12&lt;60),"⚠️ MAX 60%","OK"),"")</f>
        <v/>
      </c>
      <c r="AM12" s="20" t="n"/>
      <c r="AN12" s="20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6" t="n"/>
      <c r="K13" s="15" t="n"/>
      <c r="L13" s="16" t="n"/>
      <c r="M13" s="15" t="n"/>
      <c r="N13" s="16" t="n"/>
      <c r="O13" s="15" t="n"/>
      <c r="P13" s="16" t="n"/>
      <c r="Q13" s="15" t="n"/>
      <c r="R13" s="16" t="n"/>
      <c r="S13" s="15" t="n"/>
      <c r="T13" s="16" t="n"/>
      <c r="U13" s="15" t="n"/>
      <c r="V13" s="16" t="n"/>
      <c r="W13" s="15" t="n"/>
      <c r="X13" s="16" t="n"/>
      <c r="Y13" s="15" t="n"/>
      <c r="Z13" s="16" t="n"/>
      <c r="AA13" s="15" t="n"/>
      <c r="AB13" s="16" t="n"/>
      <c r="AC13" s="15" t="n"/>
      <c r="AD13" s="16" t="n"/>
      <c r="AE13" s="15" t="n"/>
      <c r="AF13" s="16" t="n"/>
      <c r="AG13" s="15" t="n"/>
      <c r="AH13" s="16" t="n"/>
      <c r="AI13" s="17">
        <f>IFERROR(J13+L13+N13+P13+R13+T13+V13+X13+Z13+AB13+AD13+AF13+AH13,"")</f>
        <v/>
      </c>
      <c r="AJ13" s="18">
        <f>IFERROR(ROUND(AI13/39*100,0),"")</f>
        <v/>
      </c>
      <c r="AK13" s="19">
        <f>IFERROR(IF(AJ13&gt;=80,"🟢 Hyvä",IF(AJ13&gt;=60,"🟡 Kehitys","🔴 Prioriteetti")),"")</f>
        <v/>
      </c>
      <c r="AL13" s="19">
        <f>IFERROR(IF(OR(F13="PHV-huippu",AJ13&lt;60),"⚠️ MAX 60%","OK"),"")</f>
        <v/>
      </c>
      <c r="AM13" s="20" t="n"/>
      <c r="AN13" s="20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6" t="n"/>
      <c r="K14" s="15" t="n"/>
      <c r="L14" s="16" t="n"/>
      <c r="M14" s="15" t="n"/>
      <c r="N14" s="16" t="n"/>
      <c r="O14" s="15" t="n"/>
      <c r="P14" s="16" t="n"/>
      <c r="Q14" s="15" t="n"/>
      <c r="R14" s="16" t="n"/>
      <c r="S14" s="15" t="n"/>
      <c r="T14" s="16" t="n"/>
      <c r="U14" s="15" t="n"/>
      <c r="V14" s="16" t="n"/>
      <c r="W14" s="15" t="n"/>
      <c r="X14" s="16" t="n"/>
      <c r="Y14" s="15" t="n"/>
      <c r="Z14" s="16" t="n"/>
      <c r="AA14" s="15" t="n"/>
      <c r="AB14" s="16" t="n"/>
      <c r="AC14" s="15" t="n"/>
      <c r="AD14" s="16" t="n"/>
      <c r="AE14" s="15" t="n"/>
      <c r="AF14" s="16" t="n"/>
      <c r="AG14" s="15" t="n"/>
      <c r="AH14" s="16" t="n"/>
      <c r="AI14" s="17">
        <f>IFERROR(J14+L14+N14+P14+R14+T14+V14+X14+Z14+AB14+AD14+AF14+AH14,"")</f>
        <v/>
      </c>
      <c r="AJ14" s="18">
        <f>IFERROR(ROUND(AI14/39*100,0),"")</f>
        <v/>
      </c>
      <c r="AK14" s="19">
        <f>IFERROR(IF(AJ14&gt;=80,"🟢 Hyvä",IF(AJ14&gt;=60,"🟡 Kehitys","🔴 Prioriteetti")),"")</f>
        <v/>
      </c>
      <c r="AL14" s="19">
        <f>IFERROR(IF(OR(F14="PHV-huippu",AJ14&lt;60),"⚠️ MAX 60%","OK"),"")</f>
        <v/>
      </c>
      <c r="AM14" s="20" t="n"/>
      <c r="AN14" s="20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6" t="n"/>
      <c r="K15" s="15" t="n"/>
      <c r="L15" s="16" t="n"/>
      <c r="M15" s="15" t="n"/>
      <c r="N15" s="16" t="n"/>
      <c r="O15" s="15" t="n"/>
      <c r="P15" s="16" t="n"/>
      <c r="Q15" s="15" t="n"/>
      <c r="R15" s="16" t="n"/>
      <c r="S15" s="15" t="n"/>
      <c r="T15" s="16" t="n"/>
      <c r="U15" s="15" t="n"/>
      <c r="V15" s="16" t="n"/>
      <c r="W15" s="15" t="n"/>
      <c r="X15" s="16" t="n"/>
      <c r="Y15" s="15" t="n"/>
      <c r="Z15" s="16" t="n"/>
      <c r="AA15" s="15" t="n"/>
      <c r="AB15" s="16" t="n"/>
      <c r="AC15" s="15" t="n"/>
      <c r="AD15" s="16" t="n"/>
      <c r="AE15" s="15" t="n"/>
      <c r="AF15" s="16" t="n"/>
      <c r="AG15" s="15" t="n"/>
      <c r="AH15" s="16" t="n"/>
      <c r="AI15" s="17">
        <f>IFERROR(J15+L15+N15+P15+R15+T15+V15+X15+Z15+AB15+AD15+AF15+AH15,"")</f>
        <v/>
      </c>
      <c r="AJ15" s="18">
        <f>IFERROR(ROUND(AI15/39*100,0),"")</f>
        <v/>
      </c>
      <c r="AK15" s="19">
        <f>IFERROR(IF(AJ15&gt;=80,"🟢 Hyvä",IF(AJ15&gt;=60,"🟡 Kehitys","🔴 Prioriteetti")),"")</f>
        <v/>
      </c>
      <c r="AL15" s="19">
        <f>IFERROR(IF(OR(F15="PHV-huippu",AJ15&lt;60),"⚠️ MAX 60%","OK"),"")</f>
        <v/>
      </c>
      <c r="AM15" s="20" t="n"/>
      <c r="AN15" s="20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6" t="n"/>
      <c r="K16" s="15" t="n"/>
      <c r="L16" s="16" t="n"/>
      <c r="M16" s="15" t="n"/>
      <c r="N16" s="16" t="n"/>
      <c r="O16" s="15" t="n"/>
      <c r="P16" s="16" t="n"/>
      <c r="Q16" s="15" t="n"/>
      <c r="R16" s="16" t="n"/>
      <c r="S16" s="15" t="n"/>
      <c r="T16" s="16" t="n"/>
      <c r="U16" s="15" t="n"/>
      <c r="V16" s="16" t="n"/>
      <c r="W16" s="15" t="n"/>
      <c r="X16" s="16" t="n"/>
      <c r="Y16" s="15" t="n"/>
      <c r="Z16" s="16" t="n"/>
      <c r="AA16" s="15" t="n"/>
      <c r="AB16" s="16" t="n"/>
      <c r="AC16" s="15" t="n"/>
      <c r="AD16" s="16" t="n"/>
      <c r="AE16" s="15" t="n"/>
      <c r="AF16" s="16" t="n"/>
      <c r="AG16" s="15" t="n"/>
      <c r="AH16" s="16" t="n"/>
      <c r="AI16" s="17">
        <f>IFERROR(J16+L16+N16+P16+R16+T16+V16+X16+Z16+AB16+AD16+AF16+AH16,"")</f>
        <v/>
      </c>
      <c r="AJ16" s="18">
        <f>IFERROR(ROUND(AI16/39*100,0),"")</f>
        <v/>
      </c>
      <c r="AK16" s="19">
        <f>IFERROR(IF(AJ16&gt;=80,"🟢 Hyvä",IF(AJ16&gt;=60,"🟡 Kehitys","🔴 Prioriteetti")),"")</f>
        <v/>
      </c>
      <c r="AL16" s="19">
        <f>IFERROR(IF(OR(F16="PHV-huippu",AJ16&lt;60),"⚠️ MAX 60%","OK"),"")</f>
        <v/>
      </c>
      <c r="AM16" s="20" t="n"/>
      <c r="AN16" s="20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6" t="n"/>
      <c r="K17" s="15" t="n"/>
      <c r="L17" s="16" t="n"/>
      <c r="M17" s="15" t="n"/>
      <c r="N17" s="16" t="n"/>
      <c r="O17" s="15" t="n"/>
      <c r="P17" s="16" t="n"/>
      <c r="Q17" s="15" t="n"/>
      <c r="R17" s="16" t="n"/>
      <c r="S17" s="15" t="n"/>
      <c r="T17" s="16" t="n"/>
      <c r="U17" s="15" t="n"/>
      <c r="V17" s="16" t="n"/>
      <c r="W17" s="15" t="n"/>
      <c r="X17" s="16" t="n"/>
      <c r="Y17" s="15" t="n"/>
      <c r="Z17" s="16" t="n"/>
      <c r="AA17" s="15" t="n"/>
      <c r="AB17" s="16" t="n"/>
      <c r="AC17" s="15" t="n"/>
      <c r="AD17" s="16" t="n"/>
      <c r="AE17" s="15" t="n"/>
      <c r="AF17" s="16" t="n"/>
      <c r="AG17" s="15" t="n"/>
      <c r="AH17" s="16" t="n"/>
      <c r="AI17" s="17">
        <f>IFERROR(J17+L17+N17+P17+R17+T17+V17+X17+Z17+AB17+AD17+AF17+AH17,"")</f>
        <v/>
      </c>
      <c r="AJ17" s="18">
        <f>IFERROR(ROUND(AI17/39*100,0),"")</f>
        <v/>
      </c>
      <c r="AK17" s="19">
        <f>IFERROR(IF(AJ17&gt;=80,"🟢 Hyvä",IF(AJ17&gt;=60,"🟡 Kehitys","🔴 Prioriteetti")),"")</f>
        <v/>
      </c>
      <c r="AL17" s="19">
        <f>IFERROR(IF(OR(F17="PHV-huippu",AJ17&lt;60),"⚠️ MAX 60%","OK"),"")</f>
        <v/>
      </c>
      <c r="AM17" s="20" t="n"/>
      <c r="AN17" s="20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6" t="n"/>
      <c r="K18" s="15" t="n"/>
      <c r="L18" s="16" t="n"/>
      <c r="M18" s="15" t="n"/>
      <c r="N18" s="16" t="n"/>
      <c r="O18" s="15" t="n"/>
      <c r="P18" s="16" t="n"/>
      <c r="Q18" s="15" t="n"/>
      <c r="R18" s="16" t="n"/>
      <c r="S18" s="15" t="n"/>
      <c r="T18" s="16" t="n"/>
      <c r="U18" s="15" t="n"/>
      <c r="V18" s="16" t="n"/>
      <c r="W18" s="15" t="n"/>
      <c r="X18" s="16" t="n"/>
      <c r="Y18" s="15" t="n"/>
      <c r="Z18" s="16" t="n"/>
      <c r="AA18" s="15" t="n"/>
      <c r="AB18" s="16" t="n"/>
      <c r="AC18" s="15" t="n"/>
      <c r="AD18" s="16" t="n"/>
      <c r="AE18" s="15" t="n"/>
      <c r="AF18" s="16" t="n"/>
      <c r="AG18" s="15" t="n"/>
      <c r="AH18" s="16" t="n"/>
      <c r="AI18" s="17">
        <f>IFERROR(J18+L18+N18+P18+R18+T18+V18+X18+Z18+AB18+AD18+AF18+AH18,"")</f>
        <v/>
      </c>
      <c r="AJ18" s="18">
        <f>IFERROR(ROUND(AI18/39*100,0),"")</f>
        <v/>
      </c>
      <c r="AK18" s="19">
        <f>IFERROR(IF(AJ18&gt;=80,"🟢 Hyvä",IF(AJ18&gt;=60,"🟡 Kehitys","🔴 Prioriteetti")),"")</f>
        <v/>
      </c>
      <c r="AL18" s="19">
        <f>IFERROR(IF(OR(F18="PHV-huippu",AJ18&lt;60),"⚠️ MAX 60%","OK"),"")</f>
        <v/>
      </c>
      <c r="AM18" s="20" t="n"/>
      <c r="AN18" s="20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6" t="n"/>
      <c r="K19" s="15" t="n"/>
      <c r="L19" s="16" t="n"/>
      <c r="M19" s="15" t="n"/>
      <c r="N19" s="16" t="n"/>
      <c r="O19" s="15" t="n"/>
      <c r="P19" s="16" t="n"/>
      <c r="Q19" s="15" t="n"/>
      <c r="R19" s="16" t="n"/>
      <c r="S19" s="15" t="n"/>
      <c r="T19" s="16" t="n"/>
      <c r="U19" s="15" t="n"/>
      <c r="V19" s="16" t="n"/>
      <c r="W19" s="15" t="n"/>
      <c r="X19" s="16" t="n"/>
      <c r="Y19" s="15" t="n"/>
      <c r="Z19" s="16" t="n"/>
      <c r="AA19" s="15" t="n"/>
      <c r="AB19" s="16" t="n"/>
      <c r="AC19" s="15" t="n"/>
      <c r="AD19" s="16" t="n"/>
      <c r="AE19" s="15" t="n"/>
      <c r="AF19" s="16" t="n"/>
      <c r="AG19" s="15" t="n"/>
      <c r="AH19" s="16" t="n"/>
      <c r="AI19" s="17">
        <f>IFERROR(J19+L19+N19+P19+R19+T19+V19+X19+Z19+AB19+AD19+AF19+AH19,"")</f>
        <v/>
      </c>
      <c r="AJ19" s="18">
        <f>IFERROR(ROUND(AI19/39*100,0),"")</f>
        <v/>
      </c>
      <c r="AK19" s="19">
        <f>IFERROR(IF(AJ19&gt;=80,"🟢 Hyvä",IF(AJ19&gt;=60,"🟡 Kehitys","🔴 Prioriteetti")),"")</f>
        <v/>
      </c>
      <c r="AL19" s="19">
        <f>IFERROR(IF(OR(F19="PHV-huippu",AJ19&lt;60),"⚠️ MAX 60%","OK"),"")</f>
        <v/>
      </c>
      <c r="AM19" s="20" t="n"/>
      <c r="AN19" s="20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6" t="n"/>
      <c r="K20" s="15" t="n"/>
      <c r="L20" s="16" t="n"/>
      <c r="M20" s="15" t="n"/>
      <c r="N20" s="16" t="n"/>
      <c r="O20" s="15" t="n"/>
      <c r="P20" s="16" t="n"/>
      <c r="Q20" s="15" t="n"/>
      <c r="R20" s="16" t="n"/>
      <c r="S20" s="15" t="n"/>
      <c r="T20" s="16" t="n"/>
      <c r="U20" s="15" t="n"/>
      <c r="V20" s="16" t="n"/>
      <c r="W20" s="15" t="n"/>
      <c r="X20" s="16" t="n"/>
      <c r="Y20" s="15" t="n"/>
      <c r="Z20" s="16" t="n"/>
      <c r="AA20" s="15" t="n"/>
      <c r="AB20" s="16" t="n"/>
      <c r="AC20" s="15" t="n"/>
      <c r="AD20" s="16" t="n"/>
      <c r="AE20" s="15" t="n"/>
      <c r="AF20" s="16" t="n"/>
      <c r="AG20" s="15" t="n"/>
      <c r="AH20" s="16" t="n"/>
      <c r="AI20" s="17">
        <f>IFERROR(J20+L20+N20+P20+R20+T20+V20+X20+Z20+AB20+AD20+AF20+AH20,"")</f>
        <v/>
      </c>
      <c r="AJ20" s="18">
        <f>IFERROR(ROUND(AI20/39*100,0),"")</f>
        <v/>
      </c>
      <c r="AK20" s="19">
        <f>IFERROR(IF(AJ20&gt;=80,"🟢 Hyvä",IF(AJ20&gt;=60,"🟡 Kehitys","🔴 Prioriteetti")),"")</f>
        <v/>
      </c>
      <c r="AL20" s="19">
        <f>IFERROR(IF(OR(F20="PHV-huippu",AJ20&lt;60),"⚠️ MAX 60%","OK"),"")</f>
        <v/>
      </c>
      <c r="AM20" s="20" t="n"/>
      <c r="AN20" s="20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6" t="n"/>
      <c r="K21" s="15" t="n"/>
      <c r="L21" s="16" t="n"/>
      <c r="M21" s="15" t="n"/>
      <c r="N21" s="16" t="n"/>
      <c r="O21" s="15" t="n"/>
      <c r="P21" s="16" t="n"/>
      <c r="Q21" s="15" t="n"/>
      <c r="R21" s="16" t="n"/>
      <c r="S21" s="15" t="n"/>
      <c r="T21" s="16" t="n"/>
      <c r="U21" s="15" t="n"/>
      <c r="V21" s="16" t="n"/>
      <c r="W21" s="15" t="n"/>
      <c r="X21" s="16" t="n"/>
      <c r="Y21" s="15" t="n"/>
      <c r="Z21" s="16" t="n"/>
      <c r="AA21" s="15" t="n"/>
      <c r="AB21" s="16" t="n"/>
      <c r="AC21" s="15" t="n"/>
      <c r="AD21" s="16" t="n"/>
      <c r="AE21" s="15" t="n"/>
      <c r="AF21" s="16" t="n"/>
      <c r="AG21" s="15" t="n"/>
      <c r="AH21" s="16" t="n"/>
      <c r="AI21" s="17">
        <f>IFERROR(J21+L21+N21+P21+R21+T21+V21+X21+Z21+AB21+AD21+AF21+AH21,"")</f>
        <v/>
      </c>
      <c r="AJ21" s="18">
        <f>IFERROR(ROUND(AI21/39*100,0),"")</f>
        <v/>
      </c>
      <c r="AK21" s="19">
        <f>IFERROR(IF(AJ21&gt;=80,"🟢 Hyvä",IF(AJ21&gt;=60,"🟡 Kehitys","🔴 Prioriteetti")),"")</f>
        <v/>
      </c>
      <c r="AL21" s="19">
        <f>IFERROR(IF(OR(F21="PHV-huippu",AJ21&lt;60),"⚠️ MAX 60%","OK"),"")</f>
        <v/>
      </c>
      <c r="AM21" s="20" t="n"/>
      <c r="AN21" s="20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6" t="n"/>
      <c r="K22" s="15" t="n"/>
      <c r="L22" s="16" t="n"/>
      <c r="M22" s="15" t="n"/>
      <c r="N22" s="16" t="n"/>
      <c r="O22" s="15" t="n"/>
      <c r="P22" s="16" t="n"/>
      <c r="Q22" s="15" t="n"/>
      <c r="R22" s="16" t="n"/>
      <c r="S22" s="15" t="n"/>
      <c r="T22" s="16" t="n"/>
      <c r="U22" s="15" t="n"/>
      <c r="V22" s="16" t="n"/>
      <c r="W22" s="15" t="n"/>
      <c r="X22" s="16" t="n"/>
      <c r="Y22" s="15" t="n"/>
      <c r="Z22" s="16" t="n"/>
      <c r="AA22" s="15" t="n"/>
      <c r="AB22" s="16" t="n"/>
      <c r="AC22" s="15" t="n"/>
      <c r="AD22" s="16" t="n"/>
      <c r="AE22" s="15" t="n"/>
      <c r="AF22" s="16" t="n"/>
      <c r="AG22" s="15" t="n"/>
      <c r="AH22" s="16" t="n"/>
      <c r="AI22" s="17">
        <f>IFERROR(J22+L22+N22+P22+R22+T22+V22+X22+Z22+AB22+AD22+AF22+AH22,"")</f>
        <v/>
      </c>
      <c r="AJ22" s="18">
        <f>IFERROR(ROUND(AI22/39*100,0),"")</f>
        <v/>
      </c>
      <c r="AK22" s="19">
        <f>IFERROR(IF(AJ22&gt;=80,"🟢 Hyvä",IF(AJ22&gt;=60,"🟡 Kehitys","🔴 Prioriteetti")),"")</f>
        <v/>
      </c>
      <c r="AL22" s="19">
        <f>IFERROR(IF(OR(F22="PHV-huippu",AJ22&lt;60),"⚠️ MAX 60%","OK"),"")</f>
        <v/>
      </c>
      <c r="AM22" s="20" t="n"/>
      <c r="AN22" s="20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6" t="n"/>
      <c r="K23" s="15" t="n"/>
      <c r="L23" s="16" t="n"/>
      <c r="M23" s="15" t="n"/>
      <c r="N23" s="16" t="n"/>
      <c r="O23" s="15" t="n"/>
      <c r="P23" s="16" t="n"/>
      <c r="Q23" s="15" t="n"/>
      <c r="R23" s="16" t="n"/>
      <c r="S23" s="15" t="n"/>
      <c r="T23" s="16" t="n"/>
      <c r="U23" s="15" t="n"/>
      <c r="V23" s="16" t="n"/>
      <c r="W23" s="15" t="n"/>
      <c r="X23" s="16" t="n"/>
      <c r="Y23" s="15" t="n"/>
      <c r="Z23" s="16" t="n"/>
      <c r="AA23" s="15" t="n"/>
      <c r="AB23" s="16" t="n"/>
      <c r="AC23" s="15" t="n"/>
      <c r="AD23" s="16" t="n"/>
      <c r="AE23" s="15" t="n"/>
      <c r="AF23" s="16" t="n"/>
      <c r="AG23" s="15" t="n"/>
      <c r="AH23" s="16" t="n"/>
      <c r="AI23" s="17">
        <f>IFERROR(J23+L23+N23+P23+R23+T23+V23+X23+Z23+AB23+AD23+AF23+AH23,"")</f>
        <v/>
      </c>
      <c r="AJ23" s="18">
        <f>IFERROR(ROUND(AI23/39*100,0),"")</f>
        <v/>
      </c>
      <c r="AK23" s="19">
        <f>IFERROR(IF(AJ23&gt;=80,"🟢 Hyvä",IF(AJ23&gt;=60,"🟡 Kehitys","🔴 Prioriteetti")),"")</f>
        <v/>
      </c>
      <c r="AL23" s="19">
        <f>IFERROR(IF(OR(F23="PHV-huippu",AJ23&lt;60),"⚠️ MAX 60%","OK"),"")</f>
        <v/>
      </c>
      <c r="AM23" s="20" t="n"/>
      <c r="AN23" s="20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6" t="n"/>
      <c r="K24" s="15" t="n"/>
      <c r="L24" s="16" t="n"/>
      <c r="M24" s="15" t="n"/>
      <c r="N24" s="16" t="n"/>
      <c r="O24" s="15" t="n"/>
      <c r="P24" s="16" t="n"/>
      <c r="Q24" s="15" t="n"/>
      <c r="R24" s="16" t="n"/>
      <c r="S24" s="15" t="n"/>
      <c r="T24" s="16" t="n"/>
      <c r="U24" s="15" t="n"/>
      <c r="V24" s="16" t="n"/>
      <c r="W24" s="15" t="n"/>
      <c r="X24" s="16" t="n"/>
      <c r="Y24" s="15" t="n"/>
      <c r="Z24" s="16" t="n"/>
      <c r="AA24" s="15" t="n"/>
      <c r="AB24" s="16" t="n"/>
      <c r="AC24" s="15" t="n"/>
      <c r="AD24" s="16" t="n"/>
      <c r="AE24" s="15" t="n"/>
      <c r="AF24" s="16" t="n"/>
      <c r="AG24" s="15" t="n"/>
      <c r="AH24" s="16" t="n"/>
      <c r="AI24" s="17">
        <f>IFERROR(J24+L24+N24+P24+R24+T24+V24+X24+Z24+AB24+AD24+AF24+AH24,"")</f>
        <v/>
      </c>
      <c r="AJ24" s="18">
        <f>IFERROR(ROUND(AI24/39*100,0),"")</f>
        <v/>
      </c>
      <c r="AK24" s="19">
        <f>IFERROR(IF(AJ24&gt;=80,"🟢 Hyvä",IF(AJ24&gt;=60,"🟡 Kehitys","🔴 Prioriteetti")),"")</f>
        <v/>
      </c>
      <c r="AL24" s="19">
        <f>IFERROR(IF(OR(F24="PHV-huippu",AJ24&lt;60),"⚠️ MAX 60%","OK"),"")</f>
        <v/>
      </c>
      <c r="AM24" s="20" t="n"/>
      <c r="AN24" s="20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n"/>
      <c r="K25" s="15" t="n"/>
      <c r="L25" s="16" t="n"/>
      <c r="M25" s="15" t="n"/>
      <c r="N25" s="16" t="n"/>
      <c r="O25" s="15" t="n"/>
      <c r="P25" s="16" t="n"/>
      <c r="Q25" s="15" t="n"/>
      <c r="R25" s="16" t="n"/>
      <c r="S25" s="15" t="n"/>
      <c r="T25" s="16" t="n"/>
      <c r="U25" s="15" t="n"/>
      <c r="V25" s="16" t="n"/>
      <c r="W25" s="15" t="n"/>
      <c r="X25" s="16" t="n"/>
      <c r="Y25" s="15" t="n"/>
      <c r="Z25" s="16" t="n"/>
      <c r="AA25" s="15" t="n"/>
      <c r="AB25" s="16" t="n"/>
      <c r="AC25" s="15" t="n"/>
      <c r="AD25" s="16" t="n"/>
      <c r="AE25" s="15" t="n"/>
      <c r="AF25" s="16" t="n"/>
      <c r="AG25" s="15" t="n"/>
      <c r="AH25" s="16" t="n"/>
      <c r="AI25" s="17">
        <f>IFERROR(J25+L25+N25+P25+R25+T25+V25+X25+Z25+AB25+AD25+AF25+AH25,"")</f>
        <v/>
      </c>
      <c r="AJ25" s="18">
        <f>IFERROR(ROUND(AI25/39*100,0),"")</f>
        <v/>
      </c>
      <c r="AK25" s="19">
        <f>IFERROR(IF(AJ25&gt;=80,"🟢 Hyvä",IF(AJ25&gt;=60,"🟡 Kehitys","🔴 Prioriteetti")),"")</f>
        <v/>
      </c>
      <c r="AL25" s="19">
        <f>IFERROR(IF(OR(F25="PHV-huippu",AJ25&lt;60),"⚠️ MAX 60%","OK"),"")</f>
        <v/>
      </c>
      <c r="AM25" s="20" t="n"/>
      <c r="AN25" s="20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15" t="n"/>
      <c r="L26" s="16" t="n"/>
      <c r="M26" s="15" t="n"/>
      <c r="N26" s="16" t="n"/>
      <c r="O26" s="15" t="n"/>
      <c r="P26" s="16" t="n"/>
      <c r="Q26" s="15" t="n"/>
      <c r="R26" s="16" t="n"/>
      <c r="S26" s="15" t="n"/>
      <c r="T26" s="16" t="n"/>
      <c r="U26" s="15" t="n"/>
      <c r="V26" s="16" t="n"/>
      <c r="W26" s="15" t="n"/>
      <c r="X26" s="16" t="n"/>
      <c r="Y26" s="15" t="n"/>
      <c r="Z26" s="16" t="n"/>
      <c r="AA26" s="15" t="n"/>
      <c r="AB26" s="16" t="n"/>
      <c r="AC26" s="15" t="n"/>
      <c r="AD26" s="16" t="n"/>
      <c r="AE26" s="15" t="n"/>
      <c r="AF26" s="16" t="n"/>
      <c r="AG26" s="15" t="n"/>
      <c r="AH26" s="16" t="n"/>
      <c r="AI26" s="17">
        <f>IFERROR(J26+L26+N26+P26+R26+T26+V26+X26+Z26+AB26+AD26+AF26+AH26,"")</f>
        <v/>
      </c>
      <c r="AJ26" s="18">
        <f>IFERROR(ROUND(AI26/39*100,0),"")</f>
        <v/>
      </c>
      <c r="AK26" s="19">
        <f>IFERROR(IF(AJ26&gt;=80,"🟢 Hyvä",IF(AJ26&gt;=60,"🟡 Kehitys","🔴 Prioriteetti")),"")</f>
        <v/>
      </c>
      <c r="AL26" s="19">
        <f>IFERROR(IF(OR(F26="PHV-huippu",AJ26&lt;60),"⚠️ MAX 60%","OK"),"")</f>
        <v/>
      </c>
      <c r="AM26" s="20" t="n"/>
      <c r="AN26" s="20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15" t="n"/>
      <c r="L27" s="16" t="n"/>
      <c r="M27" s="15" t="n"/>
      <c r="N27" s="16" t="n"/>
      <c r="O27" s="15" t="n"/>
      <c r="P27" s="16" t="n"/>
      <c r="Q27" s="15" t="n"/>
      <c r="R27" s="16" t="n"/>
      <c r="S27" s="15" t="n"/>
      <c r="T27" s="16" t="n"/>
      <c r="U27" s="15" t="n"/>
      <c r="V27" s="16" t="n"/>
      <c r="W27" s="15" t="n"/>
      <c r="X27" s="16" t="n"/>
      <c r="Y27" s="15" t="n"/>
      <c r="Z27" s="16" t="n"/>
      <c r="AA27" s="15" t="n"/>
      <c r="AB27" s="16" t="n"/>
      <c r="AC27" s="15" t="n"/>
      <c r="AD27" s="16" t="n"/>
      <c r="AE27" s="15" t="n"/>
      <c r="AF27" s="16" t="n"/>
      <c r="AG27" s="15" t="n"/>
      <c r="AH27" s="16" t="n"/>
      <c r="AI27" s="17">
        <f>IFERROR(J27+L27+N27+P27+R27+T27+V27+X27+Z27+AB27+AD27+AF27+AH27,"")</f>
        <v/>
      </c>
      <c r="AJ27" s="18">
        <f>IFERROR(ROUND(AI27/39*100,0),"")</f>
        <v/>
      </c>
      <c r="AK27" s="19">
        <f>IFERROR(IF(AJ27&gt;=80,"🟢 Hyvä",IF(AJ27&gt;=60,"🟡 Kehitys","🔴 Prioriteetti")),"")</f>
        <v/>
      </c>
      <c r="AL27" s="19">
        <f>IFERROR(IF(OR(F27="PHV-huippu",AJ27&lt;60),"⚠️ MAX 60%","OK"),"")</f>
        <v/>
      </c>
      <c r="AM27" s="20" t="n"/>
      <c r="AN27" s="20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n"/>
      <c r="K28" s="15" t="n"/>
      <c r="L28" s="16" t="n"/>
      <c r="M28" s="15" t="n"/>
      <c r="N28" s="16" t="n"/>
      <c r="O28" s="15" t="n"/>
      <c r="P28" s="16" t="n"/>
      <c r="Q28" s="15" t="n"/>
      <c r="R28" s="16" t="n"/>
      <c r="S28" s="15" t="n"/>
      <c r="T28" s="16" t="n"/>
      <c r="U28" s="15" t="n"/>
      <c r="V28" s="16" t="n"/>
      <c r="W28" s="15" t="n"/>
      <c r="X28" s="16" t="n"/>
      <c r="Y28" s="15" t="n"/>
      <c r="Z28" s="16" t="n"/>
      <c r="AA28" s="15" t="n"/>
      <c r="AB28" s="16" t="n"/>
      <c r="AC28" s="15" t="n"/>
      <c r="AD28" s="16" t="n"/>
      <c r="AE28" s="15" t="n"/>
      <c r="AF28" s="16" t="n"/>
      <c r="AG28" s="15" t="n"/>
      <c r="AH28" s="16" t="n"/>
      <c r="AI28" s="17">
        <f>IFERROR(J28+L28+N28+P28+R28+T28+V28+X28+Z28+AB28+AD28+AF28+AH28,"")</f>
        <v/>
      </c>
      <c r="AJ28" s="18">
        <f>IFERROR(ROUND(AI28/39*100,0),"")</f>
        <v/>
      </c>
      <c r="AK28" s="19">
        <f>IFERROR(IF(AJ28&gt;=80,"🟢 Hyvä",IF(AJ28&gt;=60,"🟡 Kehitys","🔴 Prioriteetti")),"")</f>
        <v/>
      </c>
      <c r="AL28" s="19">
        <f>IFERROR(IF(OR(F28="PHV-huippu",AJ28&lt;60),"⚠️ MAX 60%","OK"),"")</f>
        <v/>
      </c>
      <c r="AM28" s="20" t="n"/>
      <c r="AN28" s="20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  <c r="K29" s="15" t="n"/>
      <c r="L29" s="16" t="n"/>
      <c r="M29" s="15" t="n"/>
      <c r="N29" s="16" t="n"/>
      <c r="O29" s="15" t="n"/>
      <c r="P29" s="16" t="n"/>
      <c r="Q29" s="15" t="n"/>
      <c r="R29" s="16" t="n"/>
      <c r="S29" s="15" t="n"/>
      <c r="T29" s="16" t="n"/>
      <c r="U29" s="15" t="n"/>
      <c r="V29" s="16" t="n"/>
      <c r="W29" s="15" t="n"/>
      <c r="X29" s="16" t="n"/>
      <c r="Y29" s="15" t="n"/>
      <c r="Z29" s="16" t="n"/>
      <c r="AA29" s="15" t="n"/>
      <c r="AB29" s="16" t="n"/>
      <c r="AC29" s="15" t="n"/>
      <c r="AD29" s="16" t="n"/>
      <c r="AE29" s="15" t="n"/>
      <c r="AF29" s="16" t="n"/>
      <c r="AG29" s="15" t="n"/>
      <c r="AH29" s="16" t="n"/>
      <c r="AI29" s="17">
        <f>IFERROR(J29+L29+N29+P29+R29+T29+V29+X29+Z29+AB29+AD29+AF29+AH29,"")</f>
        <v/>
      </c>
      <c r="AJ29" s="18">
        <f>IFERROR(ROUND(AI29/39*100,0),"")</f>
        <v/>
      </c>
      <c r="AK29" s="19">
        <f>IFERROR(IF(AJ29&gt;=80,"🟢 Hyvä",IF(AJ29&gt;=60,"🟡 Kehitys","🔴 Prioriteetti")),"")</f>
        <v/>
      </c>
      <c r="AL29" s="19">
        <f>IFERROR(IF(OR(F29="PHV-huippu",AJ29&lt;60),"⚠️ MAX 60%","OK"),"")</f>
        <v/>
      </c>
      <c r="AM29" s="20" t="n"/>
      <c r="AN29" s="20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n"/>
      <c r="K30" s="15" t="n"/>
      <c r="L30" s="16" t="n"/>
      <c r="M30" s="15" t="n"/>
      <c r="N30" s="16" t="n"/>
      <c r="O30" s="15" t="n"/>
      <c r="P30" s="16" t="n"/>
      <c r="Q30" s="15" t="n"/>
      <c r="R30" s="16" t="n"/>
      <c r="S30" s="15" t="n"/>
      <c r="T30" s="16" t="n"/>
      <c r="U30" s="15" t="n"/>
      <c r="V30" s="16" t="n"/>
      <c r="W30" s="15" t="n"/>
      <c r="X30" s="16" t="n"/>
      <c r="Y30" s="15" t="n"/>
      <c r="Z30" s="16" t="n"/>
      <c r="AA30" s="15" t="n"/>
      <c r="AB30" s="16" t="n"/>
      <c r="AC30" s="15" t="n"/>
      <c r="AD30" s="16" t="n"/>
      <c r="AE30" s="15" t="n"/>
      <c r="AF30" s="16" t="n"/>
      <c r="AG30" s="15" t="n"/>
      <c r="AH30" s="16" t="n"/>
      <c r="AI30" s="17">
        <f>IFERROR(J30+L30+N30+P30+R30+T30+V30+X30+Z30+AB30+AD30+AF30+AH30,"")</f>
        <v/>
      </c>
      <c r="AJ30" s="18">
        <f>IFERROR(ROUND(AI30/39*100,0),"")</f>
        <v/>
      </c>
      <c r="AK30" s="19">
        <f>IFERROR(IF(AJ30&gt;=80,"🟢 Hyvä",IF(AJ30&gt;=60,"🟡 Kehitys","🔴 Prioriteetti")),"")</f>
        <v/>
      </c>
      <c r="AL30" s="19">
        <f>IFERROR(IF(OR(F30="PHV-huippu",AJ30&lt;60),"⚠️ MAX 60%","OK"),"")</f>
        <v/>
      </c>
      <c r="AM30" s="20" t="n"/>
      <c r="AN30" s="20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n"/>
      <c r="K31" s="15" t="n"/>
      <c r="L31" s="16" t="n"/>
      <c r="M31" s="15" t="n"/>
      <c r="N31" s="16" t="n"/>
      <c r="O31" s="15" t="n"/>
      <c r="P31" s="16" t="n"/>
      <c r="Q31" s="15" t="n"/>
      <c r="R31" s="16" t="n"/>
      <c r="S31" s="15" t="n"/>
      <c r="T31" s="16" t="n"/>
      <c r="U31" s="15" t="n"/>
      <c r="V31" s="16" t="n"/>
      <c r="W31" s="15" t="n"/>
      <c r="X31" s="16" t="n"/>
      <c r="Y31" s="15" t="n"/>
      <c r="Z31" s="16" t="n"/>
      <c r="AA31" s="15" t="n"/>
      <c r="AB31" s="16" t="n"/>
      <c r="AC31" s="15" t="n"/>
      <c r="AD31" s="16" t="n"/>
      <c r="AE31" s="15" t="n"/>
      <c r="AF31" s="16" t="n"/>
      <c r="AG31" s="15" t="n"/>
      <c r="AH31" s="16" t="n"/>
      <c r="AI31" s="17">
        <f>IFERROR(J31+L31+N31+P31+R31+T31+V31+X31+Z31+AB31+AD31+AF31+AH31,"")</f>
        <v/>
      </c>
      <c r="AJ31" s="18">
        <f>IFERROR(ROUND(AI31/39*100,0),"")</f>
        <v/>
      </c>
      <c r="AK31" s="19">
        <f>IFERROR(IF(AJ31&gt;=80,"🟢 Hyvä",IF(AJ31&gt;=60,"🟡 Kehitys","🔴 Prioriteetti")),"")</f>
        <v/>
      </c>
      <c r="AL31" s="19">
        <f>IFERROR(IF(OR(F31="PHV-huippu",AJ31&lt;60),"⚠️ MAX 60%","OK"),"")</f>
        <v/>
      </c>
      <c r="AM31" s="20" t="n"/>
      <c r="AN31" s="20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n"/>
      <c r="K32" s="15" t="n"/>
      <c r="L32" s="16" t="n"/>
      <c r="M32" s="15" t="n"/>
      <c r="N32" s="16" t="n"/>
      <c r="O32" s="15" t="n"/>
      <c r="P32" s="16" t="n"/>
      <c r="Q32" s="15" t="n"/>
      <c r="R32" s="16" t="n"/>
      <c r="S32" s="15" t="n"/>
      <c r="T32" s="16" t="n"/>
      <c r="U32" s="15" t="n"/>
      <c r="V32" s="16" t="n"/>
      <c r="W32" s="15" t="n"/>
      <c r="X32" s="16" t="n"/>
      <c r="Y32" s="15" t="n"/>
      <c r="Z32" s="16" t="n"/>
      <c r="AA32" s="15" t="n"/>
      <c r="AB32" s="16" t="n"/>
      <c r="AC32" s="15" t="n"/>
      <c r="AD32" s="16" t="n"/>
      <c r="AE32" s="15" t="n"/>
      <c r="AF32" s="16" t="n"/>
      <c r="AG32" s="15" t="n"/>
      <c r="AH32" s="16" t="n"/>
      <c r="AI32" s="17">
        <f>IFERROR(J32+L32+N32+P32+R32+T32+V32+X32+Z32+AB32+AD32+AF32+AH32,"")</f>
        <v/>
      </c>
      <c r="AJ32" s="18">
        <f>IFERROR(ROUND(AI32/39*100,0),"")</f>
        <v/>
      </c>
      <c r="AK32" s="19">
        <f>IFERROR(IF(AJ32&gt;=80,"🟢 Hyvä",IF(AJ32&gt;=60,"🟡 Kehitys","🔴 Prioriteetti")),"")</f>
        <v/>
      </c>
      <c r="AL32" s="19">
        <f>IFERROR(IF(OR(F32="PHV-huippu",AJ32&lt;60),"⚠️ MAX 60%","OK"),"")</f>
        <v/>
      </c>
      <c r="AM32" s="20" t="n"/>
      <c r="AN32" s="20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n"/>
      <c r="K33" s="15" t="n"/>
      <c r="L33" s="16" t="n"/>
      <c r="M33" s="15" t="n"/>
      <c r="N33" s="16" t="n"/>
      <c r="O33" s="15" t="n"/>
      <c r="P33" s="16" t="n"/>
      <c r="Q33" s="15" t="n"/>
      <c r="R33" s="16" t="n"/>
      <c r="S33" s="15" t="n"/>
      <c r="T33" s="16" t="n"/>
      <c r="U33" s="15" t="n"/>
      <c r="V33" s="16" t="n"/>
      <c r="W33" s="15" t="n"/>
      <c r="X33" s="16" t="n"/>
      <c r="Y33" s="15" t="n"/>
      <c r="Z33" s="16" t="n"/>
      <c r="AA33" s="15" t="n"/>
      <c r="AB33" s="16" t="n"/>
      <c r="AC33" s="15" t="n"/>
      <c r="AD33" s="16" t="n"/>
      <c r="AE33" s="15" t="n"/>
      <c r="AF33" s="16" t="n"/>
      <c r="AG33" s="15" t="n"/>
      <c r="AH33" s="16" t="n"/>
      <c r="AI33" s="17">
        <f>IFERROR(J33+L33+N33+P33+R33+T33+V33+X33+Z33+AB33+AD33+AF33+AH33,"")</f>
        <v/>
      </c>
      <c r="AJ33" s="18">
        <f>IFERROR(ROUND(AI33/39*100,0),"")</f>
        <v/>
      </c>
      <c r="AK33" s="19">
        <f>IFERROR(IF(AJ33&gt;=80,"🟢 Hyvä",IF(AJ33&gt;=60,"🟡 Kehitys","🔴 Prioriteetti")),"")</f>
        <v/>
      </c>
      <c r="AL33" s="19">
        <f>IFERROR(IF(OR(F33="PHV-huippu",AJ33&lt;60),"⚠️ MAX 60%","OK"),"")</f>
        <v/>
      </c>
      <c r="AM33" s="20" t="n"/>
      <c r="AN33" s="20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6" t="n"/>
      <c r="K34" s="15" t="n"/>
      <c r="L34" s="16" t="n"/>
      <c r="M34" s="15" t="n"/>
      <c r="N34" s="16" t="n"/>
      <c r="O34" s="15" t="n"/>
      <c r="P34" s="16" t="n"/>
      <c r="Q34" s="15" t="n"/>
      <c r="R34" s="16" t="n"/>
      <c r="S34" s="15" t="n"/>
      <c r="T34" s="16" t="n"/>
      <c r="U34" s="15" t="n"/>
      <c r="V34" s="16" t="n"/>
      <c r="W34" s="15" t="n"/>
      <c r="X34" s="16" t="n"/>
      <c r="Y34" s="15" t="n"/>
      <c r="Z34" s="16" t="n"/>
      <c r="AA34" s="15" t="n"/>
      <c r="AB34" s="16" t="n"/>
      <c r="AC34" s="15" t="n"/>
      <c r="AD34" s="16" t="n"/>
      <c r="AE34" s="15" t="n"/>
      <c r="AF34" s="16" t="n"/>
      <c r="AG34" s="15" t="n"/>
      <c r="AH34" s="16" t="n"/>
      <c r="AI34" s="17">
        <f>IFERROR(J34+L34+N34+P34+R34+T34+V34+X34+Z34+AB34+AD34+AF34+AH34,"")</f>
        <v/>
      </c>
      <c r="AJ34" s="18">
        <f>IFERROR(ROUND(AI34/39*100,0),"")</f>
        <v/>
      </c>
      <c r="AK34" s="19">
        <f>IFERROR(IF(AJ34&gt;=80,"🟢 Hyvä",IF(AJ34&gt;=60,"🟡 Kehitys","🔴 Prioriteetti")),"")</f>
        <v/>
      </c>
      <c r="AL34" s="19">
        <f>IFERROR(IF(OR(F34="PHV-huippu",AJ34&lt;60),"⚠️ MAX 60%","OK"),"")</f>
        <v/>
      </c>
      <c r="AM34" s="20" t="n"/>
      <c r="AN34" s="20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6" t="n"/>
      <c r="K35" s="15" t="n"/>
      <c r="L35" s="16" t="n"/>
      <c r="M35" s="15" t="n"/>
      <c r="N35" s="16" t="n"/>
      <c r="O35" s="15" t="n"/>
      <c r="P35" s="16" t="n"/>
      <c r="Q35" s="15" t="n"/>
      <c r="R35" s="16" t="n"/>
      <c r="S35" s="15" t="n"/>
      <c r="T35" s="16" t="n"/>
      <c r="U35" s="15" t="n"/>
      <c r="V35" s="16" t="n"/>
      <c r="W35" s="15" t="n"/>
      <c r="X35" s="16" t="n"/>
      <c r="Y35" s="15" t="n"/>
      <c r="Z35" s="16" t="n"/>
      <c r="AA35" s="15" t="n"/>
      <c r="AB35" s="16" t="n"/>
      <c r="AC35" s="15" t="n"/>
      <c r="AD35" s="16" t="n"/>
      <c r="AE35" s="15" t="n"/>
      <c r="AF35" s="16" t="n"/>
      <c r="AG35" s="15" t="n"/>
      <c r="AH35" s="16" t="n"/>
      <c r="AI35" s="17">
        <f>IFERROR(J35+L35+N35+P35+R35+T35+V35+X35+Z35+AB35+AD35+AF35+AH35,"")</f>
        <v/>
      </c>
      <c r="AJ35" s="18">
        <f>IFERROR(ROUND(AI35/39*100,0),"")</f>
        <v/>
      </c>
      <c r="AK35" s="19">
        <f>IFERROR(IF(AJ35&gt;=80,"🟢 Hyvä",IF(AJ35&gt;=60,"🟡 Kehitys","🔴 Prioriteetti")),"")</f>
        <v/>
      </c>
      <c r="AL35" s="19">
        <f>IFERROR(IF(OR(F35="PHV-huippu",AJ35&lt;60),"⚠️ MAX 60%","OK"),"")</f>
        <v/>
      </c>
      <c r="AM35" s="20" t="n"/>
      <c r="AN35" s="20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6" t="n"/>
      <c r="K36" s="15" t="n"/>
      <c r="L36" s="16" t="n"/>
      <c r="M36" s="15" t="n"/>
      <c r="N36" s="16" t="n"/>
      <c r="O36" s="15" t="n"/>
      <c r="P36" s="16" t="n"/>
      <c r="Q36" s="15" t="n"/>
      <c r="R36" s="16" t="n"/>
      <c r="S36" s="15" t="n"/>
      <c r="T36" s="16" t="n"/>
      <c r="U36" s="15" t="n"/>
      <c r="V36" s="16" t="n"/>
      <c r="W36" s="15" t="n"/>
      <c r="X36" s="16" t="n"/>
      <c r="Y36" s="15" t="n"/>
      <c r="Z36" s="16" t="n"/>
      <c r="AA36" s="15" t="n"/>
      <c r="AB36" s="16" t="n"/>
      <c r="AC36" s="15" t="n"/>
      <c r="AD36" s="16" t="n"/>
      <c r="AE36" s="15" t="n"/>
      <c r="AF36" s="16" t="n"/>
      <c r="AG36" s="15" t="n"/>
      <c r="AH36" s="16" t="n"/>
      <c r="AI36" s="17">
        <f>IFERROR(J36+L36+N36+P36+R36+T36+V36+X36+Z36+AB36+AD36+AF36+AH36,"")</f>
        <v/>
      </c>
      <c r="AJ36" s="18">
        <f>IFERROR(ROUND(AI36/39*100,0),"")</f>
        <v/>
      </c>
      <c r="AK36" s="19">
        <f>IFERROR(IF(AJ36&gt;=80,"🟢 Hyvä",IF(AJ36&gt;=60,"🟡 Kehitys","🔴 Prioriteetti")),"")</f>
        <v/>
      </c>
      <c r="AL36" s="19">
        <f>IFERROR(IF(OR(F36="PHV-huippu",AJ36&lt;60),"⚠️ MAX 60%","OK"),"")</f>
        <v/>
      </c>
      <c r="AM36" s="20" t="n"/>
      <c r="AN36" s="20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6" t="n"/>
      <c r="K37" s="15" t="n"/>
      <c r="L37" s="16" t="n"/>
      <c r="M37" s="15" t="n"/>
      <c r="N37" s="16" t="n"/>
      <c r="O37" s="15" t="n"/>
      <c r="P37" s="16" t="n"/>
      <c r="Q37" s="15" t="n"/>
      <c r="R37" s="16" t="n"/>
      <c r="S37" s="15" t="n"/>
      <c r="T37" s="16" t="n"/>
      <c r="U37" s="15" t="n"/>
      <c r="V37" s="16" t="n"/>
      <c r="W37" s="15" t="n"/>
      <c r="X37" s="16" t="n"/>
      <c r="Y37" s="15" t="n"/>
      <c r="Z37" s="16" t="n"/>
      <c r="AA37" s="15" t="n"/>
      <c r="AB37" s="16" t="n"/>
      <c r="AC37" s="15" t="n"/>
      <c r="AD37" s="16" t="n"/>
      <c r="AE37" s="15" t="n"/>
      <c r="AF37" s="16" t="n"/>
      <c r="AG37" s="15" t="n"/>
      <c r="AH37" s="16" t="n"/>
      <c r="AI37" s="17">
        <f>IFERROR(J37+L37+N37+P37+R37+T37+V37+X37+Z37+AB37+AD37+AF37+AH37,"")</f>
        <v/>
      </c>
      <c r="AJ37" s="18">
        <f>IFERROR(ROUND(AI37/39*100,0),"")</f>
        <v/>
      </c>
      <c r="AK37" s="19">
        <f>IFERROR(IF(AJ37&gt;=80,"🟢 Hyvä",IF(AJ37&gt;=60,"🟡 Kehitys","🔴 Prioriteetti")),"")</f>
        <v/>
      </c>
      <c r="AL37" s="19">
        <f>IFERROR(IF(OR(F37="PHV-huippu",AJ37&lt;60),"⚠️ MAX 60%","OK"),"")</f>
        <v/>
      </c>
      <c r="AM37" s="20" t="n"/>
      <c r="AN37" s="20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6" t="n"/>
      <c r="K38" s="15" t="n"/>
      <c r="L38" s="16" t="n"/>
      <c r="M38" s="15" t="n"/>
      <c r="N38" s="16" t="n"/>
      <c r="O38" s="15" t="n"/>
      <c r="P38" s="16" t="n"/>
      <c r="Q38" s="15" t="n"/>
      <c r="R38" s="16" t="n"/>
      <c r="S38" s="15" t="n"/>
      <c r="T38" s="16" t="n"/>
      <c r="U38" s="15" t="n"/>
      <c r="V38" s="16" t="n"/>
      <c r="W38" s="15" t="n"/>
      <c r="X38" s="16" t="n"/>
      <c r="Y38" s="15" t="n"/>
      <c r="Z38" s="16" t="n"/>
      <c r="AA38" s="15" t="n"/>
      <c r="AB38" s="16" t="n"/>
      <c r="AC38" s="15" t="n"/>
      <c r="AD38" s="16" t="n"/>
      <c r="AE38" s="15" t="n"/>
      <c r="AF38" s="16" t="n"/>
      <c r="AG38" s="15" t="n"/>
      <c r="AH38" s="16" t="n"/>
      <c r="AI38" s="17">
        <f>IFERROR(J38+L38+N38+P38+R38+T38+V38+X38+Z38+AB38+AD38+AF38+AH38,"")</f>
        <v/>
      </c>
      <c r="AJ38" s="18">
        <f>IFERROR(ROUND(AI38/39*100,0),"")</f>
        <v/>
      </c>
      <c r="AK38" s="19">
        <f>IFERROR(IF(AJ38&gt;=80,"🟢 Hyvä",IF(AJ38&gt;=60,"🟡 Kehitys","🔴 Prioriteetti")),"")</f>
        <v/>
      </c>
      <c r="AL38" s="19">
        <f>IFERROR(IF(OR(F38="PHV-huippu",AJ38&lt;60),"⚠️ MAX 60%","OK"),"")</f>
        <v/>
      </c>
      <c r="AM38" s="20" t="n"/>
      <c r="AN38" s="20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6" t="n"/>
      <c r="K39" s="15" t="n"/>
      <c r="L39" s="16" t="n"/>
      <c r="M39" s="15" t="n"/>
      <c r="N39" s="16" t="n"/>
      <c r="O39" s="15" t="n"/>
      <c r="P39" s="16" t="n"/>
      <c r="Q39" s="15" t="n"/>
      <c r="R39" s="16" t="n"/>
      <c r="S39" s="15" t="n"/>
      <c r="T39" s="16" t="n"/>
      <c r="U39" s="15" t="n"/>
      <c r="V39" s="16" t="n"/>
      <c r="W39" s="15" t="n"/>
      <c r="X39" s="16" t="n"/>
      <c r="Y39" s="15" t="n"/>
      <c r="Z39" s="16" t="n"/>
      <c r="AA39" s="15" t="n"/>
      <c r="AB39" s="16" t="n"/>
      <c r="AC39" s="15" t="n"/>
      <c r="AD39" s="16" t="n"/>
      <c r="AE39" s="15" t="n"/>
      <c r="AF39" s="16" t="n"/>
      <c r="AG39" s="15" t="n"/>
      <c r="AH39" s="16" t="n"/>
      <c r="AI39" s="17">
        <f>IFERROR(J39+L39+N39+P39+R39+T39+V39+X39+Z39+AB39+AD39+AF39+AH39,"")</f>
        <v/>
      </c>
      <c r="AJ39" s="18">
        <f>IFERROR(ROUND(AI39/39*100,0),"")</f>
        <v/>
      </c>
      <c r="AK39" s="19">
        <f>IFERROR(IF(AJ39&gt;=80,"🟢 Hyvä",IF(AJ39&gt;=60,"🟡 Kehitys","🔴 Prioriteetti")),"")</f>
        <v/>
      </c>
      <c r="AL39" s="19">
        <f>IFERROR(IF(OR(F39="PHV-huippu",AJ39&lt;60),"⚠️ MAX 60%","OK"),"")</f>
        <v/>
      </c>
      <c r="AM39" s="20" t="n"/>
      <c r="AN39" s="20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6" t="n"/>
      <c r="K40" s="15" t="n"/>
      <c r="L40" s="16" t="n"/>
      <c r="M40" s="15" t="n"/>
      <c r="N40" s="16" t="n"/>
      <c r="O40" s="15" t="n"/>
      <c r="P40" s="16" t="n"/>
      <c r="Q40" s="15" t="n"/>
      <c r="R40" s="16" t="n"/>
      <c r="S40" s="15" t="n"/>
      <c r="T40" s="16" t="n"/>
      <c r="U40" s="15" t="n"/>
      <c r="V40" s="16" t="n"/>
      <c r="W40" s="15" t="n"/>
      <c r="X40" s="16" t="n"/>
      <c r="Y40" s="15" t="n"/>
      <c r="Z40" s="16" t="n"/>
      <c r="AA40" s="15" t="n"/>
      <c r="AB40" s="16" t="n"/>
      <c r="AC40" s="15" t="n"/>
      <c r="AD40" s="16" t="n"/>
      <c r="AE40" s="15" t="n"/>
      <c r="AF40" s="16" t="n"/>
      <c r="AG40" s="15" t="n"/>
      <c r="AH40" s="16" t="n"/>
      <c r="AI40" s="17">
        <f>IFERROR(J40+L40+N40+P40+R40+T40+V40+X40+Z40+AB40+AD40+AF40+AH40,"")</f>
        <v/>
      </c>
      <c r="AJ40" s="18">
        <f>IFERROR(ROUND(AI40/39*100,0),"")</f>
        <v/>
      </c>
      <c r="AK40" s="19">
        <f>IFERROR(IF(AJ40&gt;=80,"🟢 Hyvä",IF(AJ40&gt;=60,"🟡 Kehitys","🔴 Prioriteetti")),"")</f>
        <v/>
      </c>
      <c r="AL40" s="19">
        <f>IFERROR(IF(OR(F40="PHV-huippu",AJ40&lt;60),"⚠️ MAX 60%","OK"),"")</f>
        <v/>
      </c>
      <c r="AM40" s="20" t="n"/>
      <c r="AN40" s="20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15" t="n"/>
      <c r="L41" s="16" t="n"/>
      <c r="M41" s="15" t="n"/>
      <c r="N41" s="16" t="n"/>
      <c r="O41" s="15" t="n"/>
      <c r="P41" s="16" t="n"/>
      <c r="Q41" s="15" t="n"/>
      <c r="R41" s="16" t="n"/>
      <c r="S41" s="15" t="n"/>
      <c r="T41" s="16" t="n"/>
      <c r="U41" s="15" t="n"/>
      <c r="V41" s="16" t="n"/>
      <c r="W41" s="15" t="n"/>
      <c r="X41" s="16" t="n"/>
      <c r="Y41" s="15" t="n"/>
      <c r="Z41" s="16" t="n"/>
      <c r="AA41" s="15" t="n"/>
      <c r="AB41" s="16" t="n"/>
      <c r="AC41" s="15" t="n"/>
      <c r="AD41" s="16" t="n"/>
      <c r="AE41" s="15" t="n"/>
      <c r="AF41" s="16" t="n"/>
      <c r="AG41" s="15" t="n"/>
      <c r="AH41" s="16" t="n"/>
      <c r="AI41" s="17">
        <f>IFERROR(J41+L41+N41+P41+R41+T41+V41+X41+Z41+AB41+AD41+AF41+AH41,"")</f>
        <v/>
      </c>
      <c r="AJ41" s="18">
        <f>IFERROR(ROUND(AI41/39*100,0),"")</f>
        <v/>
      </c>
      <c r="AK41" s="19">
        <f>IFERROR(IF(AJ41&gt;=80,"🟢 Hyvä",IF(AJ41&gt;=60,"🟡 Kehitys","🔴 Prioriteetti")),"")</f>
        <v/>
      </c>
      <c r="AL41" s="19">
        <f>IFERROR(IF(OR(F41="PHV-huippu",AJ41&lt;60),"⚠️ MAX 60%","OK"),"")</f>
        <v/>
      </c>
      <c r="AM41" s="20" t="n"/>
      <c r="AN41" s="20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15" t="n"/>
      <c r="L42" s="16" t="n"/>
      <c r="M42" s="15" t="n"/>
      <c r="N42" s="16" t="n"/>
      <c r="O42" s="15" t="n"/>
      <c r="P42" s="16" t="n"/>
      <c r="Q42" s="15" t="n"/>
      <c r="R42" s="16" t="n"/>
      <c r="S42" s="15" t="n"/>
      <c r="T42" s="16" t="n"/>
      <c r="U42" s="15" t="n"/>
      <c r="V42" s="16" t="n"/>
      <c r="W42" s="15" t="n"/>
      <c r="X42" s="16" t="n"/>
      <c r="Y42" s="15" t="n"/>
      <c r="Z42" s="16" t="n"/>
      <c r="AA42" s="15" t="n"/>
      <c r="AB42" s="16" t="n"/>
      <c r="AC42" s="15" t="n"/>
      <c r="AD42" s="16" t="n"/>
      <c r="AE42" s="15" t="n"/>
      <c r="AF42" s="16" t="n"/>
      <c r="AG42" s="15" t="n"/>
      <c r="AH42" s="16" t="n"/>
      <c r="AI42" s="17">
        <f>IFERROR(J42+L42+N42+P42+R42+T42+V42+X42+Z42+AB42+AD42+AF42+AH42,"")</f>
        <v/>
      </c>
      <c r="AJ42" s="18">
        <f>IFERROR(ROUND(AI42/39*100,0),"")</f>
        <v/>
      </c>
      <c r="AK42" s="19">
        <f>IFERROR(IF(AJ42&gt;=80,"🟢 Hyvä",IF(AJ42&gt;=60,"🟡 Kehitys","🔴 Prioriteetti")),"")</f>
        <v/>
      </c>
      <c r="AL42" s="19">
        <f>IFERROR(IF(OR(F42="PHV-huippu",AJ42&lt;60),"⚠️ MAX 60%","OK"),"")</f>
        <v/>
      </c>
      <c r="AM42" s="20" t="n"/>
      <c r="AN42" s="20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6" t="n"/>
      <c r="K43" s="15" t="n"/>
      <c r="L43" s="16" t="n"/>
      <c r="M43" s="15" t="n"/>
      <c r="N43" s="16" t="n"/>
      <c r="O43" s="15" t="n"/>
      <c r="P43" s="16" t="n"/>
      <c r="Q43" s="15" t="n"/>
      <c r="R43" s="16" t="n"/>
      <c r="S43" s="15" t="n"/>
      <c r="T43" s="16" t="n"/>
      <c r="U43" s="15" t="n"/>
      <c r="V43" s="16" t="n"/>
      <c r="W43" s="15" t="n"/>
      <c r="X43" s="16" t="n"/>
      <c r="Y43" s="15" t="n"/>
      <c r="Z43" s="16" t="n"/>
      <c r="AA43" s="15" t="n"/>
      <c r="AB43" s="16" t="n"/>
      <c r="AC43" s="15" t="n"/>
      <c r="AD43" s="16" t="n"/>
      <c r="AE43" s="15" t="n"/>
      <c r="AF43" s="16" t="n"/>
      <c r="AG43" s="15" t="n"/>
      <c r="AH43" s="16" t="n"/>
      <c r="AI43" s="17">
        <f>IFERROR(J43+L43+N43+P43+R43+T43+V43+X43+Z43+AB43+AD43+AF43+AH43,"")</f>
        <v/>
      </c>
      <c r="AJ43" s="18">
        <f>IFERROR(ROUND(AI43/39*100,0),"")</f>
        <v/>
      </c>
      <c r="AK43" s="19">
        <f>IFERROR(IF(AJ43&gt;=80,"🟢 Hyvä",IF(AJ43&gt;=60,"🟡 Kehitys","🔴 Prioriteetti")),"")</f>
        <v/>
      </c>
      <c r="AL43" s="19">
        <f>IFERROR(IF(OR(F43="PHV-huippu",AJ43&lt;60),"⚠️ MAX 60%","OK"),"")</f>
        <v/>
      </c>
      <c r="AM43" s="20" t="n"/>
      <c r="AN43" s="20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6" t="n"/>
      <c r="K44" s="15" t="n"/>
      <c r="L44" s="16" t="n"/>
      <c r="M44" s="15" t="n"/>
      <c r="N44" s="16" t="n"/>
      <c r="O44" s="15" t="n"/>
      <c r="P44" s="16" t="n"/>
      <c r="Q44" s="15" t="n"/>
      <c r="R44" s="16" t="n"/>
      <c r="S44" s="15" t="n"/>
      <c r="T44" s="16" t="n"/>
      <c r="U44" s="15" t="n"/>
      <c r="V44" s="16" t="n"/>
      <c r="W44" s="15" t="n"/>
      <c r="X44" s="16" t="n"/>
      <c r="Y44" s="15" t="n"/>
      <c r="Z44" s="16" t="n"/>
      <c r="AA44" s="15" t="n"/>
      <c r="AB44" s="16" t="n"/>
      <c r="AC44" s="15" t="n"/>
      <c r="AD44" s="16" t="n"/>
      <c r="AE44" s="15" t="n"/>
      <c r="AF44" s="16" t="n"/>
      <c r="AG44" s="15" t="n"/>
      <c r="AH44" s="16" t="n"/>
      <c r="AI44" s="17">
        <f>IFERROR(J44+L44+N44+P44+R44+T44+V44+X44+Z44+AB44+AD44+AF44+AH44,"")</f>
        <v/>
      </c>
      <c r="AJ44" s="18">
        <f>IFERROR(ROUND(AI44/39*100,0),"")</f>
        <v/>
      </c>
      <c r="AK44" s="19">
        <f>IFERROR(IF(AJ44&gt;=80,"🟢 Hyvä",IF(AJ44&gt;=60,"🟡 Kehitys","🔴 Prioriteetti")),"")</f>
        <v/>
      </c>
      <c r="AL44" s="19">
        <f>IFERROR(IF(OR(F44="PHV-huippu",AJ44&lt;60),"⚠️ MAX 60%","OK"),"")</f>
        <v/>
      </c>
      <c r="AM44" s="20" t="n"/>
      <c r="AN44" s="20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6" t="n"/>
      <c r="K45" s="15" t="n"/>
      <c r="L45" s="16" t="n"/>
      <c r="M45" s="15" t="n"/>
      <c r="N45" s="16" t="n"/>
      <c r="O45" s="15" t="n"/>
      <c r="P45" s="16" t="n"/>
      <c r="Q45" s="15" t="n"/>
      <c r="R45" s="16" t="n"/>
      <c r="S45" s="15" t="n"/>
      <c r="T45" s="16" t="n"/>
      <c r="U45" s="15" t="n"/>
      <c r="V45" s="16" t="n"/>
      <c r="W45" s="15" t="n"/>
      <c r="X45" s="16" t="n"/>
      <c r="Y45" s="15" t="n"/>
      <c r="Z45" s="16" t="n"/>
      <c r="AA45" s="15" t="n"/>
      <c r="AB45" s="16" t="n"/>
      <c r="AC45" s="15" t="n"/>
      <c r="AD45" s="16" t="n"/>
      <c r="AE45" s="15" t="n"/>
      <c r="AF45" s="16" t="n"/>
      <c r="AG45" s="15" t="n"/>
      <c r="AH45" s="16" t="n"/>
      <c r="AI45" s="17">
        <f>IFERROR(J45+L45+N45+P45+R45+T45+V45+X45+Z45+AB45+AD45+AF45+AH45,"")</f>
        <v/>
      </c>
      <c r="AJ45" s="18">
        <f>IFERROR(ROUND(AI45/39*100,0),"")</f>
        <v/>
      </c>
      <c r="AK45" s="19">
        <f>IFERROR(IF(AJ45&gt;=80,"🟢 Hyvä",IF(AJ45&gt;=60,"🟡 Kehitys","🔴 Prioriteetti")),"")</f>
        <v/>
      </c>
      <c r="AL45" s="19">
        <f>IFERROR(IF(OR(F45="PHV-huippu",AJ45&lt;60),"⚠️ MAX 60%","OK"),"")</f>
        <v/>
      </c>
      <c r="AM45" s="20" t="n"/>
      <c r="AN45" s="20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6" t="n"/>
      <c r="K46" s="15" t="n"/>
      <c r="L46" s="16" t="n"/>
      <c r="M46" s="15" t="n"/>
      <c r="N46" s="16" t="n"/>
      <c r="O46" s="15" t="n"/>
      <c r="P46" s="16" t="n"/>
      <c r="Q46" s="15" t="n"/>
      <c r="R46" s="16" t="n"/>
      <c r="S46" s="15" t="n"/>
      <c r="T46" s="16" t="n"/>
      <c r="U46" s="15" t="n"/>
      <c r="V46" s="16" t="n"/>
      <c r="W46" s="15" t="n"/>
      <c r="X46" s="16" t="n"/>
      <c r="Y46" s="15" t="n"/>
      <c r="Z46" s="16" t="n"/>
      <c r="AA46" s="15" t="n"/>
      <c r="AB46" s="16" t="n"/>
      <c r="AC46" s="15" t="n"/>
      <c r="AD46" s="16" t="n"/>
      <c r="AE46" s="15" t="n"/>
      <c r="AF46" s="16" t="n"/>
      <c r="AG46" s="15" t="n"/>
      <c r="AH46" s="16" t="n"/>
      <c r="AI46" s="17">
        <f>IFERROR(J46+L46+N46+P46+R46+T46+V46+X46+Z46+AB46+AD46+AF46+AH46,"")</f>
        <v/>
      </c>
      <c r="AJ46" s="18">
        <f>IFERROR(ROUND(AI46/39*100,0),"")</f>
        <v/>
      </c>
      <c r="AK46" s="19">
        <f>IFERROR(IF(AJ46&gt;=80,"🟢 Hyvä",IF(AJ46&gt;=60,"🟡 Kehitys","🔴 Prioriteetti")),"")</f>
        <v/>
      </c>
      <c r="AL46" s="19">
        <f>IFERROR(IF(OR(F46="PHV-huippu",AJ46&lt;60),"⚠️ MAX 60%","OK"),"")</f>
        <v/>
      </c>
      <c r="AM46" s="20" t="n"/>
      <c r="AN46" s="20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6" t="n"/>
      <c r="K47" s="15" t="n"/>
      <c r="L47" s="16" t="n"/>
      <c r="M47" s="15" t="n"/>
      <c r="N47" s="16" t="n"/>
      <c r="O47" s="15" t="n"/>
      <c r="P47" s="16" t="n"/>
      <c r="Q47" s="15" t="n"/>
      <c r="R47" s="16" t="n"/>
      <c r="S47" s="15" t="n"/>
      <c r="T47" s="16" t="n"/>
      <c r="U47" s="15" t="n"/>
      <c r="V47" s="16" t="n"/>
      <c r="W47" s="15" t="n"/>
      <c r="X47" s="16" t="n"/>
      <c r="Y47" s="15" t="n"/>
      <c r="Z47" s="16" t="n"/>
      <c r="AA47" s="15" t="n"/>
      <c r="AB47" s="16" t="n"/>
      <c r="AC47" s="15" t="n"/>
      <c r="AD47" s="16" t="n"/>
      <c r="AE47" s="15" t="n"/>
      <c r="AF47" s="16" t="n"/>
      <c r="AG47" s="15" t="n"/>
      <c r="AH47" s="16" t="n"/>
      <c r="AI47" s="17">
        <f>IFERROR(J47+L47+N47+P47+R47+T47+V47+X47+Z47+AB47+AD47+AF47+AH47,"")</f>
        <v/>
      </c>
      <c r="AJ47" s="18">
        <f>IFERROR(ROUND(AI47/39*100,0),"")</f>
        <v/>
      </c>
      <c r="AK47" s="19">
        <f>IFERROR(IF(AJ47&gt;=80,"🟢 Hyvä",IF(AJ47&gt;=60,"🟡 Kehitys","🔴 Prioriteetti")),"")</f>
        <v/>
      </c>
      <c r="AL47" s="19">
        <f>IFERROR(IF(OR(F47="PHV-huippu",AJ47&lt;60),"⚠️ MAX 60%","OK"),"")</f>
        <v/>
      </c>
      <c r="AM47" s="20" t="n"/>
      <c r="AN47" s="20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6" t="n"/>
      <c r="K48" s="15" t="n"/>
      <c r="L48" s="16" t="n"/>
      <c r="M48" s="15" t="n"/>
      <c r="N48" s="16" t="n"/>
      <c r="O48" s="15" t="n"/>
      <c r="P48" s="16" t="n"/>
      <c r="Q48" s="15" t="n"/>
      <c r="R48" s="16" t="n"/>
      <c r="S48" s="15" t="n"/>
      <c r="T48" s="16" t="n"/>
      <c r="U48" s="15" t="n"/>
      <c r="V48" s="16" t="n"/>
      <c r="W48" s="15" t="n"/>
      <c r="X48" s="16" t="n"/>
      <c r="Y48" s="15" t="n"/>
      <c r="Z48" s="16" t="n"/>
      <c r="AA48" s="15" t="n"/>
      <c r="AB48" s="16" t="n"/>
      <c r="AC48" s="15" t="n"/>
      <c r="AD48" s="16" t="n"/>
      <c r="AE48" s="15" t="n"/>
      <c r="AF48" s="16" t="n"/>
      <c r="AG48" s="15" t="n"/>
      <c r="AH48" s="16" t="n"/>
      <c r="AI48" s="17">
        <f>IFERROR(J48+L48+N48+P48+R48+T48+V48+X48+Z48+AB48+AD48+AF48+AH48,"")</f>
        <v/>
      </c>
      <c r="AJ48" s="18">
        <f>IFERROR(ROUND(AI48/39*100,0),"")</f>
        <v/>
      </c>
      <c r="AK48" s="19">
        <f>IFERROR(IF(AJ48&gt;=80,"🟢 Hyvä",IF(AJ48&gt;=60,"🟡 Kehitys","🔴 Prioriteetti")),"")</f>
        <v/>
      </c>
      <c r="AL48" s="19">
        <f>IFERROR(IF(OR(F48="PHV-huippu",AJ48&lt;60),"⚠️ MAX 60%","OK"),"")</f>
        <v/>
      </c>
      <c r="AM48" s="20" t="n"/>
      <c r="AN48" s="20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6" t="n"/>
      <c r="K49" s="15" t="n"/>
      <c r="L49" s="16" t="n"/>
      <c r="M49" s="15" t="n"/>
      <c r="N49" s="16" t="n"/>
      <c r="O49" s="15" t="n"/>
      <c r="P49" s="16" t="n"/>
      <c r="Q49" s="15" t="n"/>
      <c r="R49" s="16" t="n"/>
      <c r="S49" s="15" t="n"/>
      <c r="T49" s="16" t="n"/>
      <c r="U49" s="15" t="n"/>
      <c r="V49" s="16" t="n"/>
      <c r="W49" s="15" t="n"/>
      <c r="X49" s="16" t="n"/>
      <c r="Y49" s="15" t="n"/>
      <c r="Z49" s="16" t="n"/>
      <c r="AA49" s="15" t="n"/>
      <c r="AB49" s="16" t="n"/>
      <c r="AC49" s="15" t="n"/>
      <c r="AD49" s="16" t="n"/>
      <c r="AE49" s="15" t="n"/>
      <c r="AF49" s="16" t="n"/>
      <c r="AG49" s="15" t="n"/>
      <c r="AH49" s="16" t="n"/>
      <c r="AI49" s="17">
        <f>IFERROR(J49+L49+N49+P49+R49+T49+V49+X49+Z49+AB49+AD49+AF49+AH49,"")</f>
        <v/>
      </c>
      <c r="AJ49" s="18">
        <f>IFERROR(ROUND(AI49/39*100,0),"")</f>
        <v/>
      </c>
      <c r="AK49" s="19">
        <f>IFERROR(IF(AJ49&gt;=80,"🟢 Hyvä",IF(AJ49&gt;=60,"🟡 Kehitys","🔴 Prioriteetti")),"")</f>
        <v/>
      </c>
      <c r="AL49" s="19">
        <f>IFERROR(IF(OR(F49="PHV-huippu",AJ49&lt;60),"⚠️ MAX 60%","OK"),"")</f>
        <v/>
      </c>
      <c r="AM49" s="20" t="n"/>
      <c r="AN49" s="20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6" t="n"/>
      <c r="K50" s="15" t="n"/>
      <c r="L50" s="16" t="n"/>
      <c r="M50" s="15" t="n"/>
      <c r="N50" s="16" t="n"/>
      <c r="O50" s="15" t="n"/>
      <c r="P50" s="16" t="n"/>
      <c r="Q50" s="15" t="n"/>
      <c r="R50" s="16" t="n"/>
      <c r="S50" s="15" t="n"/>
      <c r="T50" s="16" t="n"/>
      <c r="U50" s="15" t="n"/>
      <c r="V50" s="16" t="n"/>
      <c r="W50" s="15" t="n"/>
      <c r="X50" s="16" t="n"/>
      <c r="Y50" s="15" t="n"/>
      <c r="Z50" s="16" t="n"/>
      <c r="AA50" s="15" t="n"/>
      <c r="AB50" s="16" t="n"/>
      <c r="AC50" s="15" t="n"/>
      <c r="AD50" s="16" t="n"/>
      <c r="AE50" s="15" t="n"/>
      <c r="AF50" s="16" t="n"/>
      <c r="AG50" s="15" t="n"/>
      <c r="AH50" s="16" t="n"/>
      <c r="AI50" s="17">
        <f>IFERROR(J50+L50+N50+P50+R50+T50+V50+X50+Z50+AB50+AD50+AF50+AH50,"")</f>
        <v/>
      </c>
      <c r="AJ50" s="18">
        <f>IFERROR(ROUND(AI50/39*100,0),"")</f>
        <v/>
      </c>
      <c r="AK50" s="19">
        <f>IFERROR(IF(AJ50&gt;=80,"🟢 Hyvä",IF(AJ50&gt;=60,"🟡 Kehitys","🔴 Prioriteetti")),"")</f>
        <v/>
      </c>
      <c r="AL50" s="19">
        <f>IFERROR(IF(OR(F50="PHV-huippu",AJ50&lt;60),"⚠️ MAX 60%","OK"),"")</f>
        <v/>
      </c>
      <c r="AM50" s="20" t="n"/>
      <c r="AN50" s="20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6" t="n"/>
      <c r="K51" s="15" t="n"/>
      <c r="L51" s="16" t="n"/>
      <c r="M51" s="15" t="n"/>
      <c r="N51" s="16" t="n"/>
      <c r="O51" s="15" t="n"/>
      <c r="P51" s="16" t="n"/>
      <c r="Q51" s="15" t="n"/>
      <c r="R51" s="16" t="n"/>
      <c r="S51" s="15" t="n"/>
      <c r="T51" s="16" t="n"/>
      <c r="U51" s="15" t="n"/>
      <c r="V51" s="16" t="n"/>
      <c r="W51" s="15" t="n"/>
      <c r="X51" s="16" t="n"/>
      <c r="Y51" s="15" t="n"/>
      <c r="Z51" s="16" t="n"/>
      <c r="AA51" s="15" t="n"/>
      <c r="AB51" s="16" t="n"/>
      <c r="AC51" s="15" t="n"/>
      <c r="AD51" s="16" t="n"/>
      <c r="AE51" s="15" t="n"/>
      <c r="AF51" s="16" t="n"/>
      <c r="AG51" s="15" t="n"/>
      <c r="AH51" s="16" t="n"/>
      <c r="AI51" s="17">
        <f>IFERROR(J51+L51+N51+P51+R51+T51+V51+X51+Z51+AB51+AD51+AF51+AH51,"")</f>
        <v/>
      </c>
      <c r="AJ51" s="18">
        <f>IFERROR(ROUND(AI51/39*100,0),"")</f>
        <v/>
      </c>
      <c r="AK51" s="19">
        <f>IFERROR(IF(AJ51&gt;=80,"🟢 Hyvä",IF(AJ51&gt;=60,"🟡 Kehitys","🔴 Prioriteetti")),"")</f>
        <v/>
      </c>
      <c r="AL51" s="19">
        <f>IFERROR(IF(OR(F51="PHV-huippu",AJ51&lt;60),"⚠️ MAX 60%","OK"),"")</f>
        <v/>
      </c>
      <c r="AM51" s="20" t="n"/>
      <c r="AN51" s="20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6" t="n"/>
      <c r="K52" s="15" t="n"/>
      <c r="L52" s="16" t="n"/>
      <c r="M52" s="15" t="n"/>
      <c r="N52" s="16" t="n"/>
      <c r="O52" s="15" t="n"/>
      <c r="P52" s="16" t="n"/>
      <c r="Q52" s="15" t="n"/>
      <c r="R52" s="16" t="n"/>
      <c r="S52" s="15" t="n"/>
      <c r="T52" s="16" t="n"/>
      <c r="U52" s="15" t="n"/>
      <c r="V52" s="16" t="n"/>
      <c r="W52" s="15" t="n"/>
      <c r="X52" s="16" t="n"/>
      <c r="Y52" s="15" t="n"/>
      <c r="Z52" s="16" t="n"/>
      <c r="AA52" s="15" t="n"/>
      <c r="AB52" s="16" t="n"/>
      <c r="AC52" s="15" t="n"/>
      <c r="AD52" s="16" t="n"/>
      <c r="AE52" s="15" t="n"/>
      <c r="AF52" s="16" t="n"/>
      <c r="AG52" s="15" t="n"/>
      <c r="AH52" s="16" t="n"/>
      <c r="AI52" s="17">
        <f>IFERROR(J52+L52+N52+P52+R52+T52+V52+X52+Z52+AB52+AD52+AF52+AH52,"")</f>
        <v/>
      </c>
      <c r="AJ52" s="18">
        <f>IFERROR(ROUND(AI52/39*100,0),"")</f>
        <v/>
      </c>
      <c r="AK52" s="19">
        <f>IFERROR(IF(AJ52&gt;=80,"🟢 Hyvä",IF(AJ52&gt;=60,"🟡 Kehitys","🔴 Prioriteetti")),"")</f>
        <v/>
      </c>
      <c r="AL52" s="19">
        <f>IFERROR(IF(OR(F52="PHV-huippu",AJ52&lt;60),"⚠️ MAX 60%","OK"),"")</f>
        <v/>
      </c>
      <c r="AM52" s="20" t="n"/>
      <c r="AN52" s="20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6" t="n"/>
      <c r="K53" s="15" t="n"/>
      <c r="L53" s="16" t="n"/>
      <c r="M53" s="15" t="n"/>
      <c r="N53" s="16" t="n"/>
      <c r="O53" s="15" t="n"/>
      <c r="P53" s="16" t="n"/>
      <c r="Q53" s="15" t="n"/>
      <c r="R53" s="16" t="n"/>
      <c r="S53" s="15" t="n"/>
      <c r="T53" s="16" t="n"/>
      <c r="U53" s="15" t="n"/>
      <c r="V53" s="16" t="n"/>
      <c r="W53" s="15" t="n"/>
      <c r="X53" s="16" t="n"/>
      <c r="Y53" s="15" t="n"/>
      <c r="Z53" s="16" t="n"/>
      <c r="AA53" s="15" t="n"/>
      <c r="AB53" s="16" t="n"/>
      <c r="AC53" s="15" t="n"/>
      <c r="AD53" s="16" t="n"/>
      <c r="AE53" s="15" t="n"/>
      <c r="AF53" s="16" t="n"/>
      <c r="AG53" s="15" t="n"/>
      <c r="AH53" s="16" t="n"/>
      <c r="AI53" s="17">
        <f>IFERROR(J53+L53+N53+P53+R53+T53+V53+X53+Z53+AB53+AD53+AF53+AH53,"")</f>
        <v/>
      </c>
      <c r="AJ53" s="18">
        <f>IFERROR(ROUND(AI53/39*100,0),"")</f>
        <v/>
      </c>
      <c r="AK53" s="19">
        <f>IFERROR(IF(AJ53&gt;=80,"🟢 Hyvä",IF(AJ53&gt;=60,"🟡 Kehitys","🔴 Prioriteetti")),"")</f>
        <v/>
      </c>
      <c r="AL53" s="19">
        <f>IFERROR(IF(OR(F53="PHV-huippu",AJ53&lt;60),"⚠️ MAX 60%","OK"),"")</f>
        <v/>
      </c>
      <c r="AM53" s="20" t="n"/>
      <c r="AN53" s="20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6" t="n"/>
      <c r="K54" s="15" t="n"/>
      <c r="L54" s="16" t="n"/>
      <c r="M54" s="15" t="n"/>
      <c r="N54" s="16" t="n"/>
      <c r="O54" s="15" t="n"/>
      <c r="P54" s="16" t="n"/>
      <c r="Q54" s="15" t="n"/>
      <c r="R54" s="16" t="n"/>
      <c r="S54" s="15" t="n"/>
      <c r="T54" s="16" t="n"/>
      <c r="U54" s="15" t="n"/>
      <c r="V54" s="16" t="n"/>
      <c r="W54" s="15" t="n"/>
      <c r="X54" s="16" t="n"/>
      <c r="Y54" s="15" t="n"/>
      <c r="Z54" s="16" t="n"/>
      <c r="AA54" s="15" t="n"/>
      <c r="AB54" s="16" t="n"/>
      <c r="AC54" s="15" t="n"/>
      <c r="AD54" s="16" t="n"/>
      <c r="AE54" s="15" t="n"/>
      <c r="AF54" s="16" t="n"/>
      <c r="AG54" s="15" t="n"/>
      <c r="AH54" s="16" t="n"/>
      <c r="AI54" s="17">
        <f>IFERROR(J54+L54+N54+P54+R54+T54+V54+X54+Z54+AB54+AD54+AF54+AH54,"")</f>
        <v/>
      </c>
      <c r="AJ54" s="18">
        <f>IFERROR(ROUND(AI54/39*100,0),"")</f>
        <v/>
      </c>
      <c r="AK54" s="19">
        <f>IFERROR(IF(AJ54&gt;=80,"🟢 Hyvä",IF(AJ54&gt;=60,"🟡 Kehitys","🔴 Prioriteetti")),"")</f>
        <v/>
      </c>
      <c r="AL54" s="19">
        <f>IFERROR(IF(OR(F54="PHV-huippu",AJ54&lt;60),"⚠️ MAX 60%","OK"),"")</f>
        <v/>
      </c>
      <c r="AM54" s="20" t="n"/>
      <c r="AN54" s="20" t="n"/>
    </row>
  </sheetData>
  <mergeCells count="2">
    <mergeCell ref="A2:AN2"/>
    <mergeCell ref="A1:AN1"/>
  </mergeCells>
  <dataValidations count="650">
    <dataValidation sqref="J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Z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B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D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F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AH54" showDropDown="0" showInputMessage="0" showErrorMessage="1" allowBlank="0" errorTitle="Virheellinen arvo" error="Syötä vain 1, 2 tai 3" type="whole" operator="between">
      <formula1>1</formula1>
      <formula2>3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6B35FF"/>
    <outlinePr summaryBelow="1" summaryRight="1"/>
    <pageSetUpPr/>
  </sheetPr>
  <dimension ref="A1:AD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7" customWidth="1" min="3" max="3"/>
    <col width="5" customWidth="1" min="4" max="4"/>
    <col width="12" customWidth="1" min="5" max="5"/>
    <col width="10" customWidth="1" min="6" max="6"/>
    <col width="14" customWidth="1" min="7" max="7"/>
    <col width="14" customWidth="1" min="8" max="8"/>
    <col width="11" customWidth="1" min="9" max="9"/>
    <col width="6" customWidth="1" min="10" max="10"/>
    <col width="11" customWidth="1" min="11" max="11"/>
    <col width="6" customWidth="1" min="12" max="12"/>
    <col width="11" customWidth="1" min="13" max="13"/>
    <col width="6" customWidth="1" min="14" max="14"/>
    <col width="11" customWidth="1" min="15" max="15"/>
    <col width="6" customWidth="1" min="16" max="16"/>
    <col width="11" customWidth="1" min="17" max="17"/>
    <col width="6" customWidth="1" min="18" max="18"/>
    <col width="11" customWidth="1" min="19" max="19"/>
    <col width="6" customWidth="1" min="20" max="20"/>
    <col width="11" customWidth="1" min="21" max="21"/>
    <col width="6" customWidth="1" min="22" max="22"/>
    <col width="11" customWidth="1" min="23" max="23"/>
    <col width="6" customWidth="1" min="24" max="24"/>
    <col width="9" customWidth="1" min="25" max="25"/>
    <col width="9" customWidth="1" min="26" max="26"/>
    <col width="9" customWidth="1" min="27" max="27"/>
    <col width="9" customWidth="1" min="28" max="28"/>
    <col width="22" customWidth="1" min="29" max="29"/>
    <col width="22" customWidth="1" min="30" max="30"/>
  </cols>
  <sheetData>
    <row r="1" ht="28" customHeight="1">
      <c r="A1" s="8" t="inlineStr">
        <is>
          <t>HARJOITETTAVUUSKARTOITUS U19 — 16–19-vuotiaat | Voimatestit 5RM + Liikkuvuus + Hypyt</t>
        </is>
      </c>
    </row>
    <row r="2" ht="20" customHeight="1">
      <c r="A2" s="9" t="inlineStr">
        <is>
          <t>Pisteet: 🔴 1p = rajoitteita/kehitettävää kriittisesti  |  🟡 2p = kehitettävää  |  🟢 3p = hallitsee hyvin  |  Pisteet 1–3 per testi</t>
        </is>
      </c>
    </row>
    <row r="3" ht="18" customHeight="1">
      <c r="A3" s="10" t="inlineStr">
        <is>
          <t>Seura:</t>
        </is>
      </c>
      <c r="B3" s="11" t="n"/>
      <c r="D3" s="10" t="inlineStr">
        <is>
          <t>Kausi:</t>
        </is>
      </c>
      <c r="E3" s="11" t="n"/>
      <c r="G3" s="10" t="inlineStr">
        <is>
          <t>Joukkue:</t>
        </is>
      </c>
      <c r="H3" s="11" t="n"/>
    </row>
    <row r="4" ht="32" customHeight="1">
      <c r="A4" s="12" t="inlineStr">
        <is>
          <t>PelaajaID</t>
        </is>
      </c>
      <c r="B4" s="12" t="inlineStr">
        <is>
          <t>Nimi</t>
        </is>
      </c>
      <c r="C4" s="12" t="inlineStr">
        <is>
          <t>Sukup
(P/T)</t>
        </is>
      </c>
      <c r="D4" s="12" t="inlineStr">
        <is>
          <t>Ikä
(v)</t>
        </is>
      </c>
      <c r="E4" s="12" t="inlineStr">
        <is>
          <t>Testaus
pvm</t>
        </is>
      </c>
      <c r="F4" s="12" t="inlineStr">
        <is>
          <t>PHV-
tila</t>
        </is>
      </c>
      <c r="G4" s="12" t="inlineStr">
        <is>
          <t>Joukkue</t>
        </is>
      </c>
      <c r="H4" s="12" t="inlineStr">
        <is>
          <t>Arvioija</t>
        </is>
      </c>
      <c r="I4" s="13" t="inlineStr">
        <is>
          <t>Leuanveto
(tulos)</t>
        </is>
      </c>
      <c r="J4" s="13" t="inlineStr">
        <is>
          <t>Pist.
1–3</t>
        </is>
      </c>
      <c r="K4" s="13" t="inlineStr">
        <is>
          <t>Jalkojen nosto
(tulos)</t>
        </is>
      </c>
      <c r="L4" s="13" t="inlineStr">
        <is>
          <t>Pist.
1–3</t>
        </is>
      </c>
      <c r="M4" s="13" t="inlineStr">
        <is>
          <t>Päkiänousu
(tulos)</t>
        </is>
      </c>
      <c r="N4" s="13" t="inlineStr">
        <is>
          <t>Pist.
1–3</t>
        </is>
      </c>
      <c r="O4" s="13" t="inlineStr">
        <is>
          <t>Lonkan aktiivinen oj.
(tulos)</t>
        </is>
      </c>
      <c r="P4" s="13" t="inlineStr">
        <is>
          <t>Pist.
1–3</t>
        </is>
      </c>
      <c r="Q4" s="13" t="inlineStr">
        <is>
          <t>SLR neuraalinen
(tulos)</t>
        </is>
      </c>
      <c r="R4" s="13" t="inlineStr">
        <is>
          <t>Pist.
1–3</t>
        </is>
      </c>
      <c r="S4" s="13" t="inlineStr">
        <is>
          <t>Thomas-testi
(tulos)</t>
        </is>
      </c>
      <c r="T4" s="13" t="inlineStr">
        <is>
          <t>Pist.
1–3</t>
        </is>
      </c>
      <c r="U4" s="13" t="inlineStr">
        <is>
          <t>Pituushyppy
(tulos)</t>
        </is>
      </c>
      <c r="V4" s="13" t="inlineStr">
        <is>
          <t>Pist.
1–3</t>
        </is>
      </c>
      <c r="W4" s="13" t="inlineStr">
        <is>
          <t>5-loikka
(tulos)</t>
        </is>
      </c>
      <c r="X4" s="13" t="inlineStr">
        <is>
          <t>Pist.
1–3</t>
        </is>
      </c>
      <c r="Y4" s="14" t="inlineStr">
        <is>
          <t>Kokon.
pisteet</t>
        </is>
      </c>
      <c r="Z4" s="14" t="inlineStr">
        <is>
          <t>FLEI
(%)</t>
        </is>
      </c>
      <c r="AA4" s="14" t="inlineStr">
        <is>
          <t>FLEI-
taso</t>
        </is>
      </c>
      <c r="AB4" s="14" t="inlineStr">
        <is>
          <t>Kuorma-
rajoitin</t>
        </is>
      </c>
      <c r="AC4" s="14" t="inlineStr">
        <is>
          <t>Huomiot</t>
        </is>
      </c>
      <c r="AD4" s="14" t="inlineStr">
        <is>
          <t>ASI-
huomio</t>
        </is>
      </c>
    </row>
    <row r="5">
      <c r="A5" s="15" t="n"/>
      <c r="B5" s="15" t="n"/>
      <c r="C5" s="15" t="n"/>
      <c r="D5" s="15" t="n"/>
      <c r="E5" s="15" t="n"/>
      <c r="F5" s="15" t="n"/>
      <c r="G5" s="15" t="n"/>
      <c r="H5" s="15" t="n"/>
      <c r="I5" s="15" t="n"/>
      <c r="J5" s="16" t="n"/>
      <c r="K5" s="15" t="n"/>
      <c r="L5" s="16" t="n"/>
      <c r="M5" s="15" t="n"/>
      <c r="N5" s="16" t="n"/>
      <c r="O5" s="15" t="n"/>
      <c r="P5" s="16" t="n"/>
      <c r="Q5" s="15" t="n"/>
      <c r="R5" s="16" t="n"/>
      <c r="S5" s="15" t="n"/>
      <c r="T5" s="16" t="n"/>
      <c r="U5" s="15" t="n"/>
      <c r="V5" s="16" t="n"/>
      <c r="W5" s="15" t="n"/>
      <c r="X5" s="16" t="n"/>
      <c r="Y5" s="17">
        <f>IFERROR(J5+L5+N5+P5+R5+T5+V5+X5,"")</f>
        <v/>
      </c>
      <c r="Z5" s="18">
        <f>IFERROR(ROUND(Y5/24*100,0),"")</f>
        <v/>
      </c>
      <c r="AA5" s="19">
        <f>IFERROR(IF(Z5&gt;=80,"🟢 Hyvä",IF(Z5&gt;=60,"🟡 Kehitys","🔴 Prioriteetti")),"")</f>
        <v/>
      </c>
      <c r="AB5" s="19">
        <f>IFERROR(IF(OR(F5="PHV-huippu",Z5&lt;60),"⚠️ MAX 60%","OK"),"")</f>
        <v/>
      </c>
      <c r="AC5" s="20" t="n"/>
      <c r="AD5" s="20" t="n"/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6" t="n"/>
      <c r="K6" s="15" t="n"/>
      <c r="L6" s="16" t="n"/>
      <c r="M6" s="15" t="n"/>
      <c r="N6" s="16" t="n"/>
      <c r="O6" s="15" t="n"/>
      <c r="P6" s="16" t="n"/>
      <c r="Q6" s="15" t="n"/>
      <c r="R6" s="16" t="n"/>
      <c r="S6" s="15" t="n"/>
      <c r="T6" s="16" t="n"/>
      <c r="U6" s="15" t="n"/>
      <c r="V6" s="16" t="n"/>
      <c r="W6" s="15" t="n"/>
      <c r="X6" s="16" t="n"/>
      <c r="Y6" s="17">
        <f>IFERROR(J6+L6+N6+P6+R6+T6+V6+X6,"")</f>
        <v/>
      </c>
      <c r="Z6" s="18">
        <f>IFERROR(ROUND(Y6/24*100,0),"")</f>
        <v/>
      </c>
      <c r="AA6" s="19">
        <f>IFERROR(IF(Z6&gt;=80,"🟢 Hyvä",IF(Z6&gt;=60,"🟡 Kehitys","🔴 Prioriteetti")),"")</f>
        <v/>
      </c>
      <c r="AB6" s="19">
        <f>IFERROR(IF(OR(F6="PHV-huippu",Z6&lt;60),"⚠️ MAX 60%","OK"),"")</f>
        <v/>
      </c>
      <c r="AC6" s="20" t="n"/>
      <c r="AD6" s="20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6" t="n"/>
      <c r="K7" s="15" t="n"/>
      <c r="L7" s="16" t="n"/>
      <c r="M7" s="15" t="n"/>
      <c r="N7" s="16" t="n"/>
      <c r="O7" s="15" t="n"/>
      <c r="P7" s="16" t="n"/>
      <c r="Q7" s="15" t="n"/>
      <c r="R7" s="16" t="n"/>
      <c r="S7" s="15" t="n"/>
      <c r="T7" s="16" t="n"/>
      <c r="U7" s="15" t="n"/>
      <c r="V7" s="16" t="n"/>
      <c r="W7" s="15" t="n"/>
      <c r="X7" s="16" t="n"/>
      <c r="Y7" s="17">
        <f>IFERROR(J7+L7+N7+P7+R7+T7+V7+X7,"")</f>
        <v/>
      </c>
      <c r="Z7" s="18">
        <f>IFERROR(ROUND(Y7/24*100,0),"")</f>
        <v/>
      </c>
      <c r="AA7" s="19">
        <f>IFERROR(IF(Z7&gt;=80,"🟢 Hyvä",IF(Z7&gt;=60,"🟡 Kehitys","🔴 Prioriteetti")),"")</f>
        <v/>
      </c>
      <c r="AB7" s="19">
        <f>IFERROR(IF(OR(F7="PHV-huippu",Z7&lt;60),"⚠️ MAX 60%","OK"),"")</f>
        <v/>
      </c>
      <c r="AC7" s="20" t="n"/>
      <c r="AD7" s="20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6" t="n"/>
      <c r="K8" s="15" t="n"/>
      <c r="L8" s="16" t="n"/>
      <c r="M8" s="15" t="n"/>
      <c r="N8" s="16" t="n"/>
      <c r="O8" s="15" t="n"/>
      <c r="P8" s="16" t="n"/>
      <c r="Q8" s="15" t="n"/>
      <c r="R8" s="16" t="n"/>
      <c r="S8" s="15" t="n"/>
      <c r="T8" s="16" t="n"/>
      <c r="U8" s="15" t="n"/>
      <c r="V8" s="16" t="n"/>
      <c r="W8" s="15" t="n"/>
      <c r="X8" s="16" t="n"/>
      <c r="Y8" s="17">
        <f>IFERROR(J8+L8+N8+P8+R8+T8+V8+X8,"")</f>
        <v/>
      </c>
      <c r="Z8" s="18">
        <f>IFERROR(ROUND(Y8/24*100,0),"")</f>
        <v/>
      </c>
      <c r="AA8" s="19">
        <f>IFERROR(IF(Z8&gt;=80,"🟢 Hyvä",IF(Z8&gt;=60,"🟡 Kehitys","🔴 Prioriteetti")),"")</f>
        <v/>
      </c>
      <c r="AB8" s="19">
        <f>IFERROR(IF(OR(F8="PHV-huippu",Z8&lt;60),"⚠️ MAX 60%","OK"),"")</f>
        <v/>
      </c>
      <c r="AC8" s="20" t="n"/>
      <c r="AD8" s="20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6" t="n"/>
      <c r="K9" s="15" t="n"/>
      <c r="L9" s="16" t="n"/>
      <c r="M9" s="15" t="n"/>
      <c r="N9" s="16" t="n"/>
      <c r="O9" s="15" t="n"/>
      <c r="P9" s="16" t="n"/>
      <c r="Q9" s="15" t="n"/>
      <c r="R9" s="16" t="n"/>
      <c r="S9" s="15" t="n"/>
      <c r="T9" s="16" t="n"/>
      <c r="U9" s="15" t="n"/>
      <c r="V9" s="16" t="n"/>
      <c r="W9" s="15" t="n"/>
      <c r="X9" s="16" t="n"/>
      <c r="Y9" s="17">
        <f>IFERROR(J9+L9+N9+P9+R9+T9+V9+X9,"")</f>
        <v/>
      </c>
      <c r="Z9" s="18">
        <f>IFERROR(ROUND(Y9/24*100,0),"")</f>
        <v/>
      </c>
      <c r="AA9" s="19">
        <f>IFERROR(IF(Z9&gt;=80,"🟢 Hyvä",IF(Z9&gt;=60,"🟡 Kehitys","🔴 Prioriteetti")),"")</f>
        <v/>
      </c>
      <c r="AB9" s="19">
        <f>IFERROR(IF(OR(F9="PHV-huippu",Z9&lt;60),"⚠️ MAX 60%","OK"),"")</f>
        <v/>
      </c>
      <c r="AC9" s="20" t="n"/>
      <c r="AD9" s="20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6" t="n"/>
      <c r="K10" s="15" t="n"/>
      <c r="L10" s="16" t="n"/>
      <c r="M10" s="15" t="n"/>
      <c r="N10" s="16" t="n"/>
      <c r="O10" s="15" t="n"/>
      <c r="P10" s="16" t="n"/>
      <c r="Q10" s="15" t="n"/>
      <c r="R10" s="16" t="n"/>
      <c r="S10" s="15" t="n"/>
      <c r="T10" s="16" t="n"/>
      <c r="U10" s="15" t="n"/>
      <c r="V10" s="16" t="n"/>
      <c r="W10" s="15" t="n"/>
      <c r="X10" s="16" t="n"/>
      <c r="Y10" s="17">
        <f>IFERROR(J10+L10+N10+P10+R10+T10+V10+X10,"")</f>
        <v/>
      </c>
      <c r="Z10" s="18">
        <f>IFERROR(ROUND(Y10/24*100,0),"")</f>
        <v/>
      </c>
      <c r="AA10" s="19">
        <f>IFERROR(IF(Z10&gt;=80,"🟢 Hyvä",IF(Z10&gt;=60,"🟡 Kehitys","🔴 Prioriteetti")),"")</f>
        <v/>
      </c>
      <c r="AB10" s="19">
        <f>IFERROR(IF(OR(F10="PHV-huippu",Z10&lt;60),"⚠️ MAX 60%","OK"),"")</f>
        <v/>
      </c>
      <c r="AC10" s="20" t="n"/>
      <c r="AD10" s="20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15" t="n"/>
      <c r="L11" s="16" t="n"/>
      <c r="M11" s="15" t="n"/>
      <c r="N11" s="16" t="n"/>
      <c r="O11" s="15" t="n"/>
      <c r="P11" s="16" t="n"/>
      <c r="Q11" s="15" t="n"/>
      <c r="R11" s="16" t="n"/>
      <c r="S11" s="15" t="n"/>
      <c r="T11" s="16" t="n"/>
      <c r="U11" s="15" t="n"/>
      <c r="V11" s="16" t="n"/>
      <c r="W11" s="15" t="n"/>
      <c r="X11" s="16" t="n"/>
      <c r="Y11" s="17">
        <f>IFERROR(J11+L11+N11+P11+R11+T11+V11+X11,"")</f>
        <v/>
      </c>
      <c r="Z11" s="18">
        <f>IFERROR(ROUND(Y11/24*100,0),"")</f>
        <v/>
      </c>
      <c r="AA11" s="19">
        <f>IFERROR(IF(Z11&gt;=80,"🟢 Hyvä",IF(Z11&gt;=60,"🟡 Kehitys","🔴 Prioriteetti")),"")</f>
        <v/>
      </c>
      <c r="AB11" s="19">
        <f>IFERROR(IF(OR(F11="PHV-huippu",Z11&lt;60),"⚠️ MAX 60%","OK"),"")</f>
        <v/>
      </c>
      <c r="AC11" s="20" t="n"/>
      <c r="AD11" s="20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15" t="n"/>
      <c r="L12" s="16" t="n"/>
      <c r="M12" s="15" t="n"/>
      <c r="N12" s="16" t="n"/>
      <c r="O12" s="15" t="n"/>
      <c r="P12" s="16" t="n"/>
      <c r="Q12" s="15" t="n"/>
      <c r="R12" s="16" t="n"/>
      <c r="S12" s="15" t="n"/>
      <c r="T12" s="16" t="n"/>
      <c r="U12" s="15" t="n"/>
      <c r="V12" s="16" t="n"/>
      <c r="W12" s="15" t="n"/>
      <c r="X12" s="16" t="n"/>
      <c r="Y12" s="17">
        <f>IFERROR(J12+L12+N12+P12+R12+T12+V12+X12,"")</f>
        <v/>
      </c>
      <c r="Z12" s="18">
        <f>IFERROR(ROUND(Y12/24*100,0),"")</f>
        <v/>
      </c>
      <c r="AA12" s="19">
        <f>IFERROR(IF(Z12&gt;=80,"🟢 Hyvä",IF(Z12&gt;=60,"🟡 Kehitys","🔴 Prioriteetti")),"")</f>
        <v/>
      </c>
      <c r="AB12" s="19">
        <f>IFERROR(IF(OR(F12="PHV-huippu",Z12&lt;60),"⚠️ MAX 60%","OK"),"")</f>
        <v/>
      </c>
      <c r="AC12" s="20" t="n"/>
      <c r="AD12" s="20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6" t="n"/>
      <c r="K13" s="15" t="n"/>
      <c r="L13" s="16" t="n"/>
      <c r="M13" s="15" t="n"/>
      <c r="N13" s="16" t="n"/>
      <c r="O13" s="15" t="n"/>
      <c r="P13" s="16" t="n"/>
      <c r="Q13" s="15" t="n"/>
      <c r="R13" s="16" t="n"/>
      <c r="S13" s="15" t="n"/>
      <c r="T13" s="16" t="n"/>
      <c r="U13" s="15" t="n"/>
      <c r="V13" s="16" t="n"/>
      <c r="W13" s="15" t="n"/>
      <c r="X13" s="16" t="n"/>
      <c r="Y13" s="17">
        <f>IFERROR(J13+L13+N13+P13+R13+T13+V13+X13,"")</f>
        <v/>
      </c>
      <c r="Z13" s="18">
        <f>IFERROR(ROUND(Y13/24*100,0),"")</f>
        <v/>
      </c>
      <c r="AA13" s="19">
        <f>IFERROR(IF(Z13&gt;=80,"🟢 Hyvä",IF(Z13&gt;=60,"🟡 Kehitys","🔴 Prioriteetti")),"")</f>
        <v/>
      </c>
      <c r="AB13" s="19">
        <f>IFERROR(IF(OR(F13="PHV-huippu",Z13&lt;60),"⚠️ MAX 60%","OK"),"")</f>
        <v/>
      </c>
      <c r="AC13" s="20" t="n"/>
      <c r="AD13" s="20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6" t="n"/>
      <c r="K14" s="15" t="n"/>
      <c r="L14" s="16" t="n"/>
      <c r="M14" s="15" t="n"/>
      <c r="N14" s="16" t="n"/>
      <c r="O14" s="15" t="n"/>
      <c r="P14" s="16" t="n"/>
      <c r="Q14" s="15" t="n"/>
      <c r="R14" s="16" t="n"/>
      <c r="S14" s="15" t="n"/>
      <c r="T14" s="16" t="n"/>
      <c r="U14" s="15" t="n"/>
      <c r="V14" s="16" t="n"/>
      <c r="W14" s="15" t="n"/>
      <c r="X14" s="16" t="n"/>
      <c r="Y14" s="17">
        <f>IFERROR(J14+L14+N14+P14+R14+T14+V14+X14,"")</f>
        <v/>
      </c>
      <c r="Z14" s="18">
        <f>IFERROR(ROUND(Y14/24*100,0),"")</f>
        <v/>
      </c>
      <c r="AA14" s="19">
        <f>IFERROR(IF(Z14&gt;=80,"🟢 Hyvä",IF(Z14&gt;=60,"🟡 Kehitys","🔴 Prioriteetti")),"")</f>
        <v/>
      </c>
      <c r="AB14" s="19">
        <f>IFERROR(IF(OR(F14="PHV-huippu",Z14&lt;60),"⚠️ MAX 60%","OK"),"")</f>
        <v/>
      </c>
      <c r="AC14" s="20" t="n"/>
      <c r="AD14" s="20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6" t="n"/>
      <c r="K15" s="15" t="n"/>
      <c r="L15" s="16" t="n"/>
      <c r="M15" s="15" t="n"/>
      <c r="N15" s="16" t="n"/>
      <c r="O15" s="15" t="n"/>
      <c r="P15" s="16" t="n"/>
      <c r="Q15" s="15" t="n"/>
      <c r="R15" s="16" t="n"/>
      <c r="S15" s="15" t="n"/>
      <c r="T15" s="16" t="n"/>
      <c r="U15" s="15" t="n"/>
      <c r="V15" s="16" t="n"/>
      <c r="W15" s="15" t="n"/>
      <c r="X15" s="16" t="n"/>
      <c r="Y15" s="17">
        <f>IFERROR(J15+L15+N15+P15+R15+T15+V15+X15,"")</f>
        <v/>
      </c>
      <c r="Z15" s="18">
        <f>IFERROR(ROUND(Y15/24*100,0),"")</f>
        <v/>
      </c>
      <c r="AA15" s="19">
        <f>IFERROR(IF(Z15&gt;=80,"🟢 Hyvä",IF(Z15&gt;=60,"🟡 Kehitys","🔴 Prioriteetti")),"")</f>
        <v/>
      </c>
      <c r="AB15" s="19">
        <f>IFERROR(IF(OR(F15="PHV-huippu",Z15&lt;60),"⚠️ MAX 60%","OK"),"")</f>
        <v/>
      </c>
      <c r="AC15" s="20" t="n"/>
      <c r="AD15" s="20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6" t="n"/>
      <c r="K16" s="15" t="n"/>
      <c r="L16" s="16" t="n"/>
      <c r="M16" s="15" t="n"/>
      <c r="N16" s="16" t="n"/>
      <c r="O16" s="15" t="n"/>
      <c r="P16" s="16" t="n"/>
      <c r="Q16" s="15" t="n"/>
      <c r="R16" s="16" t="n"/>
      <c r="S16" s="15" t="n"/>
      <c r="T16" s="16" t="n"/>
      <c r="U16" s="15" t="n"/>
      <c r="V16" s="16" t="n"/>
      <c r="W16" s="15" t="n"/>
      <c r="X16" s="16" t="n"/>
      <c r="Y16" s="17">
        <f>IFERROR(J16+L16+N16+P16+R16+T16+V16+X16,"")</f>
        <v/>
      </c>
      <c r="Z16" s="18">
        <f>IFERROR(ROUND(Y16/24*100,0),"")</f>
        <v/>
      </c>
      <c r="AA16" s="19">
        <f>IFERROR(IF(Z16&gt;=80,"🟢 Hyvä",IF(Z16&gt;=60,"🟡 Kehitys","🔴 Prioriteetti")),"")</f>
        <v/>
      </c>
      <c r="AB16" s="19">
        <f>IFERROR(IF(OR(F16="PHV-huippu",Z16&lt;60),"⚠️ MAX 60%","OK"),"")</f>
        <v/>
      </c>
      <c r="AC16" s="20" t="n"/>
      <c r="AD16" s="20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6" t="n"/>
      <c r="K17" s="15" t="n"/>
      <c r="L17" s="16" t="n"/>
      <c r="M17" s="15" t="n"/>
      <c r="N17" s="16" t="n"/>
      <c r="O17" s="15" t="n"/>
      <c r="P17" s="16" t="n"/>
      <c r="Q17" s="15" t="n"/>
      <c r="R17" s="16" t="n"/>
      <c r="S17" s="15" t="n"/>
      <c r="T17" s="16" t="n"/>
      <c r="U17" s="15" t="n"/>
      <c r="V17" s="16" t="n"/>
      <c r="W17" s="15" t="n"/>
      <c r="X17" s="16" t="n"/>
      <c r="Y17" s="17">
        <f>IFERROR(J17+L17+N17+P17+R17+T17+V17+X17,"")</f>
        <v/>
      </c>
      <c r="Z17" s="18">
        <f>IFERROR(ROUND(Y17/24*100,0),"")</f>
        <v/>
      </c>
      <c r="AA17" s="19">
        <f>IFERROR(IF(Z17&gt;=80,"🟢 Hyvä",IF(Z17&gt;=60,"🟡 Kehitys","🔴 Prioriteetti")),"")</f>
        <v/>
      </c>
      <c r="AB17" s="19">
        <f>IFERROR(IF(OR(F17="PHV-huippu",Z17&lt;60),"⚠️ MAX 60%","OK"),"")</f>
        <v/>
      </c>
      <c r="AC17" s="20" t="n"/>
      <c r="AD17" s="20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6" t="n"/>
      <c r="K18" s="15" t="n"/>
      <c r="L18" s="16" t="n"/>
      <c r="M18" s="15" t="n"/>
      <c r="N18" s="16" t="n"/>
      <c r="O18" s="15" t="n"/>
      <c r="P18" s="16" t="n"/>
      <c r="Q18" s="15" t="n"/>
      <c r="R18" s="16" t="n"/>
      <c r="S18" s="15" t="n"/>
      <c r="T18" s="16" t="n"/>
      <c r="U18" s="15" t="n"/>
      <c r="V18" s="16" t="n"/>
      <c r="W18" s="15" t="n"/>
      <c r="X18" s="16" t="n"/>
      <c r="Y18" s="17">
        <f>IFERROR(J18+L18+N18+P18+R18+T18+V18+X18,"")</f>
        <v/>
      </c>
      <c r="Z18" s="18">
        <f>IFERROR(ROUND(Y18/24*100,0),"")</f>
        <v/>
      </c>
      <c r="AA18" s="19">
        <f>IFERROR(IF(Z18&gt;=80,"🟢 Hyvä",IF(Z18&gt;=60,"🟡 Kehitys","🔴 Prioriteetti")),"")</f>
        <v/>
      </c>
      <c r="AB18" s="19">
        <f>IFERROR(IF(OR(F18="PHV-huippu",Z18&lt;60),"⚠️ MAX 60%","OK"),"")</f>
        <v/>
      </c>
      <c r="AC18" s="20" t="n"/>
      <c r="AD18" s="20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6" t="n"/>
      <c r="K19" s="15" t="n"/>
      <c r="L19" s="16" t="n"/>
      <c r="M19" s="15" t="n"/>
      <c r="N19" s="16" t="n"/>
      <c r="O19" s="15" t="n"/>
      <c r="P19" s="16" t="n"/>
      <c r="Q19" s="15" t="n"/>
      <c r="R19" s="16" t="n"/>
      <c r="S19" s="15" t="n"/>
      <c r="T19" s="16" t="n"/>
      <c r="U19" s="15" t="n"/>
      <c r="V19" s="16" t="n"/>
      <c r="W19" s="15" t="n"/>
      <c r="X19" s="16" t="n"/>
      <c r="Y19" s="17">
        <f>IFERROR(J19+L19+N19+P19+R19+T19+V19+X19,"")</f>
        <v/>
      </c>
      <c r="Z19" s="18">
        <f>IFERROR(ROUND(Y19/24*100,0),"")</f>
        <v/>
      </c>
      <c r="AA19" s="19">
        <f>IFERROR(IF(Z19&gt;=80,"🟢 Hyvä",IF(Z19&gt;=60,"🟡 Kehitys","🔴 Prioriteetti")),"")</f>
        <v/>
      </c>
      <c r="AB19" s="19">
        <f>IFERROR(IF(OR(F19="PHV-huippu",Z19&lt;60),"⚠️ MAX 60%","OK"),"")</f>
        <v/>
      </c>
      <c r="AC19" s="20" t="n"/>
      <c r="AD19" s="20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6" t="n"/>
      <c r="K20" s="15" t="n"/>
      <c r="L20" s="16" t="n"/>
      <c r="M20" s="15" t="n"/>
      <c r="N20" s="16" t="n"/>
      <c r="O20" s="15" t="n"/>
      <c r="P20" s="16" t="n"/>
      <c r="Q20" s="15" t="n"/>
      <c r="R20" s="16" t="n"/>
      <c r="S20" s="15" t="n"/>
      <c r="T20" s="16" t="n"/>
      <c r="U20" s="15" t="n"/>
      <c r="V20" s="16" t="n"/>
      <c r="W20" s="15" t="n"/>
      <c r="X20" s="16" t="n"/>
      <c r="Y20" s="17">
        <f>IFERROR(J20+L20+N20+P20+R20+T20+V20+X20,"")</f>
        <v/>
      </c>
      <c r="Z20" s="18">
        <f>IFERROR(ROUND(Y20/24*100,0),"")</f>
        <v/>
      </c>
      <c r="AA20" s="19">
        <f>IFERROR(IF(Z20&gt;=80,"🟢 Hyvä",IF(Z20&gt;=60,"🟡 Kehitys","🔴 Prioriteetti")),"")</f>
        <v/>
      </c>
      <c r="AB20" s="19">
        <f>IFERROR(IF(OR(F20="PHV-huippu",Z20&lt;60),"⚠️ MAX 60%","OK"),"")</f>
        <v/>
      </c>
      <c r="AC20" s="20" t="n"/>
      <c r="AD20" s="20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6" t="n"/>
      <c r="K21" s="15" t="n"/>
      <c r="L21" s="16" t="n"/>
      <c r="M21" s="15" t="n"/>
      <c r="N21" s="16" t="n"/>
      <c r="O21" s="15" t="n"/>
      <c r="P21" s="16" t="n"/>
      <c r="Q21" s="15" t="n"/>
      <c r="R21" s="16" t="n"/>
      <c r="S21" s="15" t="n"/>
      <c r="T21" s="16" t="n"/>
      <c r="U21" s="15" t="n"/>
      <c r="V21" s="16" t="n"/>
      <c r="W21" s="15" t="n"/>
      <c r="X21" s="16" t="n"/>
      <c r="Y21" s="17">
        <f>IFERROR(J21+L21+N21+P21+R21+T21+V21+X21,"")</f>
        <v/>
      </c>
      <c r="Z21" s="18">
        <f>IFERROR(ROUND(Y21/24*100,0),"")</f>
        <v/>
      </c>
      <c r="AA21" s="19">
        <f>IFERROR(IF(Z21&gt;=80,"🟢 Hyvä",IF(Z21&gt;=60,"🟡 Kehitys","🔴 Prioriteetti")),"")</f>
        <v/>
      </c>
      <c r="AB21" s="19">
        <f>IFERROR(IF(OR(F21="PHV-huippu",Z21&lt;60),"⚠️ MAX 60%","OK"),"")</f>
        <v/>
      </c>
      <c r="AC21" s="20" t="n"/>
      <c r="AD21" s="20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6" t="n"/>
      <c r="K22" s="15" t="n"/>
      <c r="L22" s="16" t="n"/>
      <c r="M22" s="15" t="n"/>
      <c r="N22" s="16" t="n"/>
      <c r="O22" s="15" t="n"/>
      <c r="P22" s="16" t="n"/>
      <c r="Q22" s="15" t="n"/>
      <c r="R22" s="16" t="n"/>
      <c r="S22" s="15" t="n"/>
      <c r="T22" s="16" t="n"/>
      <c r="U22" s="15" t="n"/>
      <c r="V22" s="16" t="n"/>
      <c r="W22" s="15" t="n"/>
      <c r="X22" s="16" t="n"/>
      <c r="Y22" s="17">
        <f>IFERROR(J22+L22+N22+P22+R22+T22+V22+X22,"")</f>
        <v/>
      </c>
      <c r="Z22" s="18">
        <f>IFERROR(ROUND(Y22/24*100,0),"")</f>
        <v/>
      </c>
      <c r="AA22" s="19">
        <f>IFERROR(IF(Z22&gt;=80,"🟢 Hyvä",IF(Z22&gt;=60,"🟡 Kehitys","🔴 Prioriteetti")),"")</f>
        <v/>
      </c>
      <c r="AB22" s="19">
        <f>IFERROR(IF(OR(F22="PHV-huippu",Z22&lt;60),"⚠️ MAX 60%","OK"),"")</f>
        <v/>
      </c>
      <c r="AC22" s="20" t="n"/>
      <c r="AD22" s="20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6" t="n"/>
      <c r="K23" s="15" t="n"/>
      <c r="L23" s="16" t="n"/>
      <c r="M23" s="15" t="n"/>
      <c r="N23" s="16" t="n"/>
      <c r="O23" s="15" t="n"/>
      <c r="P23" s="16" t="n"/>
      <c r="Q23" s="15" t="n"/>
      <c r="R23" s="16" t="n"/>
      <c r="S23" s="15" t="n"/>
      <c r="T23" s="16" t="n"/>
      <c r="U23" s="15" t="n"/>
      <c r="V23" s="16" t="n"/>
      <c r="W23" s="15" t="n"/>
      <c r="X23" s="16" t="n"/>
      <c r="Y23" s="17">
        <f>IFERROR(J23+L23+N23+P23+R23+T23+V23+X23,"")</f>
        <v/>
      </c>
      <c r="Z23" s="18">
        <f>IFERROR(ROUND(Y23/24*100,0),"")</f>
        <v/>
      </c>
      <c r="AA23" s="19">
        <f>IFERROR(IF(Z23&gt;=80,"🟢 Hyvä",IF(Z23&gt;=60,"🟡 Kehitys","🔴 Prioriteetti")),"")</f>
        <v/>
      </c>
      <c r="AB23" s="19">
        <f>IFERROR(IF(OR(F23="PHV-huippu",Z23&lt;60),"⚠️ MAX 60%","OK"),"")</f>
        <v/>
      </c>
      <c r="AC23" s="20" t="n"/>
      <c r="AD23" s="20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6" t="n"/>
      <c r="K24" s="15" t="n"/>
      <c r="L24" s="16" t="n"/>
      <c r="M24" s="15" t="n"/>
      <c r="N24" s="16" t="n"/>
      <c r="O24" s="15" t="n"/>
      <c r="P24" s="16" t="n"/>
      <c r="Q24" s="15" t="n"/>
      <c r="R24" s="16" t="n"/>
      <c r="S24" s="15" t="n"/>
      <c r="T24" s="16" t="n"/>
      <c r="U24" s="15" t="n"/>
      <c r="V24" s="16" t="n"/>
      <c r="W24" s="15" t="n"/>
      <c r="X24" s="16" t="n"/>
      <c r="Y24" s="17">
        <f>IFERROR(J24+L24+N24+P24+R24+T24+V24+X24,"")</f>
        <v/>
      </c>
      <c r="Z24" s="18">
        <f>IFERROR(ROUND(Y24/24*100,0),"")</f>
        <v/>
      </c>
      <c r="AA24" s="19">
        <f>IFERROR(IF(Z24&gt;=80,"🟢 Hyvä",IF(Z24&gt;=60,"🟡 Kehitys","🔴 Prioriteetti")),"")</f>
        <v/>
      </c>
      <c r="AB24" s="19">
        <f>IFERROR(IF(OR(F24="PHV-huippu",Z24&lt;60),"⚠️ MAX 60%","OK"),"")</f>
        <v/>
      </c>
      <c r="AC24" s="20" t="n"/>
      <c r="AD24" s="20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6" t="n"/>
      <c r="K25" s="15" t="n"/>
      <c r="L25" s="16" t="n"/>
      <c r="M25" s="15" t="n"/>
      <c r="N25" s="16" t="n"/>
      <c r="O25" s="15" t="n"/>
      <c r="P25" s="16" t="n"/>
      <c r="Q25" s="15" t="n"/>
      <c r="R25" s="16" t="n"/>
      <c r="S25" s="15" t="n"/>
      <c r="T25" s="16" t="n"/>
      <c r="U25" s="15" t="n"/>
      <c r="V25" s="16" t="n"/>
      <c r="W25" s="15" t="n"/>
      <c r="X25" s="16" t="n"/>
      <c r="Y25" s="17">
        <f>IFERROR(J25+L25+N25+P25+R25+T25+V25+X25,"")</f>
        <v/>
      </c>
      <c r="Z25" s="18">
        <f>IFERROR(ROUND(Y25/24*100,0),"")</f>
        <v/>
      </c>
      <c r="AA25" s="19">
        <f>IFERROR(IF(Z25&gt;=80,"🟢 Hyvä",IF(Z25&gt;=60,"🟡 Kehitys","🔴 Prioriteetti")),"")</f>
        <v/>
      </c>
      <c r="AB25" s="19">
        <f>IFERROR(IF(OR(F25="PHV-huippu",Z25&lt;60),"⚠️ MAX 60%","OK"),"")</f>
        <v/>
      </c>
      <c r="AC25" s="20" t="n"/>
      <c r="AD25" s="20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15" t="n"/>
      <c r="L26" s="16" t="n"/>
      <c r="M26" s="15" t="n"/>
      <c r="N26" s="16" t="n"/>
      <c r="O26" s="15" t="n"/>
      <c r="P26" s="16" t="n"/>
      <c r="Q26" s="15" t="n"/>
      <c r="R26" s="16" t="n"/>
      <c r="S26" s="15" t="n"/>
      <c r="T26" s="16" t="n"/>
      <c r="U26" s="15" t="n"/>
      <c r="V26" s="16" t="n"/>
      <c r="W26" s="15" t="n"/>
      <c r="X26" s="16" t="n"/>
      <c r="Y26" s="17">
        <f>IFERROR(J26+L26+N26+P26+R26+T26+V26+X26,"")</f>
        <v/>
      </c>
      <c r="Z26" s="18">
        <f>IFERROR(ROUND(Y26/24*100,0),"")</f>
        <v/>
      </c>
      <c r="AA26" s="19">
        <f>IFERROR(IF(Z26&gt;=80,"🟢 Hyvä",IF(Z26&gt;=60,"🟡 Kehitys","🔴 Prioriteetti")),"")</f>
        <v/>
      </c>
      <c r="AB26" s="19">
        <f>IFERROR(IF(OR(F26="PHV-huippu",Z26&lt;60),"⚠️ MAX 60%","OK"),"")</f>
        <v/>
      </c>
      <c r="AC26" s="20" t="n"/>
      <c r="AD26" s="20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15" t="n"/>
      <c r="L27" s="16" t="n"/>
      <c r="M27" s="15" t="n"/>
      <c r="N27" s="16" t="n"/>
      <c r="O27" s="15" t="n"/>
      <c r="P27" s="16" t="n"/>
      <c r="Q27" s="15" t="n"/>
      <c r="R27" s="16" t="n"/>
      <c r="S27" s="15" t="n"/>
      <c r="T27" s="16" t="n"/>
      <c r="U27" s="15" t="n"/>
      <c r="V27" s="16" t="n"/>
      <c r="W27" s="15" t="n"/>
      <c r="X27" s="16" t="n"/>
      <c r="Y27" s="17">
        <f>IFERROR(J27+L27+N27+P27+R27+T27+V27+X27,"")</f>
        <v/>
      </c>
      <c r="Z27" s="18">
        <f>IFERROR(ROUND(Y27/24*100,0),"")</f>
        <v/>
      </c>
      <c r="AA27" s="19">
        <f>IFERROR(IF(Z27&gt;=80,"🟢 Hyvä",IF(Z27&gt;=60,"🟡 Kehitys","🔴 Prioriteetti")),"")</f>
        <v/>
      </c>
      <c r="AB27" s="19">
        <f>IFERROR(IF(OR(F27="PHV-huippu",Z27&lt;60),"⚠️ MAX 60%","OK"),"")</f>
        <v/>
      </c>
      <c r="AC27" s="20" t="n"/>
      <c r="AD27" s="20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6" t="n"/>
      <c r="K28" s="15" t="n"/>
      <c r="L28" s="16" t="n"/>
      <c r="M28" s="15" t="n"/>
      <c r="N28" s="16" t="n"/>
      <c r="O28" s="15" t="n"/>
      <c r="P28" s="16" t="n"/>
      <c r="Q28" s="15" t="n"/>
      <c r="R28" s="16" t="n"/>
      <c r="S28" s="15" t="n"/>
      <c r="T28" s="16" t="n"/>
      <c r="U28" s="15" t="n"/>
      <c r="V28" s="16" t="n"/>
      <c r="W28" s="15" t="n"/>
      <c r="X28" s="16" t="n"/>
      <c r="Y28" s="17">
        <f>IFERROR(J28+L28+N28+P28+R28+T28+V28+X28,"")</f>
        <v/>
      </c>
      <c r="Z28" s="18">
        <f>IFERROR(ROUND(Y28/24*100,0),"")</f>
        <v/>
      </c>
      <c r="AA28" s="19">
        <f>IFERROR(IF(Z28&gt;=80,"🟢 Hyvä",IF(Z28&gt;=60,"🟡 Kehitys","🔴 Prioriteetti")),"")</f>
        <v/>
      </c>
      <c r="AB28" s="19">
        <f>IFERROR(IF(OR(F28="PHV-huippu",Z28&lt;60),"⚠️ MAX 60%","OK"),"")</f>
        <v/>
      </c>
      <c r="AC28" s="20" t="n"/>
      <c r="AD28" s="20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6" t="n"/>
      <c r="K29" s="15" t="n"/>
      <c r="L29" s="16" t="n"/>
      <c r="M29" s="15" t="n"/>
      <c r="N29" s="16" t="n"/>
      <c r="O29" s="15" t="n"/>
      <c r="P29" s="16" t="n"/>
      <c r="Q29" s="15" t="n"/>
      <c r="R29" s="16" t="n"/>
      <c r="S29" s="15" t="n"/>
      <c r="T29" s="16" t="n"/>
      <c r="U29" s="15" t="n"/>
      <c r="V29" s="16" t="n"/>
      <c r="W29" s="15" t="n"/>
      <c r="X29" s="16" t="n"/>
      <c r="Y29" s="17">
        <f>IFERROR(J29+L29+N29+P29+R29+T29+V29+X29,"")</f>
        <v/>
      </c>
      <c r="Z29" s="18">
        <f>IFERROR(ROUND(Y29/24*100,0),"")</f>
        <v/>
      </c>
      <c r="AA29" s="19">
        <f>IFERROR(IF(Z29&gt;=80,"🟢 Hyvä",IF(Z29&gt;=60,"🟡 Kehitys","🔴 Prioriteetti")),"")</f>
        <v/>
      </c>
      <c r="AB29" s="19">
        <f>IFERROR(IF(OR(F29="PHV-huippu",Z29&lt;60),"⚠️ MAX 60%","OK"),"")</f>
        <v/>
      </c>
      <c r="AC29" s="20" t="n"/>
      <c r="AD29" s="20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6" t="n"/>
      <c r="K30" s="15" t="n"/>
      <c r="L30" s="16" t="n"/>
      <c r="M30" s="15" t="n"/>
      <c r="N30" s="16" t="n"/>
      <c r="O30" s="15" t="n"/>
      <c r="P30" s="16" t="n"/>
      <c r="Q30" s="15" t="n"/>
      <c r="R30" s="16" t="n"/>
      <c r="S30" s="15" t="n"/>
      <c r="T30" s="16" t="n"/>
      <c r="U30" s="15" t="n"/>
      <c r="V30" s="16" t="n"/>
      <c r="W30" s="15" t="n"/>
      <c r="X30" s="16" t="n"/>
      <c r="Y30" s="17">
        <f>IFERROR(J30+L30+N30+P30+R30+T30+V30+X30,"")</f>
        <v/>
      </c>
      <c r="Z30" s="18">
        <f>IFERROR(ROUND(Y30/24*100,0),"")</f>
        <v/>
      </c>
      <c r="AA30" s="19">
        <f>IFERROR(IF(Z30&gt;=80,"🟢 Hyvä",IF(Z30&gt;=60,"🟡 Kehitys","🔴 Prioriteetti")),"")</f>
        <v/>
      </c>
      <c r="AB30" s="19">
        <f>IFERROR(IF(OR(F30="PHV-huippu",Z30&lt;60),"⚠️ MAX 60%","OK"),"")</f>
        <v/>
      </c>
      <c r="AC30" s="20" t="n"/>
      <c r="AD30" s="20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6" t="n"/>
      <c r="K31" s="15" t="n"/>
      <c r="L31" s="16" t="n"/>
      <c r="M31" s="15" t="n"/>
      <c r="N31" s="16" t="n"/>
      <c r="O31" s="15" t="n"/>
      <c r="P31" s="16" t="n"/>
      <c r="Q31" s="15" t="n"/>
      <c r="R31" s="16" t="n"/>
      <c r="S31" s="15" t="n"/>
      <c r="T31" s="16" t="n"/>
      <c r="U31" s="15" t="n"/>
      <c r="V31" s="16" t="n"/>
      <c r="W31" s="15" t="n"/>
      <c r="X31" s="16" t="n"/>
      <c r="Y31" s="17">
        <f>IFERROR(J31+L31+N31+P31+R31+T31+V31+X31,"")</f>
        <v/>
      </c>
      <c r="Z31" s="18">
        <f>IFERROR(ROUND(Y31/24*100,0),"")</f>
        <v/>
      </c>
      <c r="AA31" s="19">
        <f>IFERROR(IF(Z31&gt;=80,"🟢 Hyvä",IF(Z31&gt;=60,"🟡 Kehitys","🔴 Prioriteetti")),"")</f>
        <v/>
      </c>
      <c r="AB31" s="19">
        <f>IFERROR(IF(OR(F31="PHV-huippu",Z31&lt;60),"⚠️ MAX 60%","OK"),"")</f>
        <v/>
      </c>
      <c r="AC31" s="20" t="n"/>
      <c r="AD31" s="20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6" t="n"/>
      <c r="K32" s="15" t="n"/>
      <c r="L32" s="16" t="n"/>
      <c r="M32" s="15" t="n"/>
      <c r="N32" s="16" t="n"/>
      <c r="O32" s="15" t="n"/>
      <c r="P32" s="16" t="n"/>
      <c r="Q32" s="15" t="n"/>
      <c r="R32" s="16" t="n"/>
      <c r="S32" s="15" t="n"/>
      <c r="T32" s="16" t="n"/>
      <c r="U32" s="15" t="n"/>
      <c r="V32" s="16" t="n"/>
      <c r="W32" s="15" t="n"/>
      <c r="X32" s="16" t="n"/>
      <c r="Y32" s="17">
        <f>IFERROR(J32+L32+N32+P32+R32+T32+V32+X32,"")</f>
        <v/>
      </c>
      <c r="Z32" s="18">
        <f>IFERROR(ROUND(Y32/24*100,0),"")</f>
        <v/>
      </c>
      <c r="AA32" s="19">
        <f>IFERROR(IF(Z32&gt;=80,"🟢 Hyvä",IF(Z32&gt;=60,"🟡 Kehitys","🔴 Prioriteetti")),"")</f>
        <v/>
      </c>
      <c r="AB32" s="19">
        <f>IFERROR(IF(OR(F32="PHV-huippu",Z32&lt;60),"⚠️ MAX 60%","OK"),"")</f>
        <v/>
      </c>
      <c r="AC32" s="20" t="n"/>
      <c r="AD32" s="20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6" t="n"/>
      <c r="K33" s="15" t="n"/>
      <c r="L33" s="16" t="n"/>
      <c r="M33" s="15" t="n"/>
      <c r="N33" s="16" t="n"/>
      <c r="O33" s="15" t="n"/>
      <c r="P33" s="16" t="n"/>
      <c r="Q33" s="15" t="n"/>
      <c r="R33" s="16" t="n"/>
      <c r="S33" s="15" t="n"/>
      <c r="T33" s="16" t="n"/>
      <c r="U33" s="15" t="n"/>
      <c r="V33" s="16" t="n"/>
      <c r="W33" s="15" t="n"/>
      <c r="X33" s="16" t="n"/>
      <c r="Y33" s="17">
        <f>IFERROR(J33+L33+N33+P33+R33+T33+V33+X33,"")</f>
        <v/>
      </c>
      <c r="Z33" s="18">
        <f>IFERROR(ROUND(Y33/24*100,0),"")</f>
        <v/>
      </c>
      <c r="AA33" s="19">
        <f>IFERROR(IF(Z33&gt;=80,"🟢 Hyvä",IF(Z33&gt;=60,"🟡 Kehitys","🔴 Prioriteetti")),"")</f>
        <v/>
      </c>
      <c r="AB33" s="19">
        <f>IFERROR(IF(OR(F33="PHV-huippu",Z33&lt;60),"⚠️ MAX 60%","OK"),"")</f>
        <v/>
      </c>
      <c r="AC33" s="20" t="n"/>
      <c r="AD33" s="20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6" t="n"/>
      <c r="K34" s="15" t="n"/>
      <c r="L34" s="16" t="n"/>
      <c r="M34" s="15" t="n"/>
      <c r="N34" s="16" t="n"/>
      <c r="O34" s="15" t="n"/>
      <c r="P34" s="16" t="n"/>
      <c r="Q34" s="15" t="n"/>
      <c r="R34" s="16" t="n"/>
      <c r="S34" s="15" t="n"/>
      <c r="T34" s="16" t="n"/>
      <c r="U34" s="15" t="n"/>
      <c r="V34" s="16" t="n"/>
      <c r="W34" s="15" t="n"/>
      <c r="X34" s="16" t="n"/>
      <c r="Y34" s="17">
        <f>IFERROR(J34+L34+N34+P34+R34+T34+V34+X34,"")</f>
        <v/>
      </c>
      <c r="Z34" s="18">
        <f>IFERROR(ROUND(Y34/24*100,0),"")</f>
        <v/>
      </c>
      <c r="AA34" s="19">
        <f>IFERROR(IF(Z34&gt;=80,"🟢 Hyvä",IF(Z34&gt;=60,"🟡 Kehitys","🔴 Prioriteetti")),"")</f>
        <v/>
      </c>
      <c r="AB34" s="19">
        <f>IFERROR(IF(OR(F34="PHV-huippu",Z34&lt;60),"⚠️ MAX 60%","OK"),"")</f>
        <v/>
      </c>
      <c r="AC34" s="20" t="n"/>
      <c r="AD34" s="20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6" t="n"/>
      <c r="K35" s="15" t="n"/>
      <c r="L35" s="16" t="n"/>
      <c r="M35" s="15" t="n"/>
      <c r="N35" s="16" t="n"/>
      <c r="O35" s="15" t="n"/>
      <c r="P35" s="16" t="n"/>
      <c r="Q35" s="15" t="n"/>
      <c r="R35" s="16" t="n"/>
      <c r="S35" s="15" t="n"/>
      <c r="T35" s="16" t="n"/>
      <c r="U35" s="15" t="n"/>
      <c r="V35" s="16" t="n"/>
      <c r="W35" s="15" t="n"/>
      <c r="X35" s="16" t="n"/>
      <c r="Y35" s="17">
        <f>IFERROR(J35+L35+N35+P35+R35+T35+V35+X35,"")</f>
        <v/>
      </c>
      <c r="Z35" s="18">
        <f>IFERROR(ROUND(Y35/24*100,0),"")</f>
        <v/>
      </c>
      <c r="AA35" s="19">
        <f>IFERROR(IF(Z35&gt;=80,"🟢 Hyvä",IF(Z35&gt;=60,"🟡 Kehitys","🔴 Prioriteetti")),"")</f>
        <v/>
      </c>
      <c r="AB35" s="19">
        <f>IFERROR(IF(OR(F35="PHV-huippu",Z35&lt;60),"⚠️ MAX 60%","OK"),"")</f>
        <v/>
      </c>
      <c r="AC35" s="20" t="n"/>
      <c r="AD35" s="20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6" t="n"/>
      <c r="K36" s="15" t="n"/>
      <c r="L36" s="16" t="n"/>
      <c r="M36" s="15" t="n"/>
      <c r="N36" s="16" t="n"/>
      <c r="O36" s="15" t="n"/>
      <c r="P36" s="16" t="n"/>
      <c r="Q36" s="15" t="n"/>
      <c r="R36" s="16" t="n"/>
      <c r="S36" s="15" t="n"/>
      <c r="T36" s="16" t="n"/>
      <c r="U36" s="15" t="n"/>
      <c r="V36" s="16" t="n"/>
      <c r="W36" s="15" t="n"/>
      <c r="X36" s="16" t="n"/>
      <c r="Y36" s="17">
        <f>IFERROR(J36+L36+N36+P36+R36+T36+V36+X36,"")</f>
        <v/>
      </c>
      <c r="Z36" s="18">
        <f>IFERROR(ROUND(Y36/24*100,0),"")</f>
        <v/>
      </c>
      <c r="AA36" s="19">
        <f>IFERROR(IF(Z36&gt;=80,"🟢 Hyvä",IF(Z36&gt;=60,"🟡 Kehitys","🔴 Prioriteetti")),"")</f>
        <v/>
      </c>
      <c r="AB36" s="19">
        <f>IFERROR(IF(OR(F36="PHV-huippu",Z36&lt;60),"⚠️ MAX 60%","OK"),"")</f>
        <v/>
      </c>
      <c r="AC36" s="20" t="n"/>
      <c r="AD36" s="20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6" t="n"/>
      <c r="K37" s="15" t="n"/>
      <c r="L37" s="16" t="n"/>
      <c r="M37" s="15" t="n"/>
      <c r="N37" s="16" t="n"/>
      <c r="O37" s="15" t="n"/>
      <c r="P37" s="16" t="n"/>
      <c r="Q37" s="15" t="n"/>
      <c r="R37" s="16" t="n"/>
      <c r="S37" s="15" t="n"/>
      <c r="T37" s="16" t="n"/>
      <c r="U37" s="15" t="n"/>
      <c r="V37" s="16" t="n"/>
      <c r="W37" s="15" t="n"/>
      <c r="X37" s="16" t="n"/>
      <c r="Y37" s="17">
        <f>IFERROR(J37+L37+N37+P37+R37+T37+V37+X37,"")</f>
        <v/>
      </c>
      <c r="Z37" s="18">
        <f>IFERROR(ROUND(Y37/24*100,0),"")</f>
        <v/>
      </c>
      <c r="AA37" s="19">
        <f>IFERROR(IF(Z37&gt;=80,"🟢 Hyvä",IF(Z37&gt;=60,"🟡 Kehitys","🔴 Prioriteetti")),"")</f>
        <v/>
      </c>
      <c r="AB37" s="19">
        <f>IFERROR(IF(OR(F37="PHV-huippu",Z37&lt;60),"⚠️ MAX 60%","OK"),"")</f>
        <v/>
      </c>
      <c r="AC37" s="20" t="n"/>
      <c r="AD37" s="20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6" t="n"/>
      <c r="K38" s="15" t="n"/>
      <c r="L38" s="16" t="n"/>
      <c r="M38" s="15" t="n"/>
      <c r="N38" s="16" t="n"/>
      <c r="O38" s="15" t="n"/>
      <c r="P38" s="16" t="n"/>
      <c r="Q38" s="15" t="n"/>
      <c r="R38" s="16" t="n"/>
      <c r="S38" s="15" t="n"/>
      <c r="T38" s="16" t="n"/>
      <c r="U38" s="15" t="n"/>
      <c r="V38" s="16" t="n"/>
      <c r="W38" s="15" t="n"/>
      <c r="X38" s="16" t="n"/>
      <c r="Y38" s="17">
        <f>IFERROR(J38+L38+N38+P38+R38+T38+V38+X38,"")</f>
        <v/>
      </c>
      <c r="Z38" s="18">
        <f>IFERROR(ROUND(Y38/24*100,0),"")</f>
        <v/>
      </c>
      <c r="AA38" s="19">
        <f>IFERROR(IF(Z38&gt;=80,"🟢 Hyvä",IF(Z38&gt;=60,"🟡 Kehitys","🔴 Prioriteetti")),"")</f>
        <v/>
      </c>
      <c r="AB38" s="19">
        <f>IFERROR(IF(OR(F38="PHV-huippu",Z38&lt;60),"⚠️ MAX 60%","OK"),"")</f>
        <v/>
      </c>
      <c r="AC38" s="20" t="n"/>
      <c r="AD38" s="20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6" t="n"/>
      <c r="K39" s="15" t="n"/>
      <c r="L39" s="16" t="n"/>
      <c r="M39" s="15" t="n"/>
      <c r="N39" s="16" t="n"/>
      <c r="O39" s="15" t="n"/>
      <c r="P39" s="16" t="n"/>
      <c r="Q39" s="15" t="n"/>
      <c r="R39" s="16" t="n"/>
      <c r="S39" s="15" t="n"/>
      <c r="T39" s="16" t="n"/>
      <c r="U39" s="15" t="n"/>
      <c r="V39" s="16" t="n"/>
      <c r="W39" s="15" t="n"/>
      <c r="X39" s="16" t="n"/>
      <c r="Y39" s="17">
        <f>IFERROR(J39+L39+N39+P39+R39+T39+V39+X39,"")</f>
        <v/>
      </c>
      <c r="Z39" s="18">
        <f>IFERROR(ROUND(Y39/24*100,0),"")</f>
        <v/>
      </c>
      <c r="AA39" s="19">
        <f>IFERROR(IF(Z39&gt;=80,"🟢 Hyvä",IF(Z39&gt;=60,"🟡 Kehitys","🔴 Prioriteetti")),"")</f>
        <v/>
      </c>
      <c r="AB39" s="19">
        <f>IFERROR(IF(OR(F39="PHV-huippu",Z39&lt;60),"⚠️ MAX 60%","OK"),"")</f>
        <v/>
      </c>
      <c r="AC39" s="20" t="n"/>
      <c r="AD39" s="20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6" t="n"/>
      <c r="K40" s="15" t="n"/>
      <c r="L40" s="16" t="n"/>
      <c r="M40" s="15" t="n"/>
      <c r="N40" s="16" t="n"/>
      <c r="O40" s="15" t="n"/>
      <c r="P40" s="16" t="n"/>
      <c r="Q40" s="15" t="n"/>
      <c r="R40" s="16" t="n"/>
      <c r="S40" s="15" t="n"/>
      <c r="T40" s="16" t="n"/>
      <c r="U40" s="15" t="n"/>
      <c r="V40" s="16" t="n"/>
      <c r="W40" s="15" t="n"/>
      <c r="X40" s="16" t="n"/>
      <c r="Y40" s="17">
        <f>IFERROR(J40+L40+N40+P40+R40+T40+V40+X40,"")</f>
        <v/>
      </c>
      <c r="Z40" s="18">
        <f>IFERROR(ROUND(Y40/24*100,0),"")</f>
        <v/>
      </c>
      <c r="AA40" s="19">
        <f>IFERROR(IF(Z40&gt;=80,"🟢 Hyvä",IF(Z40&gt;=60,"🟡 Kehitys","🔴 Prioriteetti")),"")</f>
        <v/>
      </c>
      <c r="AB40" s="19">
        <f>IFERROR(IF(OR(F40="PHV-huippu",Z40&lt;60),"⚠️ MAX 60%","OK"),"")</f>
        <v/>
      </c>
      <c r="AC40" s="20" t="n"/>
      <c r="AD40" s="20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15" t="n"/>
      <c r="L41" s="16" t="n"/>
      <c r="M41" s="15" t="n"/>
      <c r="N41" s="16" t="n"/>
      <c r="O41" s="15" t="n"/>
      <c r="P41" s="16" t="n"/>
      <c r="Q41" s="15" t="n"/>
      <c r="R41" s="16" t="n"/>
      <c r="S41" s="15" t="n"/>
      <c r="T41" s="16" t="n"/>
      <c r="U41" s="15" t="n"/>
      <c r="V41" s="16" t="n"/>
      <c r="W41" s="15" t="n"/>
      <c r="X41" s="16" t="n"/>
      <c r="Y41" s="17">
        <f>IFERROR(J41+L41+N41+P41+R41+T41+V41+X41,"")</f>
        <v/>
      </c>
      <c r="Z41" s="18">
        <f>IFERROR(ROUND(Y41/24*100,0),"")</f>
        <v/>
      </c>
      <c r="AA41" s="19">
        <f>IFERROR(IF(Z41&gt;=80,"🟢 Hyvä",IF(Z41&gt;=60,"🟡 Kehitys","🔴 Prioriteetti")),"")</f>
        <v/>
      </c>
      <c r="AB41" s="19">
        <f>IFERROR(IF(OR(F41="PHV-huippu",Z41&lt;60),"⚠️ MAX 60%","OK"),"")</f>
        <v/>
      </c>
      <c r="AC41" s="20" t="n"/>
      <c r="AD41" s="20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15" t="n"/>
      <c r="L42" s="16" t="n"/>
      <c r="M42" s="15" t="n"/>
      <c r="N42" s="16" t="n"/>
      <c r="O42" s="15" t="n"/>
      <c r="P42" s="16" t="n"/>
      <c r="Q42" s="15" t="n"/>
      <c r="R42" s="16" t="n"/>
      <c r="S42" s="15" t="n"/>
      <c r="T42" s="16" t="n"/>
      <c r="U42" s="15" t="n"/>
      <c r="V42" s="16" t="n"/>
      <c r="W42" s="15" t="n"/>
      <c r="X42" s="16" t="n"/>
      <c r="Y42" s="17">
        <f>IFERROR(J42+L42+N42+P42+R42+T42+V42+X42,"")</f>
        <v/>
      </c>
      <c r="Z42" s="18">
        <f>IFERROR(ROUND(Y42/24*100,0),"")</f>
        <v/>
      </c>
      <c r="AA42" s="19">
        <f>IFERROR(IF(Z42&gt;=80,"🟢 Hyvä",IF(Z42&gt;=60,"🟡 Kehitys","🔴 Prioriteetti")),"")</f>
        <v/>
      </c>
      <c r="AB42" s="19">
        <f>IFERROR(IF(OR(F42="PHV-huippu",Z42&lt;60),"⚠️ MAX 60%","OK"),"")</f>
        <v/>
      </c>
      <c r="AC42" s="20" t="n"/>
      <c r="AD42" s="20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6" t="n"/>
      <c r="K43" s="15" t="n"/>
      <c r="L43" s="16" t="n"/>
      <c r="M43" s="15" t="n"/>
      <c r="N43" s="16" t="n"/>
      <c r="O43" s="15" t="n"/>
      <c r="P43" s="16" t="n"/>
      <c r="Q43" s="15" t="n"/>
      <c r="R43" s="16" t="n"/>
      <c r="S43" s="15" t="n"/>
      <c r="T43" s="16" t="n"/>
      <c r="U43" s="15" t="n"/>
      <c r="V43" s="16" t="n"/>
      <c r="W43" s="15" t="n"/>
      <c r="X43" s="16" t="n"/>
      <c r="Y43" s="17">
        <f>IFERROR(J43+L43+N43+P43+R43+T43+V43+X43,"")</f>
        <v/>
      </c>
      <c r="Z43" s="18">
        <f>IFERROR(ROUND(Y43/24*100,0),"")</f>
        <v/>
      </c>
      <c r="AA43" s="19">
        <f>IFERROR(IF(Z43&gt;=80,"🟢 Hyvä",IF(Z43&gt;=60,"🟡 Kehitys","🔴 Prioriteetti")),"")</f>
        <v/>
      </c>
      <c r="AB43" s="19">
        <f>IFERROR(IF(OR(F43="PHV-huippu",Z43&lt;60),"⚠️ MAX 60%","OK"),"")</f>
        <v/>
      </c>
      <c r="AC43" s="20" t="n"/>
      <c r="AD43" s="20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6" t="n"/>
      <c r="K44" s="15" t="n"/>
      <c r="L44" s="16" t="n"/>
      <c r="M44" s="15" t="n"/>
      <c r="N44" s="16" t="n"/>
      <c r="O44" s="15" t="n"/>
      <c r="P44" s="16" t="n"/>
      <c r="Q44" s="15" t="n"/>
      <c r="R44" s="16" t="n"/>
      <c r="S44" s="15" t="n"/>
      <c r="T44" s="16" t="n"/>
      <c r="U44" s="15" t="n"/>
      <c r="V44" s="16" t="n"/>
      <c r="W44" s="15" t="n"/>
      <c r="X44" s="16" t="n"/>
      <c r="Y44" s="17">
        <f>IFERROR(J44+L44+N44+P44+R44+T44+V44+X44,"")</f>
        <v/>
      </c>
      <c r="Z44" s="18">
        <f>IFERROR(ROUND(Y44/24*100,0),"")</f>
        <v/>
      </c>
      <c r="AA44" s="19">
        <f>IFERROR(IF(Z44&gt;=80,"🟢 Hyvä",IF(Z44&gt;=60,"🟡 Kehitys","🔴 Prioriteetti")),"")</f>
        <v/>
      </c>
      <c r="AB44" s="19">
        <f>IFERROR(IF(OR(F44="PHV-huippu",Z44&lt;60),"⚠️ MAX 60%","OK"),"")</f>
        <v/>
      </c>
      <c r="AC44" s="20" t="n"/>
      <c r="AD44" s="20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6" t="n"/>
      <c r="K45" s="15" t="n"/>
      <c r="L45" s="16" t="n"/>
      <c r="M45" s="15" t="n"/>
      <c r="N45" s="16" t="n"/>
      <c r="O45" s="15" t="n"/>
      <c r="P45" s="16" t="n"/>
      <c r="Q45" s="15" t="n"/>
      <c r="R45" s="16" t="n"/>
      <c r="S45" s="15" t="n"/>
      <c r="T45" s="16" t="n"/>
      <c r="U45" s="15" t="n"/>
      <c r="V45" s="16" t="n"/>
      <c r="W45" s="15" t="n"/>
      <c r="X45" s="16" t="n"/>
      <c r="Y45" s="17">
        <f>IFERROR(J45+L45+N45+P45+R45+T45+V45+X45,"")</f>
        <v/>
      </c>
      <c r="Z45" s="18">
        <f>IFERROR(ROUND(Y45/24*100,0),"")</f>
        <v/>
      </c>
      <c r="AA45" s="19">
        <f>IFERROR(IF(Z45&gt;=80,"🟢 Hyvä",IF(Z45&gt;=60,"🟡 Kehitys","🔴 Prioriteetti")),"")</f>
        <v/>
      </c>
      <c r="AB45" s="19">
        <f>IFERROR(IF(OR(F45="PHV-huippu",Z45&lt;60),"⚠️ MAX 60%","OK"),"")</f>
        <v/>
      </c>
      <c r="AC45" s="20" t="n"/>
      <c r="AD45" s="20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6" t="n"/>
      <c r="K46" s="15" t="n"/>
      <c r="L46" s="16" t="n"/>
      <c r="M46" s="15" t="n"/>
      <c r="N46" s="16" t="n"/>
      <c r="O46" s="15" t="n"/>
      <c r="P46" s="16" t="n"/>
      <c r="Q46" s="15" t="n"/>
      <c r="R46" s="16" t="n"/>
      <c r="S46" s="15" t="n"/>
      <c r="T46" s="16" t="n"/>
      <c r="U46" s="15" t="n"/>
      <c r="V46" s="16" t="n"/>
      <c r="W46" s="15" t="n"/>
      <c r="X46" s="16" t="n"/>
      <c r="Y46" s="17">
        <f>IFERROR(J46+L46+N46+P46+R46+T46+V46+X46,"")</f>
        <v/>
      </c>
      <c r="Z46" s="18">
        <f>IFERROR(ROUND(Y46/24*100,0),"")</f>
        <v/>
      </c>
      <c r="AA46" s="19">
        <f>IFERROR(IF(Z46&gt;=80,"🟢 Hyvä",IF(Z46&gt;=60,"🟡 Kehitys","🔴 Prioriteetti")),"")</f>
        <v/>
      </c>
      <c r="AB46" s="19">
        <f>IFERROR(IF(OR(F46="PHV-huippu",Z46&lt;60),"⚠️ MAX 60%","OK"),"")</f>
        <v/>
      </c>
      <c r="AC46" s="20" t="n"/>
      <c r="AD46" s="20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6" t="n"/>
      <c r="K47" s="15" t="n"/>
      <c r="L47" s="16" t="n"/>
      <c r="M47" s="15" t="n"/>
      <c r="N47" s="16" t="n"/>
      <c r="O47" s="15" t="n"/>
      <c r="P47" s="16" t="n"/>
      <c r="Q47" s="15" t="n"/>
      <c r="R47" s="16" t="n"/>
      <c r="S47" s="15" t="n"/>
      <c r="T47" s="16" t="n"/>
      <c r="U47" s="15" t="n"/>
      <c r="V47" s="16" t="n"/>
      <c r="W47" s="15" t="n"/>
      <c r="X47" s="16" t="n"/>
      <c r="Y47" s="17">
        <f>IFERROR(J47+L47+N47+P47+R47+T47+V47+X47,"")</f>
        <v/>
      </c>
      <c r="Z47" s="18">
        <f>IFERROR(ROUND(Y47/24*100,0),"")</f>
        <v/>
      </c>
      <c r="AA47" s="19">
        <f>IFERROR(IF(Z47&gt;=80,"🟢 Hyvä",IF(Z47&gt;=60,"🟡 Kehitys","🔴 Prioriteetti")),"")</f>
        <v/>
      </c>
      <c r="AB47" s="19">
        <f>IFERROR(IF(OR(F47="PHV-huippu",Z47&lt;60),"⚠️ MAX 60%","OK"),"")</f>
        <v/>
      </c>
      <c r="AC47" s="20" t="n"/>
      <c r="AD47" s="20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6" t="n"/>
      <c r="K48" s="15" t="n"/>
      <c r="L48" s="16" t="n"/>
      <c r="M48" s="15" t="n"/>
      <c r="N48" s="16" t="n"/>
      <c r="O48" s="15" t="n"/>
      <c r="P48" s="16" t="n"/>
      <c r="Q48" s="15" t="n"/>
      <c r="R48" s="16" t="n"/>
      <c r="S48" s="15" t="n"/>
      <c r="T48" s="16" t="n"/>
      <c r="U48" s="15" t="n"/>
      <c r="V48" s="16" t="n"/>
      <c r="W48" s="15" t="n"/>
      <c r="X48" s="16" t="n"/>
      <c r="Y48" s="17">
        <f>IFERROR(J48+L48+N48+P48+R48+T48+V48+X48,"")</f>
        <v/>
      </c>
      <c r="Z48" s="18">
        <f>IFERROR(ROUND(Y48/24*100,0),"")</f>
        <v/>
      </c>
      <c r="AA48" s="19">
        <f>IFERROR(IF(Z48&gt;=80,"🟢 Hyvä",IF(Z48&gt;=60,"🟡 Kehitys","🔴 Prioriteetti")),"")</f>
        <v/>
      </c>
      <c r="AB48" s="19">
        <f>IFERROR(IF(OR(F48="PHV-huippu",Z48&lt;60),"⚠️ MAX 60%","OK"),"")</f>
        <v/>
      </c>
      <c r="AC48" s="20" t="n"/>
      <c r="AD48" s="20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6" t="n"/>
      <c r="K49" s="15" t="n"/>
      <c r="L49" s="16" t="n"/>
      <c r="M49" s="15" t="n"/>
      <c r="N49" s="16" t="n"/>
      <c r="O49" s="15" t="n"/>
      <c r="P49" s="16" t="n"/>
      <c r="Q49" s="15" t="n"/>
      <c r="R49" s="16" t="n"/>
      <c r="S49" s="15" t="n"/>
      <c r="T49" s="16" t="n"/>
      <c r="U49" s="15" t="n"/>
      <c r="V49" s="16" t="n"/>
      <c r="W49" s="15" t="n"/>
      <c r="X49" s="16" t="n"/>
      <c r="Y49" s="17">
        <f>IFERROR(J49+L49+N49+P49+R49+T49+V49+X49,"")</f>
        <v/>
      </c>
      <c r="Z49" s="18">
        <f>IFERROR(ROUND(Y49/24*100,0),"")</f>
        <v/>
      </c>
      <c r="AA49" s="19">
        <f>IFERROR(IF(Z49&gt;=80,"🟢 Hyvä",IF(Z49&gt;=60,"🟡 Kehitys","🔴 Prioriteetti")),"")</f>
        <v/>
      </c>
      <c r="AB49" s="19">
        <f>IFERROR(IF(OR(F49="PHV-huippu",Z49&lt;60),"⚠️ MAX 60%","OK"),"")</f>
        <v/>
      </c>
      <c r="AC49" s="20" t="n"/>
      <c r="AD49" s="20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6" t="n"/>
      <c r="K50" s="15" t="n"/>
      <c r="L50" s="16" t="n"/>
      <c r="M50" s="15" t="n"/>
      <c r="N50" s="16" t="n"/>
      <c r="O50" s="15" t="n"/>
      <c r="P50" s="16" t="n"/>
      <c r="Q50" s="15" t="n"/>
      <c r="R50" s="16" t="n"/>
      <c r="S50" s="15" t="n"/>
      <c r="T50" s="16" t="n"/>
      <c r="U50" s="15" t="n"/>
      <c r="V50" s="16" t="n"/>
      <c r="W50" s="15" t="n"/>
      <c r="X50" s="16" t="n"/>
      <c r="Y50" s="17">
        <f>IFERROR(J50+L50+N50+P50+R50+T50+V50+X50,"")</f>
        <v/>
      </c>
      <c r="Z50" s="18">
        <f>IFERROR(ROUND(Y50/24*100,0),"")</f>
        <v/>
      </c>
      <c r="AA50" s="19">
        <f>IFERROR(IF(Z50&gt;=80,"🟢 Hyvä",IF(Z50&gt;=60,"🟡 Kehitys","🔴 Prioriteetti")),"")</f>
        <v/>
      </c>
      <c r="AB50" s="19">
        <f>IFERROR(IF(OR(F50="PHV-huippu",Z50&lt;60),"⚠️ MAX 60%","OK"),"")</f>
        <v/>
      </c>
      <c r="AC50" s="20" t="n"/>
      <c r="AD50" s="20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6" t="n"/>
      <c r="K51" s="15" t="n"/>
      <c r="L51" s="16" t="n"/>
      <c r="M51" s="15" t="n"/>
      <c r="N51" s="16" t="n"/>
      <c r="O51" s="15" t="n"/>
      <c r="P51" s="16" t="n"/>
      <c r="Q51" s="15" t="n"/>
      <c r="R51" s="16" t="n"/>
      <c r="S51" s="15" t="n"/>
      <c r="T51" s="16" t="n"/>
      <c r="U51" s="15" t="n"/>
      <c r="V51" s="16" t="n"/>
      <c r="W51" s="15" t="n"/>
      <c r="X51" s="16" t="n"/>
      <c r="Y51" s="17">
        <f>IFERROR(J51+L51+N51+P51+R51+T51+V51+X51,"")</f>
        <v/>
      </c>
      <c r="Z51" s="18">
        <f>IFERROR(ROUND(Y51/24*100,0),"")</f>
        <v/>
      </c>
      <c r="AA51" s="19">
        <f>IFERROR(IF(Z51&gt;=80,"🟢 Hyvä",IF(Z51&gt;=60,"🟡 Kehitys","🔴 Prioriteetti")),"")</f>
        <v/>
      </c>
      <c r="AB51" s="19">
        <f>IFERROR(IF(OR(F51="PHV-huippu",Z51&lt;60),"⚠️ MAX 60%","OK"),"")</f>
        <v/>
      </c>
      <c r="AC51" s="20" t="n"/>
      <c r="AD51" s="20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6" t="n"/>
      <c r="K52" s="15" t="n"/>
      <c r="L52" s="16" t="n"/>
      <c r="M52" s="15" t="n"/>
      <c r="N52" s="16" t="n"/>
      <c r="O52" s="15" t="n"/>
      <c r="P52" s="16" t="n"/>
      <c r="Q52" s="15" t="n"/>
      <c r="R52" s="16" t="n"/>
      <c r="S52" s="15" t="n"/>
      <c r="T52" s="16" t="n"/>
      <c r="U52" s="15" t="n"/>
      <c r="V52" s="16" t="n"/>
      <c r="W52" s="15" t="n"/>
      <c r="X52" s="16" t="n"/>
      <c r="Y52" s="17">
        <f>IFERROR(J52+L52+N52+P52+R52+T52+V52+X52,"")</f>
        <v/>
      </c>
      <c r="Z52" s="18">
        <f>IFERROR(ROUND(Y52/24*100,0),"")</f>
        <v/>
      </c>
      <c r="AA52" s="19">
        <f>IFERROR(IF(Z52&gt;=80,"🟢 Hyvä",IF(Z52&gt;=60,"🟡 Kehitys","🔴 Prioriteetti")),"")</f>
        <v/>
      </c>
      <c r="AB52" s="19">
        <f>IFERROR(IF(OR(F52="PHV-huippu",Z52&lt;60),"⚠️ MAX 60%","OK"),"")</f>
        <v/>
      </c>
      <c r="AC52" s="20" t="n"/>
      <c r="AD52" s="20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6" t="n"/>
      <c r="K53" s="15" t="n"/>
      <c r="L53" s="16" t="n"/>
      <c r="M53" s="15" t="n"/>
      <c r="N53" s="16" t="n"/>
      <c r="O53" s="15" t="n"/>
      <c r="P53" s="16" t="n"/>
      <c r="Q53" s="15" t="n"/>
      <c r="R53" s="16" t="n"/>
      <c r="S53" s="15" t="n"/>
      <c r="T53" s="16" t="n"/>
      <c r="U53" s="15" t="n"/>
      <c r="V53" s="16" t="n"/>
      <c r="W53" s="15" t="n"/>
      <c r="X53" s="16" t="n"/>
      <c r="Y53" s="17">
        <f>IFERROR(J53+L53+N53+P53+R53+T53+V53+X53,"")</f>
        <v/>
      </c>
      <c r="Z53" s="18">
        <f>IFERROR(ROUND(Y53/24*100,0),"")</f>
        <v/>
      </c>
      <c r="AA53" s="19">
        <f>IFERROR(IF(Z53&gt;=80,"🟢 Hyvä",IF(Z53&gt;=60,"🟡 Kehitys","🔴 Prioriteetti")),"")</f>
        <v/>
      </c>
      <c r="AB53" s="19">
        <f>IFERROR(IF(OR(F53="PHV-huippu",Z53&lt;60),"⚠️ MAX 60%","OK"),"")</f>
        <v/>
      </c>
      <c r="AC53" s="20" t="n"/>
      <c r="AD53" s="20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6" t="n"/>
      <c r="K54" s="15" t="n"/>
      <c r="L54" s="16" t="n"/>
      <c r="M54" s="15" t="n"/>
      <c r="N54" s="16" t="n"/>
      <c r="O54" s="15" t="n"/>
      <c r="P54" s="16" t="n"/>
      <c r="Q54" s="15" t="n"/>
      <c r="R54" s="16" t="n"/>
      <c r="S54" s="15" t="n"/>
      <c r="T54" s="16" t="n"/>
      <c r="U54" s="15" t="n"/>
      <c r="V54" s="16" t="n"/>
      <c r="W54" s="15" t="n"/>
      <c r="X54" s="16" t="n"/>
      <c r="Y54" s="17">
        <f>IFERROR(J54+L54+N54+P54+R54+T54+V54+X54,"")</f>
        <v/>
      </c>
      <c r="Z54" s="18">
        <f>IFERROR(ROUND(Y54/24*100,0),"")</f>
        <v/>
      </c>
      <c r="AA54" s="19">
        <f>IFERROR(IF(Z54&gt;=80,"🟢 Hyvä",IF(Z54&gt;=60,"🟡 Kehitys","🔴 Prioriteetti")),"")</f>
        <v/>
      </c>
      <c r="AB54" s="19">
        <f>IFERROR(IF(OR(F54="PHV-huippu",Z54&lt;60),"⚠️ MAX 60%","OK"),"")</f>
        <v/>
      </c>
      <c r="AC54" s="20" t="n"/>
      <c r="AD54" s="20" t="n"/>
    </row>
  </sheetData>
  <mergeCells count="2">
    <mergeCell ref="A2:AD2"/>
    <mergeCell ref="A1:AD1"/>
  </mergeCells>
  <dataValidations count="400">
    <dataValidation sqref="J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1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2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3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5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6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7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8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49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0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1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2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3" showDropDown="0" showInputMessage="0" showErrorMessage="1" allowBlank="0" errorTitle="Virheellinen arvo" error="Syötä vain 1, 2 tai 3" type="whole" operator="between">
      <formula1>1</formula1>
      <formula2>3</formula2>
    </dataValidation>
    <dataValidation sqref="J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L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N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P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R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T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V54" showDropDown="0" showInputMessage="0" showErrorMessage="1" allowBlank="0" errorTitle="Virheellinen arvo" error="Syötä vain 1, 2 tai 3" type="whole" operator="between">
      <formula1>1</formula1>
      <formula2>3</formula2>
    </dataValidation>
    <dataValidation sqref="X54" showDropDown="0" showInputMessage="0" showErrorMessage="1" allowBlank="0" errorTitle="Virheellinen arvo" error="Syötä vain 1, 2 tai 3" type="whole" operator="between">
      <formula1>1</formula1>
      <formula2>3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5B700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40" customWidth="1" min="2" max="2"/>
    <col width="35" customWidth="1" min="3" max="3"/>
    <col width="35" customWidth="1" min="4" max="4"/>
    <col width="45" customWidth="1" min="5" max="5"/>
    <col width="15" customWidth="1" min="6" max="6"/>
  </cols>
  <sheetData>
    <row r="1" ht="24" customHeight="1">
      <c r="A1" s="22" t="inlineStr">
        <is>
          <t>AUTO-OHJELMA — Fascia-linja → Harjoitekirjasto (vain luku, käyttö VP-dashboardissa)</t>
        </is>
      </c>
    </row>
    <row r="2" ht="22" customHeight="1">
      <c r="A2" s="23" t="inlineStr">
        <is>
          <t>Fascia</t>
        </is>
      </c>
      <c r="B2" s="23" t="inlineStr">
        <is>
          <t>Aktivointi (joka harjoitus)</t>
        </is>
      </c>
      <c r="C2" s="23" t="inlineStr">
        <is>
          <t>Taso 1 (1p → aloita)</t>
        </is>
      </c>
      <c r="D2" s="23" t="inlineStr">
        <is>
          <t>Taso 2 (progressio)</t>
        </is>
      </c>
      <c r="E2" s="23" t="inlineStr">
        <is>
          <t>Kenttä-cue</t>
        </is>
      </c>
      <c r="F2" s="23" t="inlineStr">
        <is>
          <t>Klinikka-trigger</t>
        </is>
      </c>
    </row>
    <row r="3">
      <c r="A3" t="inlineStr">
        <is>
          <t>DFL</t>
        </is>
      </c>
      <c r="B3" t="inlineStr">
        <is>
          <t>360° palleahengitys 3×5 min + Dead bug taso 1 3×5/puoli</t>
        </is>
      </c>
      <c r="C3" t="inlineStr">
        <is>
          <t>Plank 2×20s + Dead bug polvi 3×5/puoli</t>
        </is>
      </c>
      <c r="D3" t="inlineStr">
        <is>
          <t>Plank 3×40s + Dead bug jalka suorana 3×5/puoli</t>
        </is>
      </c>
      <c r="E3" t="inlineStr">
        <is>
          <t>Skannaus + asento: katse ympäriinsä ennen palloa
"Hengitä ympäri kylkiä — ei rintaan ylös"</t>
        </is>
      </c>
      <c r="F3" t="inlineStr">
        <is>
          <t>Kyllä</t>
        </is>
      </c>
    </row>
    <row r="4">
      <c r="A4" t="inlineStr">
        <is>
          <t>SBL</t>
        </is>
      </c>
      <c r="B4" t="inlineStr">
        <is>
          <t>Jalkapohjan rullaus 60s/jalka + SLR-flossing 2×10/jalka</t>
        </is>
      </c>
      <c r="C4" t="inlineStr">
        <is>
          <t>SL lantionnosto koroke 3×8/jalka + pohje eksentrinen 3×10 hidas</t>
        </is>
      </c>
      <c r="D4" t="inlineStr">
        <is>
          <t>Nordic hamstring taso 1 (TRX/penkki) 3×5 + RDL 3×8</t>
        </is>
      </c>
      <c r="E4" t="inlineStr">
        <is>
          <t>Kiihdytys: anna takaketjun vetää — ei ponnisteta eteen, vedetään taakaa
"Nopeus syntyy takaa — takaketju vetää"</t>
        </is>
      </c>
      <c r="F4" t="inlineStr">
        <is>
          <t>FLEI &lt; 60%</t>
        </is>
      </c>
    </row>
    <row r="5">
      <c r="A5" t="inlineStr">
        <is>
          <t>SFL</t>
        </is>
      </c>
      <c r="B5" t="inlineStr">
        <is>
          <t>90/90 hip flexor passiivinen 2×45s/puoli + Quad rock back 2×10</t>
        </is>
      </c>
      <c r="C5" t="inlineStr">
        <is>
          <t>Hip hinge kepillä 3×10 + Anterior chain isometria 3×30s</t>
        </is>
      </c>
      <c r="D5" t="inlineStr">
        <is>
          <t>Askelkyykky 3×8/jalka + Hip thrust 3×10</t>
        </is>
      </c>
      <c r="E5" t="inlineStr">
        <is>
          <t>Potkutekniikka: lonkka taakse ensin — sitten potku lähtee auki
"Lonkka auki — sitten lähetä potku"</t>
        </is>
      </c>
      <c r="F5" t="inlineStr">
        <is>
          <t>FLEI &lt; 60%</t>
        </is>
      </c>
    </row>
    <row r="6">
      <c r="A6" t="inlineStr">
        <is>
          <t>LL</t>
        </is>
      </c>
      <c r="B6" t="inlineStr">
        <is>
          <t>Clamshell 2×12 + Lateral hip circle 2×10 + SL wall hold 2×20s</t>
        </is>
      </c>
      <c r="C6" t="inlineStr">
        <is>
          <t>Lateral band walk 3×15 + SL squat tuella 3×6</t>
        </is>
      </c>
      <c r="D6" t="inlineStr">
        <is>
          <t>Lateral bound &amp; stick 3×5/puoli + Pistoolikyykky koroke 3×6</t>
        </is>
      </c>
      <c r="E6" t="inlineStr">
        <is>
          <t>Suunnanmuutos: kolme askelta jarrutuksessa — polvilinja ei murru
"3 askeleella jarrutus — ei sorru sisään"</t>
        </is>
      </c>
      <c r="F6" t="inlineStr">
        <is>
          <t>FLEI &lt; 60%</t>
        </is>
      </c>
    </row>
    <row r="7">
      <c r="A7" t="inlineStr">
        <is>
          <t>SL</t>
        </is>
      </c>
      <c r="B7" t="inlineStr">
        <is>
          <t>Thorax rotaatio 2×10 + pallonheitto seinään ristikkäin 2×10</t>
        </is>
      </c>
      <c r="C7" t="inlineStr">
        <is>
          <t>Anti-rotation plank 3×30s + Pallaton rotaatio 3×10</t>
        </is>
      </c>
      <c r="D7" t="inlineStr">
        <is>
          <t>Rotational med ball throw 3×6 + Diagonal pattern 3×8</t>
        </is>
      </c>
      <c r="E7" t="inlineStr">
        <is>
          <t>Harhautus: rintakehä ohjaa — jalka seuraa automaattisesti
"Kääntele rintakehää — jalka seuraa luonnostaan"</t>
        </is>
      </c>
      <c r="F7" t="inlineStr">
        <is>
          <t>FLEI &lt; 60%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2026-03-27T14:54:28Z</dcterms:created>
  <dcterms:modified xmlns:dcterms="http://purl.org/dc/terms/" xmlns:xsi="http://www.w3.org/2001/XMLSchema-instance" xsi:type="dcterms:W3CDTF">2026-03-27T14:54:28Z</dcterms:modified>
</cp:coreProperties>
</file>