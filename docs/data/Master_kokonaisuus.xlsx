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ku" sheetId="1" state="visible" r:id="rId3"/>
    <sheet name="Youth-konseptit" sheetId="2" state="visible" r:id="rId4"/>
    <sheet name="Kysymyspankki" sheetId="3" state="visible" r:id="rId5"/>
    <sheet name="Pelaajakortti" sheetId="4" state="visible" r:id="rId6"/>
    <sheet name="Silta U14-U15" sheetId="5" state="visible" r:id="rId7"/>
    <sheet name="Valitsin" sheetId="6" state="visible" r:id="rId8"/>
    <sheet name="Matriisi" sheetId="7" state="visible" r:id="rId9"/>
    <sheet name="Harjoitepankki" sheetId="8" state="visible" r:id="rId10"/>
    <sheet name="Ydinkonseptit" sheetId="9" state="visible" r:id="rId11"/>
    <sheet name="CB Toppari" sheetId="10" state="visible" r:id="rId12"/>
    <sheet name="FB Laitapuolustaja" sheetId="11" state="visible" r:id="rId13"/>
    <sheet name="MID Keskikenttä" sheetId="12" state="visible" r:id="rId14"/>
    <sheet name="AMID Kymppi" sheetId="13" state="visible" r:id="rId15"/>
    <sheet name="ST Keskushyökkääjä" sheetId="14" state="visible" r:id="rId16"/>
    <sheet name="WI Laituri" sheetId="15" state="visible" r:id="rId17"/>
    <sheet name="GK Maalivahti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<sst xmlns="http://schemas.openxmlformats.org/spreadsheetml/2006/main" count="2278" uniqueCount="1483">
  <si>
    <t xml:space="preserve">PELAAJAPOLKU – yksilön konsepteista pelipaikkafundamentteihin</t>
  </si>
  <si>
    <t xml:space="preserve">1. YKSILÖVAIHE  (6–14 v)</t>
  </si>
  <si>
    <t xml:space="preserve">2. SILTA  (U14–U15)</t>
  </si>
  <si>
    <t xml:space="preserve">3. MASTER  (U15 →)</t>
  </si>
  <si>
    <t xml:space="preserve">14 yksilön teknistaktista konseptia (Y-H0–H9, Y-P1–P4) joukkuekontekstissa.
Egosentrinen 6–9 → summatiivinen 10–13(–14).
Yksilövaihe jatkuu U13:n läpi ja tarvittaessa koko U14:n.
→ Välilehti: Youth-konseptit</t>
  </si>
  <si>
    <t xml:space="preserve">→</t>
  </si>
  <si>
    <t xml:space="preserve">Tarkistuslista: kaikki 14 konseptia hallussa.
Konseptit syvennetään tulevan pelipaikan kontekstissa.
Ei aikaista lukitsemista: ensisijainen + toissijainen pelipaikka.
→ Välilehti: Silta U14-U15</t>
  </si>
  <si>
    <t xml:space="preserve">Pelipaikkakohtaiset fundamentit (CB, FB, MID, AMID, ST, WI, GK).
1–4 uutta fundamenttia per kausi, muut ylläpitona.
Skouttaus ja kehityskeskustelut fundamenttikoodeilla.
→ Välilehdet: pelipaikat + Matriisi</t>
  </si>
  <si>
    <t xml:space="preserve">Avainperiaate:</t>
  </si>
  <si>
    <t xml:space="preserve">Yksilön kehittäminen joukkuekontekstissa – konsepti opetetaan aina pelitilanteen (sisällön) kautta, ei irrallaan.</t>
  </si>
  <si>
    <t xml:space="preserve">Siirtymäsääntö 1:</t>
  </si>
  <si>
    <t xml:space="preserve">Master-vaiheeseen vasta, kun yksilökonseptit on käyty läpi (tarkistuslista, Silta-välilehti).</t>
  </si>
  <si>
    <t xml:space="preserve">Siirtymäsääntö 2:</t>
  </si>
  <si>
    <t xml:space="preserve">1–4 uutta pelipaikkafundamenttia kaudessa. Järjestys: H0 ensin → pelipaikan identiteetti → yleisin puolustustilanne → rakentelurooli.</t>
  </si>
  <si>
    <t xml:space="preserve">Koodisto:</t>
  </si>
  <si>
    <t xml:space="preserve">Y-H7 = youth, vartioinnista irtaantuminen | CB-P4 = topparin pallollisen puolustaminen. Numerotaso = teema, kirjaintaso (a, b, c…) = konsepti eli pelaajan KPI. Sama koodi kulkee suunnittelusta skouttaukseen.</t>
  </si>
  <si>
    <t xml:space="preserve">Rajaus:</t>
  </si>
  <si>
    <t xml:space="preserve">Järjestelmä kattaa pelaajan teknistaktisen kehittämisen (pelikäsitys + tekniikka pelissä). Fyysis-motorinen ja psyykkinen kehittäminen kulkevat rinnalla omina polkuinaan (vrt. Ekkonon preference-malli).</t>
  </si>
  <si>
    <t xml:space="preserve">YKSILÖN TEKNISTAKTISET KONSEPTIT (6–14 v) – opetetaan aina joukkuekontekstissa</t>
  </si>
  <si>
    <t xml:space="preserve">Taso-asteikko: 1 = ei näy pelissä  |  2 = näkyy ohjatusti (valmentajan muistutuksella)  |  3 = näkyy pelissä itsenäisesti. Konsepti on hallinnassa tasolla 3.</t>
  </si>
  <si>
    <t xml:space="preserve">Koodi</t>
  </si>
  <si>
    <t xml:space="preserve">Teema / konseptit (KPI)</t>
  </si>
  <si>
    <t xml:space="preserve">Sisältö (pelitilanne)</t>
  </si>
  <si>
    <t xml:space="preserve">Ikäpaino</t>
  </si>
  <si>
    <t xml:space="preserve">Pelimuoto</t>
  </si>
  <si>
    <t xml:space="preserve">Taso (1–3)</t>
  </si>
  <si>
    <t xml:space="preserve">Huomiot / kertaustarve</t>
  </si>
  <si>
    <t xml:space="preserve">Y-H0</t>
  </si>
  <si>
    <t xml:space="preserve">Havainnointi (tiedon kerääminen)</t>
  </si>
  <si>
    <t xml:space="preserve">Kuljetanko vai syötänkö / Pelaaminen omalta pelipaikalta / Pallon pyytäminen</t>
  </si>
  <si>
    <t xml:space="preserve">6–14, läpileikkaava</t>
  </si>
  <si>
    <t xml:space="preserve">5v5 → 11v11</t>
  </si>
  <si>
    <t xml:space="preserve">Y-H0a</t>
  </si>
  <si>
    <t xml:space="preserve">a. Diagonaalinen sijoittuminen – laajempi näkökenttä</t>
  </si>
  <si>
    <t xml:space="preserve">Y-H0b</t>
  </si>
  <si>
    <t xml:space="preserve">b. Avoin peliasento</t>
  </si>
  <si>
    <t xml:space="preserve">Y-H0c</t>
  </si>
  <si>
    <t xml:space="preserve">c. Pään kääntäminen: avoin puoli ja sokea puoli</t>
  </si>
  <si>
    <t xml:space="preserve">Y-H0d</t>
  </si>
  <si>
    <t xml:space="preserve">d. Pallo kaukana → joukkueen tasapaino, kasvavat/pienenevät tilat</t>
  </si>
  <si>
    <t xml:space="preserve">Y-H0e</t>
  </si>
  <si>
    <t xml:space="preserve">e. Pallo lähellä → seuraava syöttösuunta ja lähin vastustaja</t>
  </si>
  <si>
    <t xml:space="preserve">Y-H0f</t>
  </si>
  <si>
    <t xml:space="preserve">f. Pallo tulossa → suora vastustaja</t>
  </si>
  <si>
    <t xml:space="preserve">Y-H0g</t>
  </si>
  <si>
    <t xml:space="preserve">g. Puolustaessa: kenet vartioin, vaarallisin pelaaja alueella, pallollisen tilanne, uudelleentasapainotus (taakse &gt; eteen, sisään &gt; ulos)</t>
  </si>
  <si>
    <t xml:space="preserve">Y-H1</t>
  </si>
  <si>
    <t xml:space="preserve">Haltuunotto (ensimmäinen kosketus)</t>
  </si>
  <si>
    <t xml:space="preserve">Pallon haltuunotto (Get the ball)</t>
  </si>
  <si>
    <t xml:space="preserve">6–9 perusta, syvenee 10–13</t>
  </si>
  <si>
    <t xml:space="preserve">5v5 → 8v8</t>
  </si>
  <si>
    <t xml:space="preserve">Y-H1a</t>
  </si>
  <si>
    <t xml:space="preserve">a. Käännä päätä pallon ollessa matkalla</t>
  </si>
  <si>
    <t xml:space="preserve">Y-H1b</t>
  </si>
  <si>
    <t xml:space="preserve">b. Hyökkää palloa vastaan (50/50, tilan voitto) vai odota (ohitus, vapaa tila)</t>
  </si>
  <si>
    <t xml:space="preserve">Y-H1c</t>
  </si>
  <si>
    <t xml:space="preserve">c. Ota haltuun optimiajalla – ei helpoimmalla hetkellä</t>
  </si>
  <si>
    <t xml:space="preserve">Y-H1d</t>
  </si>
  <si>
    <t xml:space="preserve">d. Suuntaa pallo tilaan, joka kytkee seuraavaan toimintoon / pois vastustajalta</t>
  </si>
  <si>
    <t xml:space="preserve">Y-H1e</t>
  </si>
  <si>
    <t xml:space="preserve">e. Molemmat jalat</t>
  </si>
  <si>
    <t xml:space="preserve">Y-H1f</t>
  </si>
  <si>
    <t xml:space="preserve">f. Isot ja pehmeät pinnat – älä pysäytä palloa (jatkuvuus)</t>
  </si>
  <si>
    <t xml:space="preserve">Tilanteet: etene tai ohita / jatkuvuus / suojaa</t>
  </si>
  <si>
    <t xml:space="preserve">Y-H2</t>
  </si>
  <si>
    <t xml:space="preserve">Syöttäminen</t>
  </si>
  <si>
    <t xml:space="preserve">Syöttäminen (Passing the ball)</t>
  </si>
  <si>
    <t xml:space="preserve">10–13 (tekniikka 6–9)</t>
  </si>
  <si>
    <t xml:space="preserve">8v8 (tekniikka 5v5)</t>
  </si>
  <si>
    <t xml:space="preserve">Y-H2a</t>
  </si>
  <si>
    <t xml:space="preserve">a. Kerää tieto ennen syöttöä</t>
  </si>
  <si>
    <t xml:space="preserve">Y-H2b</t>
  </si>
  <si>
    <t xml:space="preserve">b. Päätöksenteon prioriteetit – mentaalinen kartta (etu ensin)</t>
  </si>
  <si>
    <t xml:space="preserve">Y-H2c</t>
  </si>
  <si>
    <t xml:space="preserve">c. Kova / pehmeä syöttö aikomuksen mukaan (houkuttelu = pehmeä, eteneminen = kova)</t>
  </si>
  <si>
    <t xml:space="preserve">Y-H2d</t>
  </si>
  <si>
    <t xml:space="preserve">d. Syötä niin, että vastaanottaja saa edun (oikea tila ja jalka, liike huomioiden)</t>
  </si>
  <si>
    <t xml:space="preserve">Y-H2e</t>
  </si>
  <si>
    <t xml:space="preserve">e. Anna väärää tietoa syötöllä – piilota aikomus</t>
  </si>
  <si>
    <t xml:space="preserve">Y-H2f</t>
  </si>
  <si>
    <t xml:space="preserve">f. Syötä ja liiku (jatkuvuus syötön jälkeen)</t>
  </si>
  <si>
    <t xml:space="preserve">Y-H2g</t>
  </si>
  <si>
    <t xml:space="preserve">g. Vaihtele lyhyitä ja pitkiä (pitkä vain edulla)</t>
  </si>
  <si>
    <t xml:space="preserve">Y-H2h</t>
  </si>
  <si>
    <t xml:space="preserve">h. Syöttö pallon suojaamisen välineenä (seinäsyöttö)</t>
  </si>
  <si>
    <t xml:space="preserve">Y-H2i</t>
  </si>
  <si>
    <t xml:space="preserve">i. Ajoitus – oikea konsepti oikeaan hetkeen</t>
  </si>
  <si>
    <t xml:space="preserve">Y-H2j</t>
  </si>
  <si>
    <t xml:space="preserve">j. Tekniset resurssit: perusteet + luovuus</t>
  </si>
  <si>
    <t xml:space="preserve">Y-H3</t>
  </si>
  <si>
    <t xml:space="preserve">Tempokuljetus (driving)</t>
  </si>
  <si>
    <t xml:space="preserve">Kuljetanko vai syötänkö / Eteneminen pelissä (6–9)</t>
  </si>
  <si>
    <t xml:space="preserve">6–9 ydin, päätökset 8–10</t>
  </si>
  <si>
    <t xml:space="preserve">Y-H3a</t>
  </si>
  <si>
    <t xml:space="preserve">a. Pää ylhäällä – tieto avainkohteista kuljettaessa</t>
  </si>
  <si>
    <t xml:space="preserve">Y-H3b</t>
  </si>
  <si>
    <t xml:space="preserve">b. Pallo lähelle (puolustaja lähellä) vai kauas (tyhjää edessä)</t>
  </si>
  <si>
    <t xml:space="preserve">Y-H3c</t>
  </si>
  <si>
    <t xml:space="preserve">c. Sisä- ja ulkosyrjä taktisen aikomuksen mukaan</t>
  </si>
  <si>
    <t xml:space="preserve">Y-H3d</t>
  </si>
  <si>
    <t xml:space="preserve">d. Suunnanmuutokset – älä ole ennustettava</t>
  </si>
  <si>
    <t xml:space="preserve">Y-H3e</t>
  </si>
  <si>
    <t xml:space="preserve">e. Molemmat jalat – suojaava jalka puolustajan mukaan</t>
  </si>
  <si>
    <t xml:space="preserve">Y-H3f</t>
  </si>
  <si>
    <t xml:space="preserve">f. Leikkaa vastustajan eteen ohituksen jälkeen</t>
  </si>
  <si>
    <t xml:space="preserve">Y-H3g</t>
  </si>
  <si>
    <t xml:space="preserve">g. Syötä vai kuljeta: syötä jos tila kiinni / kaveri paremmassa asemassa</t>
  </si>
  <si>
    <t xml:space="preserve">Y-H3h</t>
  </si>
  <si>
    <t xml:space="preserve">h. Kuljeta kohti puolustajaa vapauttaaksesi kaverin (2v1:n lukeminen)</t>
  </si>
  <si>
    <t xml:space="preserve">Tilanteet: etene tai ohita / sido vastustaja / viivytä</t>
  </si>
  <si>
    <t xml:space="preserve">Y-H4</t>
  </si>
  <si>
    <t xml:space="preserve">Harhauttaminen (dribbling)</t>
  </si>
  <si>
    <t xml:space="preserve">Eteneminen pelissä (10–13)</t>
  </si>
  <si>
    <t xml:space="preserve">10–13</t>
  </si>
  <si>
    <t xml:space="preserve">8v8 → 11v11</t>
  </si>
  <si>
    <t xml:space="preserve">Y-H4a</t>
  </si>
  <si>
    <t xml:space="preserve">a. Harhautus ennen kontaktia</t>
  </si>
  <si>
    <t xml:space="preserve">Y-H4b</t>
  </si>
  <si>
    <t xml:space="preserve">b. Suuntaava kosketus ohitukseen</t>
  </si>
  <si>
    <t xml:space="preserve">Y-H4c</t>
  </si>
  <si>
    <t xml:space="preserve">c. Rytminvaihto ohitushetkellä</t>
  </si>
  <si>
    <t xml:space="preserve">Y-H4d</t>
  </si>
  <si>
    <t xml:space="preserve">d. Kehon harhautus – anna väärää tietoa</t>
  </si>
  <si>
    <t xml:space="preserve">Y-H4e</t>
  </si>
  <si>
    <t xml:space="preserve">e. Suojaa etu ohituksen jälkeen (leikkaa eteen)</t>
  </si>
  <si>
    <t xml:space="preserve">Ei konseptidokumenttia lähteessä – johdettu (täydennä Block 2:sta jos löytyy)</t>
  </si>
  <si>
    <t xml:space="preserve">Y-H5</t>
  </si>
  <si>
    <t xml:space="preserve">Pallon suojaaminen</t>
  </si>
  <si>
    <t xml:space="preserve">Syötön vastaanottaminen (Receive the pass)</t>
  </si>
  <si>
    <t xml:space="preserve">a–d: 6–8, e–g: 8–10</t>
  </si>
  <si>
    <t xml:space="preserve">5v5 (a–d) → 8v8 (e–g)</t>
  </si>
  <si>
    <t xml:space="preserve">Y-H5a</t>
  </si>
  <si>
    <t xml:space="preserve">a. Keho pallon ja vastustajan väliin, kädet suojaavat</t>
  </si>
  <si>
    <t xml:space="preserve">Y-H5b</t>
  </si>
  <si>
    <t xml:space="preserve">b. Lantio alas – matala painopiste</t>
  </si>
  <si>
    <t xml:space="preserve">Y-H5c</t>
  </si>
  <si>
    <t xml:space="preserve">c. Pää ylös suojatessa – skannaa syöttösuunnat</t>
  </si>
  <si>
    <t xml:space="preserve">Y-H5d</t>
  </si>
  <si>
    <t xml:space="preserve">d. Käänny pienillä kosketuksilla (sisä/ulkosyrjä, harhautus ennen kääntöä)</t>
  </si>
  <si>
    <t xml:space="preserve">Y-H5e</t>
  </si>
  <si>
    <t xml:space="preserve">e. Käänny avoimeen tilaan – kytke seuraavaan toimintoon</t>
  </si>
  <si>
    <t xml:space="preserve">Y-H5f</t>
  </si>
  <si>
    <t xml:space="preserve">f. Tekniset resurssit ennakoimattomiin tilanteisiin</t>
  </si>
  <si>
    <t xml:space="preserve">Y-H5g</t>
  </si>
  <si>
    <t xml:space="preserve">g. Syöttö suojaamisen välineenä</t>
  </si>
  <si>
    <t xml:space="preserve">Y-H6</t>
  </si>
  <si>
    <t xml:space="preserve">Tuen tarjoaminen</t>
  </si>
  <si>
    <t xml:space="preserve">Pallon pyytäminen (Asking for the ball)</t>
  </si>
  <si>
    <t xml:space="preserve">U10 perusta, U13 syvennys</t>
  </si>
  <si>
    <t xml:space="preserve">8v8 (U10) → 11v11 (U13)</t>
  </si>
  <si>
    <t xml:space="preserve">Y-H6a</t>
  </si>
  <si>
    <t xml:space="preserve">a. U10: Älä pienennä tilaa pallolliseen – hae uusi tila josta voit vastaanottaa</t>
  </si>
  <si>
    <t xml:space="preserve">Y-H6b</t>
  </si>
  <si>
    <t xml:space="preserve">b. U10: Ole vastaanotettavissa vapaassa tilassa</t>
  </si>
  <si>
    <t xml:space="preserve">Y-H6c</t>
  </si>
  <si>
    <t xml:space="preserve">c. U10: Oikea peliasento tukea tarjottaessa</t>
  </si>
  <si>
    <t xml:space="preserve">Y-H6d</t>
  </si>
  <si>
    <t xml:space="preserve">d. U13: Pyydä palloa diagonaalisesta sijainnista</t>
  </si>
  <si>
    <t xml:space="preserve">Y-H6e</t>
  </si>
  <si>
    <t xml:space="preserve">e. U13: Tarjoa eri syöttölinja kuin muut joukkuetoverit</t>
  </si>
  <si>
    <t xml:space="preserve">Y-H6f</t>
  </si>
  <si>
    <t xml:space="preserve">f. U13: Auta sieltä, mistä ohitat suoran vastustajasi – tai hätätuki</t>
  </si>
  <si>
    <t xml:space="preserve">Y-H6g</t>
  </si>
  <si>
    <t xml:space="preserve">g. U13: Ennakoi seuraava tuki</t>
  </si>
  <si>
    <t xml:space="preserve">Y-H6h</t>
  </si>
  <si>
    <t xml:space="preserve">h. U13: Valmistele tuki pallon ollessa matkalla</t>
  </si>
  <si>
    <t xml:space="preserve">Y-H7</t>
  </si>
  <si>
    <t xml:space="preserve">Vartioinnista irtaantuminen (unmarking)</t>
  </si>
  <si>
    <t xml:space="preserve">Tiloihin hyökkääminen (Attacking spaces)</t>
  </si>
  <si>
    <t xml:space="preserve">U10–12 perusta, U12–13 syvennys</t>
  </si>
  <si>
    <t xml:space="preserve">Y-H7a</t>
  </si>
  <si>
    <t xml:space="preserve">a. Lähde diagonaalista, pyri puolustajan selustaan</t>
  </si>
  <si>
    <t xml:space="preserve">Y-H7b</t>
  </si>
  <si>
    <t xml:space="preserve">b. Priorisoi hyödylliset alueet</t>
  </si>
  <si>
    <t xml:space="preserve">Y-H7c</t>
  </si>
  <si>
    <t xml:space="preserve">c. Ajoita liike pallollisen mahdollisuuksiin</t>
  </si>
  <si>
    <t xml:space="preserve">Y-H7d</t>
  </si>
  <si>
    <t xml:space="preserve">d. Vastaliike + rytminvaihto (3–4 askelta riittää)</t>
  </si>
  <si>
    <t xml:space="preserve">Y-H7e</t>
  </si>
  <si>
    <t xml:space="preserve">e. Luo oma tilasi irtaantumiseen</t>
  </si>
  <si>
    <t xml:space="preserve">Y-H7f</t>
  </si>
  <si>
    <t xml:space="preserve">f. Vuorottele irtaantumista ja tukiliikkeitä – ole ennustamaton</t>
  </si>
  <si>
    <t xml:space="preserve">Y-H8</t>
  </si>
  <si>
    <t xml:space="preserve">Leveyteen/syvyyteen pelaaminen</t>
  </si>
  <si>
    <t xml:space="preserve">Tilojen luominen (Creating spaces)</t>
  </si>
  <si>
    <t xml:space="preserve">Y-H8a</t>
  </si>
  <si>
    <t xml:space="preserve">a. Anna joukkueelle leveys ja syvyys – iso kenttä hyökätessä</t>
  </si>
  <si>
    <t xml:space="preserve">Y-H8b</t>
  </si>
  <si>
    <t xml:space="preserve">b. Venytä vastustajan ryhmitystä</t>
  </si>
  <si>
    <t xml:space="preserve">Y-H8c</t>
  </si>
  <si>
    <t xml:space="preserve">c. Kavenna viimeistelyalueita lähestyttäessä</t>
  </si>
  <si>
    <t xml:space="preserve">Y-H8d</t>
  </si>
  <si>
    <t xml:space="preserve">d. Tunnista, kenelle tila syntyy (itselle vai muille)</t>
  </si>
  <si>
    <t xml:space="preserve">Ei konseptidokumenttia lähteessä – johdettu</t>
  </si>
  <si>
    <t xml:space="preserve">Y-H9</t>
  </si>
  <si>
    <t xml:space="preserve">Viimeistely (lisätty)</t>
  </si>
  <si>
    <t xml:space="preserve">Hyökkäyksen päättäminen – puuttui lähdemateriaalista</t>
  </si>
  <si>
    <t xml:space="preserve">6–9 rohkeus, 10–13 valinnat</t>
  </si>
  <si>
    <t xml:space="preserve">Y-H9a</t>
  </si>
  <si>
    <t xml:space="preserve">a. 6–9: Laukaise rohkeasti kun näet maalin</t>
  </si>
  <si>
    <t xml:space="preserve">Y-H9b</t>
  </si>
  <si>
    <t xml:space="preserve">b. 6–9: Tekniikan perusteet molemmilla jaloilla</t>
  </si>
  <si>
    <t xml:space="preserve">Y-H9c</t>
  </si>
  <si>
    <t xml:space="preserve">c. 6–9: Hyökkää maalia kohti haltuunoton/harhautuksen jälkeen</t>
  </si>
  <si>
    <t xml:space="preserve">Y-H9d</t>
  </si>
  <si>
    <t xml:space="preserve">d. 10–13: Laukaus vai syöttö paremmassa paikassa olevalle</t>
  </si>
  <si>
    <t xml:space="preserve">Y-H9e</t>
  </si>
  <si>
    <t xml:space="preserve">e. 10–13: Viimeistely liikkeestä ja ensimmäisellä</t>
  </si>
  <si>
    <t xml:space="preserve">Y-H9f</t>
  </si>
  <si>
    <t xml:space="preserve">f. 10–13: Sijoittaminen vs. voima – katso maalivahti</t>
  </si>
  <si>
    <t xml:space="preserve">Y-H9g</t>
  </si>
  <si>
    <t xml:space="preserve">g. 10–13: Irtopallovalmius – seuraa jokaista laukausta</t>
  </si>
  <si>
    <t xml:space="preserve">Y-H9h</t>
  </si>
  <si>
    <t xml:space="preserve">h. 10–13: Paineen alla ja heikommalla jalalla</t>
  </si>
  <si>
    <t xml:space="preserve">Y-P1</t>
  </si>
  <si>
    <t xml:space="preserve">1v1-puolustaminen ja riisto + viivyttäminen</t>
  </si>
  <si>
    <t xml:space="preserve">Pallollisen puolustaminen</t>
  </si>
  <si>
    <t xml:space="preserve">6–8 perusta → 10–13 syvennys</t>
  </si>
  <si>
    <t xml:space="preserve">Y-P1a</t>
  </si>
  <si>
    <t xml:space="preserve">a. 6–8: Älä tule ohitetuksi – viivytä, jos pallollisen tilanne on vakaa</t>
  </si>
  <si>
    <t xml:space="preserve">Y-P1b</t>
  </si>
  <si>
    <t xml:space="preserve">b. 6–8: Jatkuvuus – toinen yritys ohituksen jälkeen</t>
  </si>
  <si>
    <t xml:space="preserve">Y-P1c</t>
  </si>
  <si>
    <t xml:space="preserve">c. 8–10: Vastustajan ja maalin välissä; ohjaa haluttuun suuntaan</t>
  </si>
  <si>
    <t xml:space="preserve">Y-P1d</t>
  </si>
  <si>
    <t xml:space="preserve">d. 8–10: Puolustava kehon asento (polvet koukussa, jalat aktiiviset)</t>
  </si>
  <si>
    <t xml:space="preserve">Y-P1e</t>
  </si>
  <si>
    <t xml:space="preserve">e. 10–12: Lähesty nopeasti, pysähdy ~1 m ennen; jatka jos syöttö huono</t>
  </si>
  <si>
    <t xml:space="preserve">Y-P1f</t>
  </si>
  <si>
    <t xml:space="preserve">f. 10–12: Intensiivinen kontakti: kädet, keho sivuttain, jalat häiritsevät</t>
  </si>
  <si>
    <t xml:space="preserve">Y-P1g</t>
  </si>
  <si>
    <t xml:space="preserve">g. 10–12: Seinäsyötön (1-2) puolustus – ensiaskeleet taakse, katkaise juoksurata</t>
  </si>
  <si>
    <t xml:space="preserve">Y-P1h</t>
  </si>
  <si>
    <t xml:space="preserve">h. 10–13: Muuntajat: kentän vyöhyke ja vastustajan tilanne (paikallaan/liikkeessä/selkä pelisuuntaan)</t>
  </si>
  <si>
    <t xml:space="preserve">Y-P2</t>
  </si>
  <si>
    <t xml:space="preserve">Vartiointi (marking)</t>
  </si>
  <si>
    <t xml:space="preserve">Pallottoman puolustaminen</t>
  </si>
  <si>
    <t xml:space="preserve">Y-P2a</t>
  </si>
  <si>
    <t xml:space="preserve">a. U10: Puolustuskolmio – maalin ja vastustajan välissä, pallo ja mies näkyvissä</t>
  </si>
  <si>
    <t xml:space="preserve">Y-P2b</t>
  </si>
  <si>
    <t xml:space="preserve">b. U10: Estä vastustajaa voittamasta selustaasi</t>
  </si>
  <si>
    <t xml:space="preserve">Y-P2c</t>
  </si>
  <si>
    <t xml:space="preserve">c. U10: Säädä etäisyys niin, että ehdit puolustamaan</t>
  </si>
  <si>
    <t xml:space="preserve">Y-P2d</t>
  </si>
  <si>
    <t xml:space="preserve">d. U13: Pienennä etäisyyttä omaa maalia lähestyttäessä</t>
  </si>
  <si>
    <t xml:space="preserve">Y-P2e</t>
  </si>
  <si>
    <t xml:space="preserve">e. U13: Keho ja kädet juoksuradan katkaisuun</t>
  </si>
  <si>
    <t xml:space="preserve">Y-P2f</t>
  </si>
  <si>
    <t xml:space="preserve">f. U13: Katso väliin (gap), säädä etäisyys linjan joukkuetovereihin</t>
  </si>
  <si>
    <t xml:space="preserve">Y-P2g</t>
  </si>
  <si>
    <t xml:space="preserve">g. U13: Ohitettuna pudota omalla kaistallasi</t>
  </si>
  <si>
    <t xml:space="preserve">Y-P3</t>
  </si>
  <si>
    <t xml:space="preserve">Varmistaminen (coverage)</t>
  </si>
  <si>
    <t xml:space="preserve">Pallottoman puolustaminen (10–13)</t>
  </si>
  <si>
    <t xml:space="preserve">U13</t>
  </si>
  <si>
    <t xml:space="preserve">8v8 → 11v11 (U13)</t>
  </si>
  <si>
    <t xml:space="preserve">Y-P3a</t>
  </si>
  <si>
    <t xml:space="preserve">a. Ole ohitettavissa olevan joukkuetoverin takana ja diagonaalissa</t>
  </si>
  <si>
    <t xml:space="preserve">Y-P3b</t>
  </si>
  <si>
    <t xml:space="preserve">b. Optimietäisyys: pystyt auttamaan, mutta vartioit yhä omaa pelaajaasi (2v2)</t>
  </si>
  <si>
    <t xml:space="preserve">Y-P3c</t>
  </si>
  <si>
    <t xml:space="preserve">c. Sulje syöttölinjat syvemmällä pelaaville</t>
  </si>
  <si>
    <t xml:space="preserve">Y-P3d</t>
  </si>
  <si>
    <t xml:space="preserve">d. Lue pallollisen prässi: kova prässi → lähelle omaa; ei prässiä → valmiina varmistamaan</t>
  </si>
  <si>
    <t xml:space="preserve">Y-P3e</t>
  </si>
  <si>
    <t xml:space="preserve">e. Kun kaveri ohitetaan: apuun mahdollisimman nopeasti</t>
  </si>
  <si>
    <t xml:space="preserve">Y-P3f</t>
  </si>
  <si>
    <t xml:space="preserve">f. Toisen linjan varmistaja: pienennä etäisyyttä varmistajaan</t>
  </si>
  <si>
    <t xml:space="preserve">Y-P4</t>
  </si>
  <si>
    <t xml:space="preserve">Tilan puolustaminen ja merkkauksen vaihto</t>
  </si>
  <si>
    <t xml:space="preserve">Vastuu omasta tilasta (In charge of my space)</t>
  </si>
  <si>
    <t xml:space="preserve">11v11</t>
  </si>
  <si>
    <t xml:space="preserve">Y-P4a</t>
  </si>
  <si>
    <t xml:space="preserve">a. Puolusta tilaa, ei vain pelaajaa – tunnista milloin tila on vaarallisempi</t>
  </si>
  <si>
    <t xml:space="preserve">Y-P4b</t>
  </si>
  <si>
    <t xml:space="preserve">b. Merkkauksen vaihto (switch mark) kommunikoiden</t>
  </si>
  <si>
    <t xml:space="preserve">Y-P4c</t>
  </si>
  <si>
    <t xml:space="preserve">c. Linjaetäisyydet – tilavastuu on linjan yhteinen</t>
  </si>
  <si>
    <t xml:space="preserve">Y-P4d</t>
  </si>
  <si>
    <t xml:space="preserve">d. Ohitettuna pudota kaistallesi takaisin tilavastuuseen</t>
  </si>
  <si>
    <t xml:space="preserve">Silta aluepuolustukseen ja Master P2–P3:een</t>
  </si>
  <si>
    <t xml:space="preserve">VALMENTAJAN KYSYMYSPANKKI – kysymys tekee älykkään, käsky tottelevaisen (Ekkono, Block 3)</t>
  </si>
  <si>
    <t xml:space="preserve">Teema (konseptit Youth-välilehdellä)</t>
  </si>
  <si>
    <t xml:space="preserve">Ohjaavat avainkysymykset pelin ja harjoituksen aikana</t>
  </si>
  <si>
    <t xml:space="preserve">Mitä näit ennen kuin pallo tuli sinulle?</t>
  </si>
  <si>
    <t xml:space="preserve">Missä lähin vastustaja oli, kun otit pallon?</t>
  </si>
  <si>
    <t xml:space="preserve">Milloin viimeksi käänsit päätäsi?</t>
  </si>
  <si>
    <t xml:space="preserve">Minne ensimmäinen kosketuksesi vei pallon – ja miksi?</t>
  </si>
  <si>
    <t xml:space="preserve">Olisitko voinut ottaa pallon aikaisemmin/aggressiivisemmin?</t>
  </si>
  <si>
    <t xml:space="preserve">Mihin toimintoon kosketuksesi kytkeytyi?</t>
  </si>
  <si>
    <t xml:space="preserve">Miksi valitsit juuri tuon syötön?</t>
  </si>
  <si>
    <t xml:space="preserve">Kumpaan jalkaan / mihin tilaan kaveri halusi pallon?</t>
  </si>
  <si>
    <t xml:space="preserve">Minne liikuit syöttösi jälkeen?</t>
  </si>
  <si>
    <t xml:space="preserve">Milloin kannattaa kuljettaa ja milloin syöttää?</t>
  </si>
  <si>
    <t xml:space="preserve">Ketä kuljetuksesi sitoi – ja kuka vapautui?</t>
  </si>
  <si>
    <t xml:space="preserve">Miksi pidit pallon lähellä / työnsit sen kauas?</t>
  </si>
  <si>
    <t xml:space="preserve">Kummalle puolelle puolustaja antoi tilaa?</t>
  </si>
  <si>
    <t xml:space="preserve">Mikä sai puolustajan liikkeelle harhautuksessasi?</t>
  </si>
  <si>
    <t xml:space="preserve">Mitä teit heti ohituksen jälkeen?</t>
  </si>
  <si>
    <t xml:space="preserve">Missä kehosi oli suhteessa vastustajaan?</t>
  </si>
  <si>
    <t xml:space="preserve">Näitkö suojatessasi, minne voit syöttää?</t>
  </si>
  <si>
    <t xml:space="preserve">Mihin tilaan käännyit – miksi sinne?</t>
  </si>
  <si>
    <t xml:space="preserve">Näkeekö pallollinen sinut nyt?</t>
  </si>
  <si>
    <t xml:space="preserve">Kuka muu on samalla syöttölinjalla kanssasi?</t>
  </si>
  <si>
    <t xml:space="preserve">Mistä voisit auttaa niin, että ohitat oman vastustajasi?</t>
  </si>
  <si>
    <t xml:space="preserve">Minne puolustaja katsoi, kun lähdit?</t>
  </si>
  <si>
    <t xml:space="preserve">Miksi lähdit juuri sillä hetkellä?</t>
  </si>
  <si>
    <t xml:space="preserve">Mihin suuntaan liikuit ensin – ja minne halusit pallon?</t>
  </si>
  <si>
    <t xml:space="preserve">Kuka venyttää kenttää, jos sinä kavennat?</t>
  </si>
  <si>
    <t xml:space="preserve">Kenelle tilasi syntyi?</t>
  </si>
  <si>
    <t xml:space="preserve">Milloin leveys auttaa enemmän kuin syvyys?</t>
  </si>
  <si>
    <t xml:space="preserve">Laukaus vai syöttö – mitä maalivahti ja puolustaja antoivat sinulle?</t>
  </si>
  <si>
    <t xml:space="preserve">Minne liikuit laukauksen jälkeen?</t>
  </si>
  <si>
    <t xml:space="preserve">Miksi valitsit sijoittamisen / voiman?</t>
  </si>
  <si>
    <t xml:space="preserve">Milloin pysähdyit – liian aikaisin vai liian myöhään?</t>
  </si>
  <si>
    <t xml:space="preserve">Mihin suuntaan ohjasit vastustajaa – miksi?</t>
  </si>
  <si>
    <t xml:space="preserve">Mitä teit, kun sinut ohitettiin?</t>
  </si>
  <si>
    <t xml:space="preserve">Näitkö pallon ja oman pelaajasi samaan aikaan?</t>
  </si>
  <si>
    <t xml:space="preserve">Pääsikö vastustaja selkäsi taakse – miksi?</t>
  </si>
  <si>
    <t xml:space="preserve">Miten säädit etäisyyttä, kun pallo liikkui?</t>
  </si>
  <si>
    <t xml:space="preserve">Missä olit, kun joukkuetoverisi prässäsi?</t>
  </si>
  <si>
    <t xml:space="preserve">Ketä sinä vartioit samalla, kun varmistit?</t>
  </si>
  <si>
    <t xml:space="preserve">Minkä syöttölinjan suljit sijainnillasi?</t>
  </si>
  <si>
    <t xml:space="preserve">Kumpi oli juuri nyt vaarallisempi: pelaajasi vai tilasi?</t>
  </si>
  <si>
    <t xml:space="preserve">Kerroitko merkkauksen vaihdosta kaverillesi?</t>
  </si>
  <si>
    <t xml:space="preserve">Mihin pudotit, kun sinut ohitettiin?</t>
  </si>
  <si>
    <t xml:space="preserve">PELAAJAKORTTI – seuranta yksilövaiheesta Master-vaiheeseen (kopioi välilehti jokaiselle pelaajalle)</t>
  </si>
  <si>
    <t xml:space="preserve">Pelaajan nimi:</t>
  </si>
  <si>
    <t xml:space="preserve">Syntymävuosi:</t>
  </si>
  <si>
    <t xml:space="preserve">Ensisijainen pelipaikka:</t>
  </si>
  <si>
    <t xml:space="preserve">Toissijainen pelipaikka:</t>
  </si>
  <si>
    <t xml:space="preserve">A. YKSILÖVAIHE (6–14 v) – konseptien eteneminen</t>
  </si>
  <si>
    <t xml:space="preserve">Taso: 1 = ei näy pelissä, 2 = näkyy ohjatusti, 3 = näkyy pelissä itsenäisesti (= hallinnassa)</t>
  </si>
  <si>
    <t xml:space="preserve">Konsepti</t>
  </si>
  <si>
    <t xml:space="preserve">Pvm</t>
  </si>
  <si>
    <t xml:space="preserve">Arvioija</t>
  </si>
  <si>
    <t xml:space="preserve">Huomiot</t>
  </si>
  <si>
    <t xml:space="preserve">B. SILTA U14–U15</t>
  </si>
  <si>
    <t xml:space="preserve">Tarkistuslista käyty (pvm ja arvioija):</t>
  </si>
  <si>
    <t xml:space="preserve">Syvennettävät youth-konseptit pelipaikan kontekstissa:</t>
  </si>
  <si>
    <t xml:space="preserve">Sovitut kertaukset ennen Master-vaihetta:</t>
  </si>
  <si>
    <t xml:space="preserve">C. MASTER-VAIHE (U15 →) – 1–4 uutta fundamenttia / kausi</t>
  </si>
  <si>
    <t xml:space="preserve">Kausi</t>
  </si>
  <si>
    <t xml:space="preserve">Opetellut fundamentit (koodit)</t>
  </si>
  <si>
    <t xml:space="preserve">Skouttausarvio tehty (pvm)</t>
  </si>
  <si>
    <t xml:space="preserve">Kehityssopimuksen painopisteet</t>
  </si>
  <si>
    <t xml:space="preserve">1. kausi</t>
  </si>
  <si>
    <t xml:space="preserve">2. kausi</t>
  </si>
  <si>
    <t xml:space="preserve">3. kausi</t>
  </si>
  <si>
    <t xml:space="preserve">4. kausi</t>
  </si>
  <si>
    <t xml:space="preserve">SILTA U14–U15 – yksilövaiheesta pelipaikkafundamentteihin</t>
  </si>
  <si>
    <t xml:space="preserve">Periaatteet</t>
  </si>
  <si>
    <t xml:space="preserve">1. Kaikki 14 yksilökonseptia käyty läpi U14:n loppuun mennessä (tarkistuslista alla).</t>
  </si>
  <si>
    <t xml:space="preserve">2. Yksilön kehittäminen joukkuekontekstissa on avainasia – pelipaikka on uusi konteksti, ei uusi sisältö.</t>
  </si>
  <si>
    <t xml:space="preserve">3. Master-vaiheessa 1–4 uutta fundamenttia per kausi (kausimalli alla).</t>
  </si>
  <si>
    <t xml:space="preserve">4. Ei aikaista lukitsemista: ensisijainen + vähintään yksi toissijainen pelipaikka.</t>
  </si>
  <si>
    <t xml:space="preserve">A. TARKISTUSLISTA (U14-kehityskeskustelu – yksilövaiheen päätös)</t>
  </si>
  <si>
    <t xml:space="preserve">Hallinnassa = taso 3 Youth-konseptit-välilehden asteikolla (1 = ei näy pelissä, 2 = näkyy ohjatusti, 3 = näkyy pelissä itsenäisesti).</t>
  </si>
  <si>
    <t xml:space="preserve">Hallinnassa (pvm)</t>
  </si>
  <si>
    <t xml:space="preserve">Kertaustarve</t>
  </si>
  <si>
    <t xml:space="preserve">B. SILTATAULUKKO – pelipaikkakohtaiset painotukset (U14–U15)</t>
  </si>
  <si>
    <t xml:space="preserve">Pelipaikka</t>
  </si>
  <si>
    <t xml:space="preserve">Syvennettävät youth-konseptit pelipaikan kontekstissa</t>
  </si>
  <si>
    <t xml:space="preserve">1. Master-kauden fundamentit (max 4)</t>
  </si>
  <si>
    <t xml:space="preserve">Toppari (CB)</t>
  </si>
  <si>
    <t xml:space="preserve">Y-P1, Y-P2, Y-P3, Y-P4, Y-H2 (maasyötöt + pitkä), Y-H0</t>
  </si>
  <si>
    <t xml:space="preserve">CB-H0, CB-P2, CB-P3, CB-H3</t>
  </si>
  <si>
    <t xml:space="preserve">Laitapuolustaja (FB)</t>
  </si>
  <si>
    <t xml:space="preserve">Y-P1, Y-P2, Y-P4, Y-H8 (leveys), Y-H3, Y-H0</t>
  </si>
  <si>
    <t xml:space="preserve">FB-H0, FB-P4, FB-P6, FB-H5</t>
  </si>
  <si>
    <t xml:space="preserve">Keskikenttä (MID)</t>
  </si>
  <si>
    <t xml:space="preserve">Y-H0 (korostetusti), Y-H6, Y-H2, Y-H1 (paineessa), Y-P3, Y-P4</t>
  </si>
  <si>
    <t xml:space="preserve">MID-H0, MID-H2, MID-H4, MID-P3</t>
  </si>
  <si>
    <t xml:space="preserve">Kymppi (AMID)</t>
  </si>
  <si>
    <t xml:space="preserve">Y-H7, Y-H6 (taskut), Y-H0, Y-H1 (kääntyminen), Y-P1 (vastaprässi)</t>
  </si>
  <si>
    <t xml:space="preserve">AMID-H0, AMID-H2, AMID-H4, AMID-P4</t>
  </si>
  <si>
    <t xml:space="preserve">Keskushyökkääjä (ST)</t>
  </si>
  <si>
    <t xml:space="preserve">Y-H7 (selustaan), Y-H5 (selkä maalille), Y-H9, Y-H8 (syvyys)</t>
  </si>
  <si>
    <t xml:space="preserve">ST-H0, ST-H1, ST-H2, ST-H5</t>
  </si>
  <si>
    <t xml:space="preserve">Laituri (WI)</t>
  </si>
  <si>
    <t xml:space="preserve">Y-H4 (1v1), Y-H8 (leveys), Y-H9, Y-H7, Y-P1</t>
  </si>
  <si>
    <t xml:space="preserve">WI-H0, WI-H1, WI-H6, WI-H4</t>
  </si>
  <si>
    <t xml:space="preserve">Maalivahti (GK)</t>
  </si>
  <si>
    <t xml:space="preserve">Y-H0, Y-H1–H2 (jalkapeli) + MV-tekniikka (youth-polku puuttuu materiaalista)</t>
  </si>
  <si>
    <t xml:space="preserve">GK-H0, GK-H1, GK-P4, GK-P5</t>
  </si>
  <si>
    <t xml:space="preserve">C. KAUSIMALLI MASTER-VAIHEESSA (1–4 fundamenttia / kausi)</t>
  </si>
  <si>
    <t xml:space="preserve">Uudet fundamentit</t>
  </si>
  <si>
    <t xml:space="preserve">Ylläpito</t>
  </si>
  <si>
    <t xml:space="preserve">1. kausi (U15, tarvittaessa U16)</t>
  </si>
  <si>
    <t xml:space="preserve">4 fundamenttia (siltataulukon oikea sarake)</t>
  </si>
  <si>
    <t xml:space="preserve">Youth-konseptien kertaus pelipaikan kontekstissa</t>
  </si>
  <si>
    <t xml:space="preserve">3–4 seuraavaa (loput puolustusfundamentit + hyökkäyksen ydin)</t>
  </si>
  <si>
    <t xml:space="preserve">Edellisen kauden fundamentit peleissä ja arvioinnissa</t>
  </si>
  <si>
    <t xml:space="preserve">Loput fundamentit + heikoimpien syventäminen</t>
  </si>
  <si>
    <t xml:space="preserve">Koko paketti käytössä, skouttaustyökalu täysimääräisesti</t>
  </si>
  <si>
    <t xml:space="preserve">4. kausi →</t>
  </si>
  <si>
    <t xml:space="preserve">Yksilölliset painopisteet kehityskeskustelusta</t>
  </si>
  <si>
    <t xml:space="preserve">Kaikki fundamentit arvioinnissa</t>
  </si>
  <si>
    <t xml:space="preserve">Uusien fundamenttien järjestys: 1) H0 aina ensin  2) pelipaikan identiteettifundamentti  3) yleisin puolustustilanne  4) rakentelurooli.</t>
  </si>
  <si>
    <t xml:space="preserve">MASTER – FUNDAMENTTIEN VALINTATYÖKALU</t>
  </si>
  <si>
    <t xml:space="preserve">Kohderyhmä: pelipaikkakohtaiset fundamentit noin 14–15-vuotiaista alkaen, kun yksilön teknistaktiset konseptit on opeteltu.</t>
  </si>
  <si>
    <t xml:space="preserve">0. MISSÄ VAIHEESSA PELAAJA ON?  →  Yksilövaihe 6–14 v: Youth-konseptit  |  Silta U14–U15: Silta-välilehti  |  Master U15 →: pelipaikkavälilehdet</t>
  </si>
  <si>
    <t xml:space="preserve">Näin valitset oikean fundamentin (3 kysymystä):</t>
  </si>
  <si>
    <t xml:space="preserve">1. KUKA?  →  Valitse pelipaikka (välilehdet: CB, FB, MID, AMID, ST, WI, GK)</t>
  </si>
  <si>
    <t xml:space="preserve">2. MIKÄ VAIHE?  →  Puolustus (P) vai hyökkäys (H)</t>
  </si>
  <si>
    <t xml:space="preserve">3. MISSÄ?  →  RA ulkopuolella / RA sisällä / Siirtymät (puolustuksessa)</t>
  </si>
  <si>
    <t xml:space="preserve">Koodi = pelipaikka + vaihe + numero (+ alakohdan kirjain)</t>
  </si>
  <si>
    <t xml:space="preserve">Esim. CB-P4 = Topparin pallollisen puolustaminen</t>
  </si>
  <si>
    <t xml:space="preserve">Esim. WI-H6b = Laiturin 1v1 tilaedulla</t>
  </si>
  <si>
    <t xml:space="preserve">Käytä koodia muistiinpanoissa: "#14: WI-H6b ✓" (koodi = pelipaikka + vaihe + teeman numero + konseptin kirjain)</t>
  </si>
  <si>
    <t xml:space="preserve">Teema vs. konsepti – tärkein käyttöperiaate:</t>
  </si>
  <si>
    <t xml:space="preserve">Ylätaso (esim. CB-P4 Pallollisen puolustaminen) on TEEMA. Alakohdat (esim. CB-P4a) ovat KONSEPTEJA – pelaajan KPI-mittareita, joita opetetaan, havainnoidaan ja arvioidaan.</t>
  </si>
  <si>
    <t xml:space="preserve">Valmenna konsepteja, älä jää teematasolle: palaute, kysymykset ja harjoitteen säännöt kohdistetaan aina konseptiin. Teema ilman konsepteja on vain otsikko.</t>
  </si>
  <si>
    <t xml:space="preserve">Pisteytysasteikko (skouttaus):</t>
  </si>
  <si>
    <t xml:space="preserve">1</t>
  </si>
  <si>
    <t xml:space="preserve">Merkittävä puute – toistuvia virheitä, konsepti ei näy pelissä</t>
  </si>
  <si>
    <t xml:space="preserve">2</t>
  </si>
  <si>
    <t xml:space="preserve">Kehittyvä – konsepti näkyy satunnaisesti, epäjohdonmukainen</t>
  </si>
  <si>
    <t xml:space="preserve">3</t>
  </si>
  <si>
    <t xml:space="preserve">Tasollaan – suorittaa luotettavasti normaalitilanteissa</t>
  </si>
  <si>
    <t xml:space="preserve">4</t>
  </si>
  <si>
    <t xml:space="preserve">Vahvuus – johdonmukainen myös paineen alla, harvoja virheitä</t>
  </si>
  <si>
    <t xml:space="preserve">5</t>
  </si>
  <si>
    <t xml:space="preserve">Erottuva huipputaso – hallitsee konseptin ja johtaa muita sen avulla</t>
  </si>
  <si>
    <t xml:space="preserve">Tarkat pisteytyskriteerit (1/3/5), harjoitesuositukset ja itsearvioinnit löytyvät pelipaikkakohtaisista työkalupaketeista (md-dokumentit).</t>
  </si>
  <si>
    <t xml:space="preserve">MASTER-MATRIISI – fundamentit × pelipaikat</t>
  </si>
  <si>
    <t xml:space="preserve">Vaihe/vyöhyke</t>
  </si>
  <si>
    <t xml:space="preserve">CB – Toppari</t>
  </si>
  <si>
    <t xml:space="preserve">FB – Laitapuolustaja</t>
  </si>
  <si>
    <t xml:space="preserve">MID – Keskikenttäpelaaja</t>
  </si>
  <si>
    <t xml:space="preserve">AMID – Hyökkäävä keskikenttäpelaaja</t>
  </si>
  <si>
    <t xml:space="preserve">ST – Keskushyökkääjä</t>
  </si>
  <si>
    <t xml:space="preserve">WI – Laituri</t>
  </si>
  <si>
    <t xml:space="preserve">GK – Maalivahti</t>
  </si>
  <si>
    <t xml:space="preserve">P1</t>
  </si>
  <si>
    <t xml:space="preserve">RA ulkopuolella</t>
  </si>
  <si>
    <t xml:space="preserve">Puolustustasapainon ylläpitäminen</t>
  </si>
  <si>
    <t xml:space="preserve">Puolustustasapainon ylläpitäminen (sijoittuminen suhteessa peliin)</t>
  </si>
  <si>
    <t xml:space="preserve">P2</t>
  </si>
  <si>
    <t xml:space="preserve">Merkattavan pelaajan tunnistaminen</t>
  </si>
  <si>
    <t xml:space="preserve">Puolustettavan pelaajan tunnistaminen</t>
  </si>
  <si>
    <t xml:space="preserve">Selustan tilan puolustaminen (sweeper-rooli)</t>
  </si>
  <si>
    <t xml:space="preserve">P3</t>
  </si>
  <si>
    <t xml:space="preserve">Tilan puolustaminen</t>
  </si>
  <si>
    <t xml:space="preserve">Pelin ohjaaminen ja kommunikaatio</t>
  </si>
  <si>
    <t xml:space="preserve">P4</t>
  </si>
  <si>
    <t xml:space="preserve">RA sisällä</t>
  </si>
  <si>
    <t xml:space="preserve">Maalinteon estäminen (torjuminen)</t>
  </si>
  <si>
    <t xml:space="preserve">P5</t>
  </si>
  <si>
    <t xml:space="preserve">Boksin vapauttaminen</t>
  </si>
  <si>
    <t xml:space="preserve">Rangaistusalueen vapauttaminen</t>
  </si>
  <si>
    <t xml:space="preserve">Vastahyökkäyksiin valmistautuminen</t>
  </si>
  <si>
    <t xml:space="preserve">Keskitysten ja laitapallojen hallinta</t>
  </si>
  <si>
    <t xml:space="preserve">P6</t>
  </si>
  <si>
    <t xml:space="preserve">Siirtymät</t>
  </si>
  <si>
    <t xml:space="preserve">Keskityksen puolustaminen</t>
  </si>
  <si>
    <t xml:space="preserve">Jatkotilanteiden ennakointi</t>
  </si>
  <si>
    <t xml:space="preserve">P7</t>
  </si>
  <si>
    <t xml:space="preserve">Puolustaminen vaara-alueilla</t>
  </si>
  <si>
    <t xml:space="preserve">–</t>
  </si>
  <si>
    <t xml:space="preserve">P8</t>
  </si>
  <si>
    <t xml:space="preserve">H0</t>
  </si>
  <si>
    <t xml:space="preserve">Hyökkäys</t>
  </si>
  <si>
    <t xml:space="preserve">Tiedon kerääminen (skannaus)</t>
  </si>
  <si>
    <t xml:space="preserve">H1</t>
  </si>
  <si>
    <t xml:space="preserve">Hyökkäystasapainon ylläpitäminen (asemahyökkäys)</t>
  </si>
  <si>
    <t xml:space="preserve">Hyökkäystasapainon ylläpitäminen</t>
  </si>
  <si>
    <t xml:space="preserve">Tilan luominen ja syvyyden tuottaminen hyökkäykseen (asemahyökkäys)</t>
  </si>
  <si>
    <t xml:space="preserve">Leveyden takaaminen</t>
  </si>
  <si>
    <t xml:space="preserve">Pelin avaaminen</t>
  </si>
  <si>
    <t xml:space="preserve">H2</t>
  </si>
  <si>
    <t xml:space="preserve">Tukien tarjoaminen</t>
  </si>
  <si>
    <t xml:space="preserve">Hyökkäyksen liikuttaminen</t>
  </si>
  <si>
    <t xml:space="preserve">Tukien tarjoaminen (ylimääräinen pelaaja rakentelussa)</t>
  </si>
  <si>
    <t xml:space="preserve">H3</t>
  </si>
  <si>
    <t xml:space="preserve">Varmistavat syötöt</t>
  </si>
  <si>
    <t xml:space="preserve">Pelin avaamisen varmistaminen</t>
  </si>
  <si>
    <t xml:space="preserve">Tilanteenvaihdon käynnistäminen (vastahyökkäykset)</t>
  </si>
  <si>
    <t xml:space="preserve">H4</t>
  </si>
  <si>
    <t xml:space="preserve">Ylivoiman hakeminen / luominen</t>
  </si>
  <si>
    <t xml:space="preserve">Hyökkäyspelin organisointi</t>
  </si>
  <si>
    <t xml:space="preserve">Laitapallot ja keskitykset</t>
  </si>
  <si>
    <t xml:space="preserve">Pelin rytmin hallinta</t>
  </si>
  <si>
    <t xml:space="preserve">H5</t>
  </si>
  <si>
    <t xml:space="preserve">Hyökkäykseen mukaan nouseminen</t>
  </si>
  <si>
    <t xml:space="preserve">Hyökkääminen rangaistusalueella</t>
  </si>
  <si>
    <t xml:space="preserve">Sijoittuminen oman joukkueen hallitessa</t>
  </si>
  <si>
    <t xml:space="preserve">H6</t>
  </si>
  <si>
    <t xml:space="preserve">Edun hyödyntäminen ja säilyttäminen</t>
  </si>
  <si>
    <t xml:space="preserve">H7</t>
  </si>
  <si>
    <t xml:space="preserve">HARJOITEPANKKI – painopisteet ja harjoite-esimerkit kehityskohteittain (lähde: md-työkalupaketit)</t>
  </si>
  <si>
    <t xml:space="preserve">Kehityskohde (teema)</t>
  </si>
  <si>
    <t xml:space="preserve">Painopisteet ja harjoite-esimerkit</t>
  </si>
  <si>
    <t xml:space="preserve">CB-P1</t>
  </si>
  <si>
    <t xml:space="preserve">Toppari</t>
  </si>
  <si>
    <t xml:space="preserve">Puolustustasapaino</t>
  </si>
  <si>
    <t xml:space="preserve">Linjapuolustusharjoitteet 4v4–8v8 isolla kentällä; videoklipit omista otteluista (linjan syvyys/leveys); kommunikaatiovastuun antaminen harjoituspeleissä</t>
  </si>
  <si>
    <t xml:space="preserve">CB-P2</t>
  </si>
  <si>
    <t xml:space="preserve">Merkkaus &amp; skannaus</t>
  </si>
  <si>
    <t xml:space="preserve">Pienpelit merkkaussäännöillä (mies–mies boksissa); skannausfrekvenssin laskenta videolta; 2v2+2 välitilapuolustus</t>
  </si>
  <si>
    <t xml:space="preserve">CB-P3</t>
  </si>
  <si>
    <t xml:space="preserve">2v2/3v3 syvyysjuoksuilla; varmistusharjoitteet (prässi + kouvraus pareittain); alivoimapuolustus 2v3, 3v4 viivyttäen</t>
  </si>
  <si>
    <t xml:space="preserve">CB-P4</t>
  </si>
  <si>
    <t xml:space="preserve">Toistuvat 1v1-tilanteet eri lähtöasetelmilla (kasvot/selkä, vauhdista); prässitekniikka: lähestymiskulma, asento, ajoitus</t>
  </si>
  <si>
    <t xml:space="preserve">CB-P5</t>
  </si>
  <si>
    <t xml:space="preserve">Pelinomaiset linjannostoharjoitteet takaisinsyötöistä ja purkupalloista; paitsiolinjan yhteispeli MV:n kanssa</t>
  </si>
  <si>
    <t xml:space="preserve">CB-P6</t>
  </si>
  <si>
    <t xml:space="preserve">Keskityspuolustus 4v4–6v6 boksissa (tolppavastuut); pääpallokamppailut kuormitettuna; MV-yhteistyö väliin tulevissa palloissa</t>
  </si>
  <si>
    <t xml:space="preserve">CB-P7</t>
  </si>
  <si>
    <t xml:space="preserve">Vaara-alueet</t>
  </si>
  <si>
    <t xml:space="preserve">Blokkausharjoitteet; 1v1 boksissa loppuun asti -sääntö pienpeleissä; toistot väsyneenä (pelinomainen kuormitus)</t>
  </si>
  <si>
    <t xml:space="preserve">CB-P8</t>
  </si>
  <si>
    <t xml:space="preserve">Ennakointi</t>
  </si>
  <si>
    <t xml:space="preserve">Reaktio- ja irtopallopelit; video: mitä tapahtuu 2 s laukauksen/pääpallon jälkeen</t>
  </si>
  <si>
    <t xml:space="preserve">CB-H0</t>
  </si>
  <si>
    <t xml:space="preserve">Rondot ja possessiopelit skannaussäännöllä (esim. pään käännyttävä 2× ennen vastaanottoa); värikoodipelit (valmentaja näyttää värin, pelaajan nimettävä se vastaanoton yhteydessä); skannausfrekvenssin laskenta videolta (huipputaso ~0,5 s välein ennen vastaanottoa)</t>
  </si>
  <si>
    <t xml:space="preserve">CB-H1</t>
  </si>
  <si>
    <t xml:space="preserve">Hyökkäystasapaino &amp; tuet</t>
  </si>
  <si>
    <t xml:space="preserve">Rakentelupelit 4v2 → 8v6 prässiä vastaan; sijoittuminen nousussa (rest defence)</t>
  </si>
  <si>
    <t xml:space="preserve">CB-H2</t>
  </si>
  <si>
    <t xml:space="preserve">CB-H3</t>
  </si>
  <si>
    <t xml:space="preserve">Syöttötekniikka molemmilla jaloilla (matala 15–35 m, pitkä diagonaali 40–60 m); rakentelu numeraalisessa alivoimassa</t>
  </si>
  <si>
    <t xml:space="preserve">CB-H4</t>
  </si>
  <si>
    <t xml:space="preserve">Ylivoiman luonti</t>
  </si>
  <si>
    <t xml:space="preserve">Kuljetus ensimmäistä prässääjää vastaan pienpeleissä (sido ja syötä); kolmannen pelaajan kuviot; pelinkääntöharjoitteet leveisiin pelaajiin</t>
  </si>
  <si>
    <t xml:space="preserve">FB-P1</t>
  </si>
  <si>
    <t xml:space="preserve">Laitapuolustaja</t>
  </si>
  <si>
    <t xml:space="preserve">Linjapuolustusharjoitteet 4v4–8v8; videoanalyysi omista otteluista (linjan tasapaino laidan näkökulmasta); kommunikaatio keskustopparin kanssa</t>
  </si>
  <si>
    <t xml:space="preserve">FB-P2</t>
  </si>
  <si>
    <t xml:space="preserve">Merkkaus &amp; valppaus</t>
  </si>
  <si>
    <t xml:space="preserve">Pienpelit merkkaussäännöillä; 2v2 laidalla laiturin liikkeitä vastaan; "valppausharjoitteet" – puolustusasema oman joukkueen hyökätessä (rest defence -pelit)</t>
  </si>
  <si>
    <t xml:space="preserve">FB-P3</t>
  </si>
  <si>
    <t xml:space="preserve">Varmistusharjoitteet keskustopparin kanssa pareittain; syvyysjuoksujen seuraaminen 1v1/2v2; pudottamisen ajoitus selustasyöttöjä vastaan</t>
  </si>
  <si>
    <t xml:space="preserve">FB-P4</t>
  </si>
  <si>
    <t xml:space="preserve">Toistuvat 1v1-tilanteet laidalla (ohjaaminen sivurajaan); prässitekniikka: lähestymiskulma, asento, ajoitus; 2v2 seinäsyöttöjä vastaan</t>
  </si>
  <si>
    <t xml:space="preserve">FB-P5</t>
  </si>
  <si>
    <t xml:space="preserve">Pelinomaiset linjannosto- ja poistumisharjoitteet purkupallojen jälkeen; paitsiolinjan yhteispeli</t>
  </si>
  <si>
    <t xml:space="preserve">FB-P6</t>
  </si>
  <si>
    <t xml:space="preserve">Keskityspuolustus molemmissa rooleissa (pallonpuoleinen/kaventava); 1v1 rangaistusalueella viimeistelijää vastaan; irtopallojen pelaaminen keskityksen jälkeen</t>
  </si>
  <si>
    <t xml:space="preserve">FB-P7</t>
  </si>
  <si>
    <t xml:space="preserve">Miesvartiointiharjoitteet rangaistusalueella; "puolusta loppuun asti" -sääntö pienpeleissä</t>
  </si>
  <si>
    <t xml:space="preserve">FB-P8</t>
  </si>
  <si>
    <t xml:space="preserve">Reaktio- ja irtopallopelit; video: oma asema laukausten ja ilmapallokamppailujen aikana</t>
  </si>
  <si>
    <t xml:space="preserve">FB-H0</t>
  </si>
  <si>
    <t xml:space="preserve">Rondot ja possessiopelit skannaussäännöllä; värikoodipelit; skannausfrekvenssin laskenta videolta</t>
  </si>
  <si>
    <t xml:space="preserve">FB-H1</t>
  </si>
  <si>
    <t xml:space="preserve">Hyökkäystasapaino</t>
  </si>
  <si>
    <t xml:space="preserve">Rakentelupelit, joissa laitapuolustajan nousu vapautettu/rajoitettu; tilanteenvaihtopelit menetyksen jälkeen</t>
  </si>
  <si>
    <t xml:space="preserve">FB-H2</t>
  </si>
  <si>
    <t xml:space="preserve">Tuet &amp; varmistavat syötöt</t>
  </si>
  <si>
    <t xml:space="preserve">4v2 → 8v6 rakentelupelit prässiä vastaan; syöttötekniikka molemmilla jaloilla; vastaanotto avoimella peliasennolla paineessa</t>
  </si>
  <si>
    <t xml:space="preserve">FB-H3</t>
  </si>
  <si>
    <t xml:space="preserve">FB-H4</t>
  </si>
  <si>
    <t xml:space="preserve">Ylivoiman luominen</t>
  </si>
  <si>
    <t xml:space="preserve">Pelinkääntöharjoitteet; syöttö sisäkaistalle kuvioina (laituri sisään – laitapuolustaja ohi); syöttö etuun -harjoitteet liikkuvaan pelaajaan</t>
  </si>
  <si>
    <t xml:space="preserve">FB-H5</t>
  </si>
  <si>
    <t xml:space="preserve">2v1-tilanteiden luominen laidalle pienpeleissä; mukaan nousun ajoitusharjoitteet (nousu vasta 2. tai 3. syötöllä); keskitykset ja kääntökeskitykset liikkeestä</t>
  </si>
  <si>
    <t xml:space="preserve">MID-P1</t>
  </si>
  <si>
    <t xml:space="preserve">Keskikenttäpelaaja</t>
  </si>
  <si>
    <t xml:space="preserve">Keskikenttälinjan liikkumisharjoitteet (3 pelaajan linja palloa vastaan); 8v8-pelit keskustan sulkemissäännöillä; video: etäisyydet linjassa</t>
  </si>
  <si>
    <t xml:space="preserve">MID-P2</t>
  </si>
  <si>
    <t xml:space="preserve">Merkkaus &amp; syöttölinjojen sulkeminen</t>
  </si>
  <si>
    <t xml:space="preserve">Varjostusharjoitteet (peitä kärki, prässää pallollista); 4v4+3 prässipelit peittokulmasäännöillä; organisoidun prässin kuviot joukkueharjoituksissa</t>
  </si>
  <si>
    <t xml:space="preserve">MID-P3</t>
  </si>
  <si>
    <t xml:space="preserve">Varmistus- ja pudottautumisharjoitteet kahden linjan välissä; 3v3 syvyysjuoksuilla laidoille; "linja ylitetty → pudota" -reaktiopelit</t>
  </si>
  <si>
    <t xml:space="preserve">MID-P4</t>
  </si>
  <si>
    <t xml:space="preserve">1v1 keskialueella (prässi ilman ohitusta); 2v2 keskustassa etenemissyöttöjen estäminen; kaksinkamppailut ahtaassa tilassa</t>
  </si>
  <si>
    <t xml:space="preserve">MID-P5</t>
  </si>
  <si>
    <t xml:space="preserve">Rangaistusalueen vapauttaminen &amp; keskitykset</t>
  </si>
  <si>
    <t xml:space="preserve">Keskityspuolustus, jossa MID pudottautuu topparilinjaan; takaviistosyöttöjen puolustaminen rangaistusalueen reunalla (cut-back-tilanteet)</t>
  </si>
  <si>
    <t xml:space="preserve">MID-P6</t>
  </si>
  <si>
    <t xml:space="preserve">MID-P7</t>
  </si>
  <si>
    <t xml:space="preserve">Miesvartiointi- ja blokkausharjoitteet rangaistusalueella; "toimi topparina" -roolipelit pienpeleissä</t>
  </si>
  <si>
    <t xml:space="preserve">MID-P8</t>
  </si>
  <si>
    <t xml:space="preserve">Ennakointi &amp; tilanteenvaihto</t>
  </si>
  <si>
    <t xml:space="preserve">Katkopelit (rondo, jossa keskimmäinen palkitaan katkosta); vastaprässipelit 5 s -säännöllä menetyksen jälkeen; video: reagointi menetyksiin</t>
  </si>
  <si>
    <t xml:space="preserve">MID-H0</t>
  </si>
  <si>
    <t xml:space="preserve">Rondot ja possessiopelit skannaussäännöllä (pään käännyttävä 2× ennen vastaanottoa); värikoodipelit; skannausfrekvenssin laskenta videolta</t>
  </si>
  <si>
    <t xml:space="preserve">MID-H1</t>
  </si>
  <si>
    <t xml:space="preserve">Possessiopelit sijoittumissäännöillä (ei samaan linjaan syöttäjän kanssa); rest defence -roolit hyökkäysharjoitteissa</t>
  </si>
  <si>
    <t xml:space="preserve">MID-H2</t>
  </si>
  <si>
    <t xml:space="preserve">Pelit linjojen välissä pelaamisesta (4v4+3 välitilapelaajilla); hätätuki- ja jatkuvuustukikuviot; kolmannen pelaajan yhdistelmät</t>
  </si>
  <si>
    <t xml:space="preserve">MID-H3</t>
  </si>
  <si>
    <t xml:space="preserve">Avauspelikuviot maalivahdilta ja toppareilta prässiä vastaan (6v4 → 8v6); liike vastustajan prässilinjojen väliin</t>
  </si>
  <si>
    <t xml:space="preserve">MID-H4</t>
  </si>
  <si>
    <t xml:space="preserve">Suuntapossessiot (eteneminen pisteytetään); yhden–kahden kosketuksen pelit; syöttö etuun -harjoitteet liikkuvaan vastaanottajaan; "syötä ja liiku" -säännöt</t>
  </si>
  <si>
    <t xml:space="preserve">AMID-P1</t>
  </si>
  <si>
    <t xml:space="preserve">Hyökkäävä keskikenttäpelaaja</t>
  </si>
  <si>
    <t xml:space="preserve">Keskikenttälinjan liikkumisharjoitteet; 8v8-pelit, joissa AMID:n prässi/tasapaino-valintaa arvioidaan; video: etäisyys kuutosiin/kaseihin</t>
  </si>
  <si>
    <t xml:space="preserve">AMID-P2</t>
  </si>
  <si>
    <t xml:space="preserve">Puolustettavan tunnistaminen</t>
  </si>
  <si>
    <t xml:space="preserve">Prässipelit vaihtuvilla vastuilla (4v4+3); tilannekuvaharjoitteet videolta: kuka on vaarallisin pelattava</t>
  </si>
  <si>
    <t xml:space="preserve">AMID-P3</t>
  </si>
  <si>
    <t xml:space="preserve">Peittokulmaharjoitteet (estä sisäkaistasyöttö prässin aikana); rondo, jossa keskustan halkaisusyötöstä lisäpiste vastustajalle; pelinkäännön estopelit</t>
  </si>
  <si>
    <t xml:space="preserve">AMID-P4</t>
  </si>
  <si>
    <t xml:space="preserve">Pallollisen puolustaminen &amp; vastaprässi</t>
  </si>
  <si>
    <t xml:space="preserve">1v1 aloitteen viemisestä; 5 sekunnin vastaprässisääntö kaikissa pienpeleissä; menetys → lähin prässää -reaktiopelit</t>
  </si>
  <si>
    <t xml:space="preserve">AMID-P5</t>
  </si>
  <si>
    <t xml:space="preserve">Tilanteenvaihtopelit (voitto → 3 syötön eteneminen 6 sekunnissa); purkupallon jälkeinen ensimmäinen tuki -kuviot</t>
  </si>
  <si>
    <t xml:space="preserve">AMID-P6</t>
  </si>
  <si>
    <t xml:space="preserve">Katko- ja irtopallopelit rangaistusalueen edustalla; toisen aallon laukaukset ja pallonhallinnan jatkaminen</t>
  </si>
  <si>
    <t xml:space="preserve">AMID-H0</t>
  </si>
  <si>
    <t xml:space="preserve">Rondot skannaussäännöllä; värikoodipelit ahtaassa tilassa; vastaanotto + kääntyminen paineen alla (mies selässä)</t>
  </si>
  <si>
    <t xml:space="preserve">AMID-H1</t>
  </si>
  <si>
    <t xml:space="preserve">Possessiopelit sisäkaistavyöhykkeillä (max 1 pelaaja / kaista); asemanvaihtokuviot laiturin ja kärjen kanssa säännöillä</t>
  </si>
  <si>
    <t xml:space="preserve">AMID-H2</t>
  </si>
  <si>
    <t xml:space="preserve">Tukien tarjoaminen (taskut)</t>
  </si>
  <si>
    <t xml:space="preserve">4v4+3 välitilapelaajilla; "näy pallolliselle, piilossa vartijalta" -harjoitteet; vastaanotto taskussa + ratkaisu eteenpäin; syvyysjuoksu vs. pudottautuminen -valintapelit</t>
  </si>
  <si>
    <t xml:space="preserve">AMID-H3</t>
  </si>
  <si>
    <t xml:space="preserve">Avauspelikuviot, joissa AMID pudottautuu ylivoiman luomiseksi; prässinpurkupelit 6v4 → 8v6</t>
  </si>
  <si>
    <t xml:space="preserve">AMID-H4</t>
  </si>
  <si>
    <t xml:space="preserve">Suuntapossessiot etenemispisteillä; viimeisen kolmanneksen kuviot (syöttö etuun, kolmannen pelaajan juoksut); yhden–kahden kosketuksen pelit ahtaassa</t>
  </si>
  <si>
    <t xml:space="preserve">AMID-H5</t>
  </si>
  <si>
    <t xml:space="preserve">Keskityskuviot, joissa AMID ajoittaa juoksun rangaistusalueelle (kakkosaalto, rankkaripisteen tila); viimeistely keskityksistä liikkeestä</t>
  </si>
  <si>
    <t xml:space="preserve">ST-P1</t>
  </si>
  <si>
    <t xml:space="preserve">Keskushyökkääjä</t>
  </si>
  <si>
    <t xml:space="preserve">Joukkueen puolustusryhmitysharjoitteet, joissa kärjen etäisyys keskikenttään mitataan; video: sijainti joukkueen puolustaessa</t>
  </si>
  <si>
    <t xml:space="preserve">ST-P2</t>
  </si>
  <si>
    <t xml:space="preserve">Merkkaus &amp; prässin ohjaaminen</t>
  </si>
  <si>
    <t xml:space="preserve">Prässikuviot avausta vastaan (ohjaus laidalle, kaarva juoksu); kärkiparin yhteistyöharjoitteet (toinen prässää, toinen varmistaa/peittää)</t>
  </si>
  <si>
    <t xml:space="preserve">ST-P3</t>
  </si>
  <si>
    <t xml:space="preserve">Peittokulmaharjoitteet (estä syöttö sisään prässin aikana); pelinkäännön estopelit; pudottaminen ylityksen jälkeen -reaktiopelit</t>
  </si>
  <si>
    <t xml:space="preserve">ST-P4</t>
  </si>
  <si>
    <t xml:space="preserve">1v1 ohjaava prässi topparia vastaan; 5 sekunnin vastaprässisääntö pienpeleissä</t>
  </si>
  <si>
    <t xml:space="preserve">ST-P5</t>
  </si>
  <si>
    <t xml:space="preserve">Tilanteenvaihtopelit: pallonvoitto → kärki tarjoutuu syvyyteen 2 sekunnissa; pitkän purkupallon kilpailutilanteet</t>
  </si>
  <si>
    <t xml:space="preserve">ST-P6</t>
  </si>
  <si>
    <t xml:space="preserve">Jatkotilanteiden ennakointi (puolustus)</t>
  </si>
  <si>
    <t xml:space="preserve">Prässäystriggerien tunnistus videolta (huono kosketus, selkä pelisuuntaan -vastaanotto); reaktioprässipelit</t>
  </si>
  <si>
    <t xml:space="preserve">ST-H0</t>
  </si>
  <si>
    <t xml:space="preserve">Vastaanotot vartija selässä skannaussäännöllä; värikoodipelit selkä maalille; kääntymisharjoitteet paineen alla</t>
  </si>
  <si>
    <t xml:space="preserve">ST-H1</t>
  </si>
  <si>
    <t xml:space="preserve">Tilan luominen ja syvyys</t>
  </si>
  <si>
    <t xml:space="preserve">Paitsiolinjalla pelaamisen harjoitteet (ajoitus, kaarevat juoksut); syvyysjuoksu vs. pudottautuminen -valintapelit</t>
  </si>
  <si>
    <t xml:space="preserve">ST-H2</t>
  </si>
  <si>
    <t xml:space="preserve">Juoksuratakuviot (selusta, jalkoihin, ristiin); liike syötön jälkeen -säännöt pienpeleissä; tilan luominen laiturille/kympille kuvioina</t>
  </si>
  <si>
    <t xml:space="preserve">ST-H3</t>
  </si>
  <si>
    <t xml:space="preserve">Selkä maalille -pito ja seinäsyötöt paineen alla; pudottautuminen + kolmannen pelaajan juoksu -kuviot</t>
  </si>
  <si>
    <t xml:space="preserve">ST-H4</t>
  </si>
  <si>
    <t xml:space="preserve">Keskitysten viimeistely eri juoksuradoilla (1. tolppa, 2. tolppa, rankkaripiste, takatuki); ajoitusharjoitteet keskittäjän kanssa</t>
  </si>
  <si>
    <t xml:space="preserve">ST-H5</t>
  </si>
  <si>
    <t xml:space="preserve">Viimeistelyharjoitteet eri lähtötilanteista (kääntyen, ensimmäisellä, ilmasta); laukaus/syöttö-valintapelit 2v1-maalintekotilanteissa</t>
  </si>
  <si>
    <t xml:space="preserve">ST-H6</t>
  </si>
  <si>
    <t xml:space="preserve">Edun hyödyntäminen</t>
  </si>
  <si>
    <t xml:space="preserve">1v1-viimeistelytilanteet topparia ja maalivahtia vastaan; ylivoimatilanteiden (2v1, 3v2) ratkaisupelit toistoina</t>
  </si>
  <si>
    <t xml:space="preserve">ST-H7</t>
  </si>
  <si>
    <t xml:space="preserve">Jatkotilanteet</t>
  </si>
  <si>
    <t xml:space="preserve">Torjunnasta irtoavien pallojen viimeistely; pudotusten ennakointi pääpallokamppailuissa; toisen aallon laukaukset</t>
  </si>
  <si>
    <t xml:space="preserve">WI-P1</t>
  </si>
  <si>
    <t xml:space="preserve">Laituri</t>
  </si>
  <si>
    <t xml:space="preserve">Ryhmityspelit, joissa laiturin puolustussijainti arvioidaan; video: etäisyys laitapuolustajaan ja keskikenttään puolustusvaiheessa</t>
  </si>
  <si>
    <t xml:space="preserve">WI-P2</t>
  </si>
  <si>
    <t xml:space="preserve">Merkkaus &amp; vastaanoton esto</t>
  </si>
  <si>
    <t xml:space="preserve">Varjostusharjoitteet laidalla; 2v2 laidan puolustaminen (laituri + laitapuolustaja vastustajan paria vastaan)</t>
  </si>
  <si>
    <t xml:space="preserve">WI-P3</t>
  </si>
  <si>
    <t xml:space="preserve">Peittokulmaharjoitteet (sisäkaista kiinni); nousevan laitapuolustajan seuraaminen -tilannepelit; kaventaminen vastakkaisen laidan hyökkäyksissä</t>
  </si>
  <si>
    <t xml:space="preserve">WI-P4</t>
  </si>
  <si>
    <t xml:space="preserve">1v1-puolustus laidalla; 5 sekunnin vastaprässisääntö pienpeleissä</t>
  </si>
  <si>
    <t xml:space="preserve">WI-P5</t>
  </si>
  <si>
    <t xml:space="preserve">Vastahyökkäykset</t>
  </si>
  <si>
    <t xml:space="preserve">Tilanteenvaihtopelit: voitto → syvyysjuoksu 3 sekunnissa; ensimmäisen ja toisen aallon juoksuratakuviot molemmilta laidoilta</t>
  </si>
  <si>
    <t xml:space="preserve">WI-P6</t>
  </si>
  <si>
    <t xml:space="preserve">Prässäystriggerien tunnistus videolta; reaktioprässipelit laidalla</t>
  </si>
  <si>
    <t xml:space="preserve">WI-H0</t>
  </si>
  <si>
    <t xml:space="preserve">Rondot ja laitapelit skannaussäännöllä; "missä laitapuolustaja?" -värikoodipelit ennen vastaanottoa</t>
  </si>
  <si>
    <t xml:space="preserve">WI-H1</t>
  </si>
  <si>
    <t xml:space="preserve">Possessiopelit leveyssäännöillä (laituri rajassa kiinni); kaventamisen ajoitusharjoitteet viimeistelyalueille tultaessa</t>
  </si>
  <si>
    <t xml:space="preserve">WI-H2</t>
  </si>
  <si>
    <t xml:space="preserve">Juoksuratakuviot (selusta, jalkaan, syötön jälkeen); asemanvaihdot laitapuolustajan kanssa (overlap/underlap-kuviot)</t>
  </si>
  <si>
    <t xml:space="preserve">WI-H3</t>
  </si>
  <si>
    <t xml:space="preserve">Sisäkaistatuki-kuviot (laituri sisään, laitapuolustaja leveäksi); jatkuvuustuet rakentelupeleissä</t>
  </si>
  <si>
    <t xml:space="preserve">WI-H4</t>
  </si>
  <si>
    <t xml:space="preserve">Keskitysharjoitteet liikkeestä eri alueille (1. tolppa, rankkaripiste, takatolppa, kääntökeskitys); takatolpan liittymiset vastakkaiselta laidalta</t>
  </si>
  <si>
    <t xml:space="preserve">WI-H5</t>
  </si>
  <si>
    <t xml:space="preserve">Viimeistely sisäänleikkauksista ja keskityksistä; laukaus/syöttö-valintapelit; heikomman jalan viimeistelytoistot</t>
  </si>
  <si>
    <t xml:space="preserve">WI-H6</t>
  </si>
  <si>
    <t xml:space="preserve">Edun hyödyntäminen (1v1)</t>
  </si>
  <si>
    <t xml:space="preserve">1v1-haastot eri lähtötilanteista (vauhdista, paikaltaan, sisään/ulos); suuntaava ensimmäinen kosketus -harjoitteet; 2v1-tilanteiden luominen laidalla (houkuttele ja syötä)</t>
  </si>
  <si>
    <t xml:space="preserve">WI-H7</t>
  </si>
  <si>
    <t xml:space="preserve">Toisen aallon laukaukset; takatolpan irtopallot keskityksistä; torjunnasta irtoavien pallojen viimeistely</t>
  </si>
  <si>
    <t xml:space="preserve">GK-P1</t>
  </si>
  <si>
    <t xml:space="preserve">Maalivahti</t>
  </si>
  <si>
    <t xml:space="preserve">Puolustustasapaino (syvyyssijainti)</t>
  </si>
  <si>
    <t xml:space="preserve">Sijoittumisharjoitteet pelin siirtyessä (pallo laidalta laidalle, linja nousee/laskee); video: etäisyys puolustuslinjaan eri pelitilanteissa</t>
  </si>
  <si>
    <t xml:space="preserve">GK-P2</t>
  </si>
  <si>
    <t xml:space="preserve">Selustan puolustaminen (sweeper)</t>
  </si>
  <si>
    <t xml:space="preserve">Selustasyöttöjen katkaisuharjoitteet juoksukilpailuna hyökkääjää vastaan; pelaaminen jalalla rangaistusalueen ulkopuolella paineessa; lähtöpäätösharjoitteet (lähde/jää)</t>
  </si>
  <si>
    <t xml:space="preserve">GK-P3</t>
  </si>
  <si>
    <t xml:space="preserve">Pelin ohjaaminen</t>
  </si>
  <si>
    <t xml:space="preserve">Pienpelit, joissa maalivahti johtaa puolustuslinjaa äänellä (linja liikkuu vain käskystä); video-oppiminen: oman kommunikaation määrä ja laatu ottelussa</t>
  </si>
  <si>
    <t xml:space="preserve">GK-P4</t>
  </si>
  <si>
    <t xml:space="preserve">Maalinteon estäminen</t>
  </si>
  <si>
    <t xml:space="preserve">Torjuntatekniikka eri korkeuksiin ja etäisyyksiin toistoina; kulmankavennusradat; 1v1-tilanteet eri lähtöasetelmista; toisen torjunnan reaktioharjoitteet</t>
  </si>
  <si>
    <t xml:space="preserve">GK-P5</t>
  </si>
  <si>
    <t xml:space="preserve">Keskitysten hallinta</t>
  </si>
  <si>
    <t xml:space="preserve">Ilmapalloharjoitteet ruuhkassa (kontakti sallittu); lähtöpäätöspelit vaihtelevilla keskityksillä; kommunikaatio + kiinniotto/nyrkkäys-valinta</t>
  </si>
  <si>
    <t xml:space="preserve">GK-P6</t>
  </si>
  <si>
    <t xml:space="preserve">Torjunta → nouse → asemoidu -sarjat; irtopallo- ja pudotusreaktiopelit rangaistusalueen edustalla</t>
  </si>
  <si>
    <t xml:space="preserve">GK-H0</t>
  </si>
  <si>
    <t xml:space="preserve">Takaisinsyöttöharjoitteet prässiä vastaan skannaussäännöllä; värikoodipelit ennen vastaanottoa; tilannekuvaharjoitteet videolta</t>
  </si>
  <si>
    <t xml:space="preserve">GK-H1</t>
  </si>
  <si>
    <t xml:space="preserve">Avaustekniikka molemmilla jaloilla (lyhyt 10–30 m, keskipitkä 30–50 m, pitkä 50+ m); avausvalintapelit elävää prässiä vastaan (6v4 + MV)</t>
  </si>
  <si>
    <t xml:space="preserve">GK-H2</t>
  </si>
  <si>
    <t xml:space="preserve">Rakentelupelit, joissa maalivahti on pakollinen +1 (topparit eivät saa edetä ilman MV-tukea); syöttökulmaharjoitteet</t>
  </si>
  <si>
    <t xml:space="preserve">GK-H3</t>
  </si>
  <si>
    <t xml:space="preserve">Tilanteenvaihdon käynnistäminen</t>
  </si>
  <si>
    <t xml:space="preserve">Torjunta/kiinniotto → heitto ensimmäiseen aaltoon -sarjat; vastahyökkäyspelit, joissa hyökkäys alkaa maalivahdista</t>
  </si>
  <si>
    <t xml:space="preserve">GK-H4</t>
  </si>
  <si>
    <t xml:space="preserve">Pelinomaiset skenaarioharjoitteet (johdossa 1–0, tarve rauhoittaa / tappiolla, tarve nopeuttaa); pallonpito paineen alla ilman riskialueita</t>
  </si>
  <si>
    <t xml:space="preserve">GK-H5</t>
  </si>
  <si>
    <t xml:space="preserve">Sijoittuminen hallinnassa</t>
  </si>
  <si>
    <t xml:space="preserve">Rest defence -harjoitteet: MV:n sijainti joukkueen hyökätessä + reaktio menetykseen (sweeper-valmius)</t>
  </si>
  <si>
    <t xml:space="preserve">YDINKONSEPTIT – mitä pelaajan tulee ymmärtää (kehityskeskustelun tausta-aineisto)</t>
  </si>
  <si>
    <t xml:space="preserve">Ydinkonsepti</t>
  </si>
  <si>
    <t xml:space="preserve">Mitä pelaajan tulee ymmärtää</t>
  </si>
  <si>
    <t xml:space="preserve">Kaiken perusta: skannaa ennen palloa, älä pallon kanssa. Diagonaalinen sijoittuminen ja avoin peliasento antavat näkymän eteen ja taakse – ratkaisu on tehty jo ennen vastaanottoa.</t>
  </si>
  <si>
    <t xml:space="preserve">Puolustuslinjan tasapaino</t>
  </si>
  <si>
    <t xml:space="preserve">Linja liikkuu yhtenä yksikkönä pallon, tilan ja vastustajan mukaan. Syvyys määräytyy: onko pallolliseen prässi vai ei.</t>
  </si>
  <si>
    <t xml:space="preserve">Merkkaus ja skannaus</t>
  </si>
  <si>
    <t xml:space="preserve">"Pallo–vastustaja–tila" -kolmio: näe kaikki kolme jatkuvasti. Asento sivuttain, ei koskaan selkä pelille.</t>
  </si>
  <si>
    <t xml:space="preserve">Varmistaminen</t>
  </si>
  <si>
    <t xml:space="preserve">Kun pelikaveri prässää, sinä varmistat. Varmistuskulma ja -etäisyys: pystyt puuttumaan sekä ohituskuljetukseen että syöttöön selustaan.</t>
  </si>
  <si>
    <t xml:space="preserve">Prässi ohittumatta</t>
  </si>
  <si>
    <t xml:space="preserve">Lähesty nopeasti, hidasta viimeiset metrit, matala asento, ohjaa huonompaan suuntaan. Älä sukella.</t>
  </si>
  <si>
    <t xml:space="preserve">Boksin vapauttaminen ja linjan nosto</t>
  </si>
  <si>
    <t xml:space="preserve">Jokainen taaksepäin menevä pallo = mahdollisuus nostaa. Alas jääminen kutsuu vaaran boksiin.</t>
  </si>
  <si>
    <t xml:space="preserve">Keskitysten puolustaminen ja puolustaminen vaara-alueilla</t>
  </si>
  <si>
    <t xml:space="preserve">Boksissa merkkaus on 1v1-vastuu: näe pallo ja mies. Ykköstolppa katetaan aina, kakkostolppa MV:n 1v1:ssä.</t>
  </si>
  <si>
    <t xml:space="preserve">Tilanne ei pääty laukaukseen tai pääpalloon – ennakoi torjunta, pudotus, irtopallo.</t>
  </si>
  <si>
    <t xml:space="preserve">Rakentelu ja ylivoiman luonti</t>
  </si>
  <si>
    <t xml:space="preserve">Toppari on nykyfutiksen ensimmäinen pelintekijä: syöttövalinta, sitova kuljetus ja pelin kääntö rikkovat vastustajan ensimmäisen prässilinjan.</t>
  </si>
  <si>
    <t xml:space="preserve">Kaiken perusta: skannaa ennen palloa, älä pallon kanssa. Laitapuolustajan erityisyys: laita antaa "selkäsuojan", joten avoin peliasento kohti kenttää avaa lähes koko pelin näkymän.</t>
  </si>
  <si>
    <t xml:space="preserve">Kaksi roolia laidasta riippuen</t>
  </si>
  <si>
    <t xml:space="preserve">Pallonpuoleinen laitapuolustaja puolustaa keskityslinjalla lähellä palloa; vastakkaisen laidan puolustaja kaventaa keskelle ja ottaa miesvartioinnin rangaistusalueelle tulevasta pelaajasta. Roolin tunnistus joka tilanteessa.</t>
  </si>
  <si>
    <t xml:space="preserve">Varmistaminen ja pudottaminen</t>
  </si>
  <si>
    <t xml:space="preserve">Kun keskustoppari prässää, laitapuolustaja varmistaa. Kun syöttö selustaan on mahdollinen, pudota ennen syöttöä – ei sen jälkeen.</t>
  </si>
  <si>
    <t xml:space="preserve">Prässi ja ohjaaminen</t>
  </si>
  <si>
    <t xml:space="preserve">Laidalla sivuraja on lisäpuolustaja: ohjaa vastustaja kohti rajaa tai varmistusta, älä päästä sisäkaistalle. Älä anna ohittaa itseäsi.</t>
  </si>
  <si>
    <t xml:space="preserve">Merkattavan seuraaminen</t>
  </si>
  <si>
    <t xml:space="preserve">Vastustajan laituri on ensisijainen vastuu, mutta valppaus säilyy myös oman joukkueen hyökätessä – tilanteenvaihto alkaa jo ennen menetystä.</t>
  </si>
  <si>
    <t xml:space="preserve">Älä valu alas turhaan. Jokainen taaksepäin siirtyvä pallo on mahdollisuus nostaa ja vapauttaa alue.</t>
  </si>
  <si>
    <t xml:space="preserve">Laukauksen tai ilmapallokamppailun aikana asema ratkaisee: pudota ja kavenna keskikaistalle jo ennen kuin pallo irtoaa.</t>
  </si>
  <si>
    <t xml:space="preserve">Hyökkäyksen tukeminen ja mukaan nouseminen</t>
  </si>
  <si>
    <t xml:space="preserve">Laitapuolustaja luo leveyttä tai sisäkaistaylivoimaa pelitavasta riippuen. Mukaan nousun ajoitus: nouse, kun tila on syntynyt ja tasapaino takana on turvattu – ei aina.</t>
  </si>
  <si>
    <t xml:space="preserve">Keskikenttäpelaaja (MID)</t>
  </si>
  <si>
    <t xml:space="preserve">Keskikenttäpelaaja pelaa 360 asteen ympäristössä – skannaus on hänelle kriittisempi kuin kenellekään muulle. Diagonaalinen sijoittuminen ja avoin peliasento; ratkaisu valmiina ennen vastaanottoa.</t>
  </si>
  <si>
    <t xml:space="preserve">Keskustan hallinta puolustaessa</t>
  </si>
  <si>
    <t xml:space="preserve">Keskusta on kentän arvokkain alue: leveys- ja syvyystasapaino keskikenttälinjassa ratkaisee, pääseekö vastustaja pelaamaan linjojen välistä.</t>
  </si>
  <si>
    <t xml:space="preserve">Syöttölinjojen sulkeminen</t>
  </si>
  <si>
    <t xml:space="preserve">Prässi ei ole vain juoksemista palloa kohti: oikea peittokulma vähentää vastustajan syöttövaihtoehtoja ja tekee prässistä organisoidun.</t>
  </si>
  <si>
    <t xml:space="preserve">Varmistukset ja pudottautuminen</t>
  </si>
  <si>
    <t xml:space="preserve">Keskikenttäpelaaja paikkaa kahta linjaa: varmistaa keskikenttälinjassa ja pudottautuu tarvittaessa keskustopparin rooliin (keskitykset, epätasapaino).</t>
  </si>
  <si>
    <t xml:space="preserve">Muodon sisässä pelaaminen</t>
  </si>
  <si>
    <t xml:space="preserve">Tukien tarjoaminen vastustajan muodon sisällä (linjojen välissä) rikkoo prässin. Hätätuki, jatkuvuustuki ja syöttölinjojen avaaminen ovat saman konseptin eri tasoja.</t>
  </si>
  <si>
    <t xml:space="preserve">Avausvaihe kulkee keskikentän kautta tai epäonnistuu: liike oikeaan tilaan oikeaan aikaan, tarvittaessa oman pelipaikan ulkopuolelle.</t>
  </si>
  <si>
    <t xml:space="preserve">Syöttöpeli ennen kuljettamista, eteneminen ennen sivuttaissiirtelyä – mutta riski minimoiden. Syöttö etuun ja liike syötön jälkeen pitävät pelin elävänä.</t>
  </si>
  <si>
    <t xml:space="preserve">Jatkotilanteiden ennakointi ja tilanteenvaihto</t>
  </si>
  <si>
    <t xml:space="preserve">Ennakoi sekä katkot että oman joukkueen menetykset – keskikenttäpelaaja on vastaprässin ensimmäinen lenkki.</t>
  </si>
  <si>
    <t xml:space="preserve">Hyökkäävä keskikenttäpelaaja (AMID)</t>
  </si>
  <si>
    <t xml:space="preserve">Kympin peli ratkeaa ennen vastaanottoa: taskuissa pelaava saa palloa ahtaimmissa tiloissa, joten skannauksen frekvenssi ja avoin peliasento ratkaisevat, kääntyykö peli eteenpäin.</t>
  </si>
  <si>
    <t xml:space="preserve">Linjojen välissä pelaaminen (taskut)</t>
  </si>
  <si>
    <t xml:space="preserve">Tuki vastustajan keskikenttä- ja puolustuslinjan välissä rikkoo vastustajan rakenteen. Liiku vastustajan katveessa – näy pallolliselle, pysy piilossa vartijalta.</t>
  </si>
  <si>
    <t xml:space="preserve">Pudottautuminen vs. syvyysjuoksu</t>
  </si>
  <si>
    <t xml:space="preserve">Kympin kaksi asetta: pudottaudu tueksi tai juokse syvyyteen. Vuorottelu tekee pelistä lukukelvotonta ja luo epätasapainoa.</t>
  </si>
  <si>
    <t xml:space="preserve">Sisäkaistojen tasapaino</t>
  </si>
  <si>
    <t xml:space="preserve">Hyökkäystasapaino on kympillä tilojen hallintaa: sisäkaistat eivät saa tyhjentyä eivätkä ruuhkautua. Oman pelipaikan jättäminen on sallittua, kun joukkueen organisaatio säilyy.</t>
  </si>
  <si>
    <t xml:space="preserve">Aloitteen vieminen ja vastaprässi</t>
  </si>
  <si>
    <t xml:space="preserve">Puolustaminen alkaa menetyshetkestä: lähin pelaaja prässää välittömästi. Kymppi on vastaprässin käynnistäjä ylimpänä keskikenttäpelaajana.</t>
  </si>
  <si>
    <t xml:space="preserve">Keskustan suojaaminen puolustaessa</t>
  </si>
  <si>
    <t xml:space="preserve">Estä syötöt sisäkaistoille ja meitä syvemmälle sekä pelinkäännöt sisätuen kautta – kympin puolustustyö suuntaa vastustajan pelin laitoihin.</t>
  </si>
  <si>
    <t xml:space="preserve">Vastahyökkäysten käynnistäminen</t>
  </si>
  <si>
    <t xml:space="preserve">Pallonvoiton jälkeen ensimmäinen tuki ja ensimmäinen etenevä syöttö kulkevat kympin kautta. Valmistaudu jo puolustaessasi.</t>
  </si>
  <si>
    <t xml:space="preserve">Hyökkäyspelin organisointi ja boksiin liikkuminen</t>
  </si>
  <si>
    <t xml:space="preserve">Etenevä peli edullisilla alueilla, syöttö etuun, liike syötön jälkeen – ja keskityksissä juoksu tyhjään tilaan rangaistusalueelle.</t>
  </si>
  <si>
    <t xml:space="preserve">Kärki pelaa useimmin selkä maalille ja vartija selässä – skannaus ennen vastaanottoa kertoo, voiko kääntyä vai pitääkö pudottaa. Diagonaalinen sijoittuminen suhteessa pallolliseen pitää sekä pallon että selustan näkyvissä.</t>
  </si>
  <si>
    <t xml:space="preserve">Syvyyden varmistaminen</t>
  </si>
  <si>
    <t xml:space="preserve">Kärjen tärkein rakenteellinen tehtävä: venytä vastustajan puolustuslinjaa. Ilman syvyysuhkaa koko joukkueen tilat katoavat.</t>
  </si>
  <si>
    <t xml:space="preserve">Vapaiden juoksujen vaihtelu</t>
  </si>
  <si>
    <t xml:space="preserve">Selusta vai jalkoihin, ykköstolppa vai kakkostolppa, pudottautuminen vai syvyys – vaihtelu tekee kärjestä lukukelvottoman. Liike syötön jälkeen on yhtä tärkeä kuin liike ennen syöttöä.</t>
  </si>
  <si>
    <t xml:space="preserve">Selkä maalille -peli</t>
  </si>
  <si>
    <t xml:space="preserve">Pudottautuminen tueksi, pallon pito paineen alla ja seinäsyötöt liittävät kärjen rakenteluun. Tarvittaessa tuki oman pelipaikan ulkopuolelta.</t>
  </si>
  <si>
    <t xml:space="preserve">Ensimmäisen prässilinjan johtaminen</t>
  </si>
  <si>
    <t xml:space="preserve">Kärjen prässi ei ole vain juoksemista: ohjaa vastustajan avaus laidalle tai haluttuun suuntaan ja tee siitä ennustettavaa joukkueelle. Yhden ja kahden kärjen ryhmityksissä eri vastuut.</t>
  </si>
  <si>
    <t xml:space="preserve">Vastaprässi ja ennakointi</t>
  </si>
  <si>
    <t xml:space="preserve">Menetyshetkellä lähin prässää välittömästi. Ennakoi vastustajan huonot kosketukset – prässäysmahdollisuus syntyy sekunnin murto-osassa.</t>
  </si>
  <si>
    <t xml:space="preserve">Rangaistusaluepelaaminen</t>
  </si>
  <si>
    <t xml:space="preserve">Laukaus vai syöttö -valinta, maalille hyökkääminen ja juoksuradat keskityksiin. Maalinteko on toistojen ja ennakoinnin summa, ei sattumaa.</t>
  </si>
  <si>
    <t xml:space="preserve">Jatkotilanteet ("haaskalinnun vaisto")</t>
  </si>
  <si>
    <t xml:space="preserve">Torjunnat, irtopallot ja pudotukset: ennakoi, älä seuraa. Suuri osa maaleista syntyy toisesta aallosta.</t>
  </si>
  <si>
    <t xml:space="preserve">Laiturin tärkein skannauskohde on vastustajan laitapuolustaja: etäisyys ja asento kertovat, kannattaako haastaa, hakea syöttö jalkaan vai juosta selustaan. Laita antaa selkäsuojan – avoin peliasento kohti kenttää.</t>
  </si>
  <si>
    <t xml:space="preserve">Leveys venyttää vastustajan ryhmitystä ja avaa sisäkaistat muille. Kavenna vasta viimeistelyalueilla ja palauta leveys heti ensimmäisen toiminnon jälkeen.</t>
  </si>
  <si>
    <t xml:space="preserve">1v1-pelaaminen ja edun luominen</t>
  </si>
  <si>
    <t xml:space="preserve">Laiturin ydinase: suuntaava ensimmäinen kosketus luo edun, tilaetu ratkaisee haastamispäätöksen, ja 2v1-tilanne syntyy houkuttelemalla vastustaja itseen. Ilman etua – jatkuvuus, ei pakotettu haasto.</t>
  </si>
  <si>
    <t xml:space="preserve">Kohti maalia, tueksi jalkaan, syötön jälkeen – vaihtelu tekee laiturista lukukelvottoman ja luo tilaa laitapuolustajan nousuille.</t>
  </si>
  <si>
    <t xml:space="preserve">Keskittäminen ja boksiin liittyminen</t>
  </si>
  <si>
    <t xml:space="preserve">Keskityksen tarkoitus on antaa kärjelle etu (ajoitus, alue, voima). Kun peli etenee vastakkaista laitaa, laituri liittyy viimeistelyalueelle – takatolppa on laiturin maalipaikka.</t>
  </si>
  <si>
    <t xml:space="preserve">Laidan puolustaminen</t>
  </si>
  <si>
    <t xml:space="preserve">Merkattavan tunnistus, sisäkaistan peittäminen ja nousevan laitapuolustajan seuraaminen. Kavenna auttamaan, kun pallo on vastakkaisella laidalla.</t>
  </si>
  <si>
    <t xml:space="preserve">Vastaprässi ja vastahyökkäykset</t>
  </si>
  <si>
    <t xml:space="preserve">Menetyshetkellä prässää välittömästi; pallonvoitossa laituri on vastahyökkäyksen kärkiase – syvyysjuoksut ensimmäisessä ja toisessa aallossa.</t>
  </si>
  <si>
    <t xml:space="preserve">Torjunnat, pudotukset ja irtopallot: toisen aallon laukaukset ja takatolpan saapumiset ratkaisevat tiukat ottelut.</t>
  </si>
  <si>
    <t xml:space="preserve">Maalivahdilla on eniten aikaa ja paras näkymä – käytä ne. Tilannekuva vastustajan prässistä muodostetaan ennen takaisinsyöttöä, ei sen jälkeen. Ratkaisu valmiina ennen palloa.</t>
  </si>
  <si>
    <t xml:space="preserve">Syvyyssijainti ja sweeper-rooli</t>
  </si>
  <si>
    <t xml:space="preserve">Maalivahdin peruspaikka elää puolustuslinjan mukana: korkea linja = korkea maalivahti. Selustan tila on maalivahdin vastuualue – rohkeus ja ennakointi rangaistusalueen ulkopuolella kuuluvat moderniin maalivahtipeliin.</t>
  </si>
  <si>
    <t xml:space="preserve">Kulmien kaventaminen ja torjuminen</t>
  </si>
  <si>
    <t xml:space="preserve">Sijoittuminen tekee torjunnasta helpon: oikea kulma ja paikallaanolo laukaisuhetkellä. Irtopallon suunta on osa torjuntaa – sivulle tai yli, ei koskaan eteen keskelle.</t>
  </si>
  <si>
    <t xml:space="preserve">1v1-pelaaminen</t>
  </si>
  <si>
    <t xml:space="preserve">Ajoitus ratkaisee: kavenna tilaa kun pallo on irti hyökkääjän jalasta, pysy pystyssä mahdollisimman pitkään, pakota hyökkääjä ratkaisuun.</t>
  </si>
  <si>
    <t xml:space="preserve">Rangaistusalueen ilmatilan hallinta</t>
  </si>
  <si>
    <t xml:space="preserve">Lähtöpäätös tehdään kerran ja siihen sitoudutaan. Kiinniotto on aina ensisijainen, nyrkkäys pitkälle ja sivulle. Huuto "OMA!" sitoo koko puolustuksen.</t>
  </si>
  <si>
    <t xml:space="preserve">Pelin ohjaaminen äänellä</t>
  </si>
  <si>
    <t xml:space="preserve">Maalivahti on ainoa, joka näkee koko kentän – hiljainen maalivahti hukkaa joukkueensa suurimman tiedollisen edun. Kommunikaation on oltava jatkuvaa, selkeää ja ennakoivaa.</t>
  </si>
  <si>
    <t xml:space="preserve">Ensimmäinen pelinrakentaja</t>
  </si>
  <si>
    <t xml:space="preserve">Maalivahti luo rakenteluun +1-ylivoiman. Avausvalinta (lyhyt/pitkä) tehdään vastustajan prässin mukaan – hyvä pitkä avaus on ase, pakotettu lyhyt avaus on riski.</t>
  </si>
  <si>
    <t xml:space="preserve">Tilanteenvaihdot molempiin suuntiin</t>
  </si>
  <si>
    <t xml:space="preserve">Pallonvoitossa maalivahti on vastahyökkäyksen ensimmäinen syöttäjä; menetyksessä sijainti korjataan ennen vastustajan hyökkäystä.</t>
  </si>
  <si>
    <t xml:space="preserve">TOPPARI (CB) – skouttaus + itsearviointi + kehityskeskustelu samalla sivulla</t>
  </si>
  <si>
    <t xml:space="preserve">Vyöhyke</t>
  </si>
  <si>
    <t xml:space="preserve">Valm. arvio</t>
  </si>
  <si>
    <t xml:space="preserve">Itsearvio</t>
  </si>
  <si>
    <t xml:space="preserve">Ero</t>
  </si>
  <si>
    <t xml:space="preserve">Kriteerit 1 / 3 / 5</t>
  </si>
  <si>
    <t xml:space="preserve">Harjoitesuositus (automaattinen, kun arvio 1–2)</t>
  </si>
  <si>
    <t xml:space="preserve">1. PUOLUSTUSTASAPAINON YLLÄPITÄMINEN</t>
  </si>
  <si>
    <t xml:space="preserve">1: Linja hajoaa; jää väärään syvyyteen; ei palauta tasapainoa
3: Pitää linjan leveys- ja syvyystasapainon normaalitilanteissa
5: Ohjaa koko linjaa; korjaa tasapainon ennakoivasti ennen kuin vaara syntyy</t>
  </si>
  <si>
    <t xml:space="preserve">CB-P1a</t>
  </si>
  <si>
    <t xml:space="preserve">a. Ylläpidä puolustuslinjan tasapaino leveyssuunnassa</t>
  </si>
  <si>
    <t xml:space="preserve">CB-P1b</t>
  </si>
  <si>
    <t xml:space="preserve">b. Ylläpidä puolustuslinjan tasapaino syvyyssuunnassa</t>
  </si>
  <si>
    <t xml:space="preserve">CB-P1c</t>
  </si>
  <si>
    <t xml:space="preserve">c. Palauta tasapaino tilanteen rikkoutuessa</t>
  </si>
  <si>
    <t xml:space="preserve">CB-P1d</t>
  </si>
  <si>
    <t xml:space="preserve">d. Tasapainota puolustuslinja uudelleen</t>
  </si>
  <si>
    <t xml:space="preserve">2. MERKATTAVAN PELAAJAN TUNNISTAMINEN</t>
  </si>
  <si>
    <t xml:space="preserve">1: Menettää merkattavan; katse vain pallossa; yllättyy välitilasyötöistä
3: Pitää pallon ja hyökkääjän näkökentässä; sijoittuu oikein
5: Ennakoi vastustajan liikkeet; tiivistää välitilat ennen syöttöä; valmiina myös oman hyökkäyksen aikana</t>
  </si>
  <si>
    <t xml:space="preserve">CB-P2a</t>
  </si>
  <si>
    <t xml:space="preserve">a. Sijoitu oikeassa peliasennossa (rintamasuunta ja kehon asento siten, että pystyt reagoimaan nopeasti joka suuntaan) / pidä hyökkääjä ja pallo näkökentässäsi</t>
  </si>
  <si>
    <t xml:space="preserve">CB-P2b</t>
  </si>
  <si>
    <t xml:space="preserve">b. Sijoitu oikein suhteessa merkattavaan pelaajaan</t>
  </si>
  <si>
    <t xml:space="preserve">CB-P2c</t>
  </si>
  <si>
    <t xml:space="preserve">c. Tiivistä tila, kun vastustaja voi vastaanottaa pallon linjojen välissä</t>
  </si>
  <si>
    <t xml:space="preserve">CB-P2d</t>
  </si>
  <si>
    <t xml:space="preserve">d. Säilytä puolustusvalmius oman joukkueen hyökätessä</t>
  </si>
  <si>
    <t xml:space="preserve">3. TILAN PUOLUSTAMINEN</t>
  </si>
  <si>
    <t xml:space="preserve">1: Ei varmista; selusta auki; alivoimassa lähtee vääriin prässiin
3: Varmistaa pelikaveria; puolustaa selustan syötöt luotettavasti
5: Lukee syvyysjuoksut aikaisin; hallitsee sisään–ulos-liikkeiden puolustamisen; viivyttää alivoimassa taitavasti</t>
  </si>
  <si>
    <t xml:space="preserve">CB-P3a</t>
  </si>
  <si>
    <t xml:space="preserve">a. Varmista palloa prässäävää topparia tai laitapuolustajaa</t>
  </si>
  <si>
    <t xml:space="preserve">CB-P3b</t>
  </si>
  <si>
    <t xml:space="preserve">b. Peräänny nopeasti ennakoiden syöttö topparin taakse jäävään tilaan</t>
  </si>
  <si>
    <t xml:space="preserve">CB-P3c</t>
  </si>
  <si>
    <t xml:space="preserve">c. Ensimmäinen keskustoppari puolustaa niin, että hän estää vapaat juoksut selustaansa</t>
  </si>
  <si>
    <t xml:space="preserve">CB-P3d</t>
  </si>
  <si>
    <t xml:space="preserve">d. Toisen keskustopparin miesvartiointi (1v1-puolustaminen), kun hyökkääjä liikkuu topparien väliseen tilaan (sisään–ulos-liike)</t>
  </si>
  <si>
    <t xml:space="preserve">CB-P3e</t>
  </si>
  <si>
    <t xml:space="preserve">e. Viivytä perääntyen alivoimatilanteessa</t>
  </si>
  <si>
    <t xml:space="preserve">4. PALLOLLISEN PUOLUSTAMINEN</t>
  </si>
  <si>
    <t xml:space="preserve">1: Tulee ohitetuksi 1v1; ei reagoi seinäsyöttöihin
3: Prässää hallitusti ohittumatta normaalitilanteissa
5: Voittaa 1v1-tilanteet toistuvasti; katkaisee yhdistelyt ennakoiden</t>
  </si>
  <si>
    <t xml:space="preserve">CB-P4a</t>
  </si>
  <si>
    <t xml:space="preserve">a. Älä anna vastustajan ohittaa itseäsi, kun prässäät pallollista pelaajaa</t>
  </si>
  <si>
    <t xml:space="preserve">CB-P4b</t>
  </si>
  <si>
    <t xml:space="preserve">b. Pudota nopeasti alemmas katkaisemaan hyökkääjän mahdollinen eteneminen, jos hän pelaa yhteen joukkuetoverinsa kanssa (esim. seinäsyöttötilanteessa)</t>
  </si>
  <si>
    <t xml:space="preserve">5. BOKSIN VAPAUTTAMINEN</t>
  </si>
  <si>
    <t xml:space="preserve">1: Jää boksiin puolustamaan turhaan; ei nosta linjaa
3: Poistuu boksista oikeissa tilanteissa; nostaa linjan takaisinsyötöistä
5: Johtaa linjan nostot äänellä ja esimerkillä; ajoitus ennakoiva</t>
  </si>
  <si>
    <t xml:space="preserve">CB-P5a</t>
  </si>
  <si>
    <t xml:space="preserve">a. Älä valu puolustamaan rangaistusalueen sisälle, kun pallo on keskellä rangaistusalueen ulkopuolella</t>
  </si>
  <si>
    <t xml:space="preserve">CB-P5b</t>
  </si>
  <si>
    <t xml:space="preserve">b. Nosta linja vastustajan syöttäessä taaksepäin</t>
  </si>
  <si>
    <t xml:space="preserve">CB-P5c</t>
  </si>
  <si>
    <t xml:space="preserve">c. Poistu boksista, kun pallo on purettu</t>
  </si>
  <si>
    <t xml:space="preserve">6. KESKITYKSEN PUOLUSTAMINEN</t>
  </si>
  <si>
    <t xml:space="preserve">1: Häviää keskityspaikat; ykköstolppa auki; kadottaa merkattavan
3: Puolustaa keskitykset ja oman alueensa luotettavasti
5: Hallitsee ilmatilan; voittaa 1v1-kamppailut boksissa; suojaa maalivahdin ja välin</t>
  </si>
  <si>
    <t xml:space="preserve">CB-P6a</t>
  </si>
  <si>
    <t xml:space="preserve">a. Pudota nopeasti, kun keskitys puolustuslinjan ja maalivahdin väliin on mahdollinen</t>
  </si>
  <si>
    <t xml:space="preserve">CB-P6b</t>
  </si>
  <si>
    <t xml:space="preserve">b. Ykköstolpan alueen puolustaminen</t>
  </si>
  <si>
    <t xml:space="preserve">CB-P6c</t>
  </si>
  <si>
    <t xml:space="preserve">c. Puolusta maalintekijät 1v1 keskitystilanteessa</t>
  </si>
  <si>
    <t xml:space="preserve">7. PUOLUSTAMINEN VAARA-ALUEILLA</t>
  </si>
  <si>
    <t xml:space="preserve">1: Antaa laukoa vapaasti; lopettaa tilanteet kesken
3: Estää laukaukset; puolustaa tilanteet loppuun
5: Erinomainen blokkaaja ja 1v1-puolustaja; kattaa kakkostolpan MV:n 1v1-tilanteissa</t>
  </si>
  <si>
    <t xml:space="preserve">CB-P7a</t>
  </si>
  <si>
    <t xml:space="preserve">a. Puolusta 1v1 vaara-alueilla</t>
  </si>
  <si>
    <t xml:space="preserve">CB-P7b</t>
  </si>
  <si>
    <t xml:space="preserve">b. Prässää intensiivisesti ja estä laukaukset maalia kohti</t>
  </si>
  <si>
    <t xml:space="preserve">CB-P7c</t>
  </si>
  <si>
    <t xml:space="preserve">c. Jatka puolustamista, kunnes tilanne on ohi</t>
  </si>
  <si>
    <t xml:space="preserve">CB-P7d</t>
  </si>
  <si>
    <t xml:space="preserve">d. Kakkostolpan puolustaminen maalivahdin ollessa 1v1-tilanteessa</t>
  </si>
  <si>
    <t xml:space="preserve">8. JATKOTILANTEIDEN ENNAKOINTI</t>
  </si>
  <si>
    <t xml:space="preserve">1: Yllättyy irtopalloista ja torjunnoista
3: Reagoi jatkotilanteisiin ajoissa
5: Ennakoi irtopallot ja pääpallokamppailujen pudotukset ennen muita</t>
  </si>
  <si>
    <t xml:space="preserve">CB-P8a</t>
  </si>
  <si>
    <t xml:space="preserve">a. Ennakoi maalivahdin mahdollinen purkupallo</t>
  </si>
  <si>
    <t xml:space="preserve">CB-P8b</t>
  </si>
  <si>
    <t xml:space="preserve">b. Pudota alemmas (varmistamaan), kun toinen keskustoppari tai puolustava keskikenttäpelaaja menee pääpallo- tai ilmapallotilanteeseen pallon tullessa keskikaistaa pitkin</t>
  </si>
  <si>
    <t xml:space="preserve">0. TIEDON KERÄÄMINEN (SKANNAUS)</t>
  </si>
  <si>
    <t xml:space="preserve">1: Katse lukittuu palloon; vastaanotot selkä pelille; päätökset syntyvät vasta pallon kanssa
3: Skannaa säännöllisesti ennen vastaanottoa; peliasento pääosin avoin
5: Skannaa korkealla frekvenssillä myös paineessa; ratkaisu valmiina ennen palloa; peliasento avaa koko kentän</t>
  </si>
  <si>
    <t xml:space="preserve">CB-H0a</t>
  </si>
  <si>
    <t xml:space="preserve">a. Diagonaalinen sijoittuminen suhteessa etu- ja takalinjoihin</t>
  </si>
  <si>
    <t xml:space="preserve">CB-H0b</t>
  </si>
  <si>
    <t xml:space="preserve">b. Avoin peliasento, joka mahdollistaa maksimaalisen tiedonkeruun</t>
  </si>
  <si>
    <t xml:space="preserve">CB-H0c</t>
  </si>
  <si>
    <t xml:space="preserve">c. Pään kääntäminen (skannaus) näkökentän täydentämiseksi ennen vastaanottoa ja sen aikana</t>
  </si>
  <si>
    <t xml:space="preserve">1. HYÖKKÄYSTASAPAINON YLLÄPITÄMINEN (asemahyökkäys)</t>
  </si>
  <si>
    <t xml:space="preserve">1: Väärä etäisyys linjassa; ei seuraa joukkueen nousua
3: Pitää tasapainon joukkueen edetessä
5: Optimoi asemansa jatkuvasti; mahdollistaa vastaprässin ja tilanteenvaihdon hallinnan</t>
  </si>
  <si>
    <t xml:space="preserve">CB-H1a</t>
  </si>
  <si>
    <t xml:space="preserve">a. Tasapainota puolustuslinja leveyssuunnassa</t>
  </si>
  <si>
    <t xml:space="preserve">CB-H1b</t>
  </si>
  <si>
    <t xml:space="preserve">b. Ylläpidä syvyystasapaino joukkueen edetessä</t>
  </si>
  <si>
    <t xml:space="preserve">2. TUKIEN TARJOAMINEN</t>
  </si>
  <si>
    <t xml:space="preserve">1: Piiloutuu paineessa; suorat tukikulmat
3: Tarjoaa diagonaalisen tuen pallolliselle luotettavasti
5: Näyttäytyy aina pelattavana myös prässiä vastaan; tukikulmat avaavat käännöt</t>
  </si>
  <si>
    <t xml:space="preserve">CB-H2a</t>
  </si>
  <si>
    <t xml:space="preserve">a. Tarjoa selkeä diagonaalinen tuki pallolliselle</t>
  </si>
  <si>
    <t xml:space="preserve">CB-H2b</t>
  </si>
  <si>
    <t xml:space="preserve">b. Tarjoa tuki välillisessä pelin kääntämisessä (kääntö tukipelaajan kautta)</t>
  </si>
  <si>
    <t xml:space="preserve">3. VARMISTAVAT SYÖTÖT</t>
  </si>
  <si>
    <t xml:space="preserve">1: Epätarkat avaukset; pallonmenetyksiä vaarallisilla alueilla
3: Rakentelee matalilla syötöillä varmasti; pystyy pitkään syöttöön
5: Molemmat jalat; murtava pitkä diagonaali; syöttövalinta rikkoo vastustajan prässilinjan</t>
  </si>
  <si>
    <t xml:space="preserve">CB-H3a</t>
  </si>
  <si>
    <t xml:space="preserve">a. Maasyötöt pelin rakentamisessa / Maata pitkin rullaavat syötöt pelin avaamisvaiheessa</t>
  </si>
  <si>
    <t xml:space="preserve">CB-H3b</t>
  </si>
  <si>
    <t xml:space="preserve">b. Pitkät korkeat syötöt edun hakemiseksi</t>
  </si>
  <si>
    <t xml:space="preserve">4. YLIVOIMAN HAKEMINEN / LUOMINEN</t>
  </si>
  <si>
    <t xml:space="preserve">1: Ei uskalla kuljettaa; pelaa aina varman ensimmäisen syötön
3: Kääntää peliä ja käyttää kolmatta pelaajaa tilanteen salliessa
5: Kuljettaa rohkeasti sitoen prässääjän; luo ylivoiman keskikentälle; liittyy hyökkäykseen oikea-aikaisesti</t>
  </si>
  <si>
    <t xml:space="preserve">CB-H4a</t>
  </si>
  <si>
    <t xml:space="preserve">a. Pelin kääntäminen (pelisuunnan vaihto)</t>
  </si>
  <si>
    <t xml:space="preserve">CB-H4b</t>
  </si>
  <si>
    <t xml:space="preserve">b. Kolmannen pelaajan hakeminen (syöttö kolmannelle)</t>
  </si>
  <si>
    <t xml:space="preserve">CB-H4c</t>
  </si>
  <si>
    <t xml:space="preserve">c. Sido vastustaja kuljettamalla ja luo tilaa</t>
  </si>
  <si>
    <t xml:space="preserve">CB-H4d</t>
  </si>
  <si>
    <t xml:space="preserve">d. Liity seuraavalle linjalle (nousu keskikentän tasolle)</t>
  </si>
  <si>
    <t xml:space="preserve">YHTEENSÄ</t>
  </si>
  <si>
    <t xml:space="preserve">Max 65 p (13 teemaa). Ero-sarake = valmentajan arvio − itsearvio: suuret erot ovat kehityskeskustelun ydin.</t>
  </si>
  <si>
    <t xml:space="preserve">ITSEARVIOINNIN AVOIMET KYSYMYKSET (pelaaja täyttää ennen keskustelua)</t>
  </si>
  <si>
    <t xml:space="preserve">1.</t>
  </si>
  <si>
    <t xml:space="preserve">Missä kolmessa asiassa olen kehittynyt eniten viimeisen 3 kk:n aikana?</t>
  </si>
  <si>
    <t xml:space="preserve">2.</t>
  </si>
  <si>
    <t xml:space="preserve">Mikä pelitilanne tuntuu vaikeimmalta ja miksi?</t>
  </si>
  <si>
    <t xml:space="preserve">3.</t>
  </si>
  <si>
    <t xml:space="preserve">Keneltä huipputopparilta otan mallia ja mitä konkreettista hänen pelistään?</t>
  </si>
  <si>
    <t xml:space="preserve">4.</t>
  </si>
  <si>
    <t xml:space="preserve">Mitkä 2–3 KPI:tä valitsen seuraavan jakson painopisteiksi?</t>
  </si>
  <si>
    <t xml:space="preserve">5.</t>
  </si>
  <si>
    <t xml:space="preserve">Mitä teen itsenäisesti (harjoitusten ulkopuolella) näiden eteen?</t>
  </si>
  <si>
    <t xml:space="preserve">KEHITYSSOPIMUS (täytetään yhdessä keskustelussa)</t>
  </si>
  <si>
    <t xml:space="preserve">Painopiste 1 (koodi + tavoite):</t>
  </si>
  <si>
    <t xml:space="preserve">Painopiste 2 (koodi + tavoite):</t>
  </si>
  <si>
    <t xml:space="preserve">Painopiste 3 (valinnainen):</t>
  </si>
  <si>
    <t xml:space="preserve">Konkreettiset toimet ja harjoitteet (ks. Harjoitepankki):</t>
  </si>
  <si>
    <t xml:space="preserve">Mittarit / miten kehitys todennetaan:</t>
  </si>
  <si>
    <t xml:space="preserve">Seurantapäivä:</t>
  </si>
  <si>
    <t xml:space="preserve">Allekirjoitukset (pelaaja &amp; valmentaja):</t>
  </si>
  <si>
    <t xml:space="preserve">LAITAPUOLUSTAJA (FB) – skouttaus + itsearviointi + kehityskeskustelu samalla sivulla</t>
  </si>
  <si>
    <t xml:space="preserve">1: Jää irti linjasta; väärä syvyys; ei palauta tasapainoa tilanteen rikkoutuessa
3: Pitää linjan leveys- ja syvyystasapainon normaalitilanteissa
5: Säätää asemaansa jatkuvasti ennakoiden; korjaa linjan tasapainon ennen kuin vaara syntyy</t>
  </si>
  <si>
    <t xml:space="preserve">FB-P1a</t>
  </si>
  <si>
    <t xml:space="preserve">a. Pidä puolustuslinjan tasapaino leveyssuunnassa</t>
  </si>
  <si>
    <t xml:space="preserve">FB-P1b</t>
  </si>
  <si>
    <t xml:space="preserve">b. Pidä puolustuslinjan tasapaino syvyyssuunnassa</t>
  </si>
  <si>
    <t xml:space="preserve">FB-P1c</t>
  </si>
  <si>
    <t xml:space="preserve">c. Tasapainota puolustuslinja uudelleen tilanteen rikkoutuessa</t>
  </si>
  <si>
    <t xml:space="preserve">1: Kadottaa laiturinsa; katse vain pallossa; yllättyy selustaan tulevista liikkeistä
3: Pitää pallon ja vastustajan näkökentässä; tunnistaa merkattavan ja mukauttaa sijoittumistaan
5: Ennakoi vastustajan laiturin liikkeet; tiivistää oikea-aikaisesti; valpas myös oman joukkueen hyökätessä</t>
  </si>
  <si>
    <t xml:space="preserve">FB-P2a</t>
  </si>
  <si>
    <t xml:space="preserve">a. Sijoitu oikeassa peliasennossa (rintamasuunta ja kehon asento siten, että pystyt reagoimaan nopeasti joka suuntaan) / pidä pallo ja vastustaja näkökentässäsi</t>
  </si>
  <si>
    <t xml:space="preserve">FB-P2b</t>
  </si>
  <si>
    <t xml:space="preserve">b. Tunnista merkattava pelaaja ja korjaa tai mukauta omaa sijoittumistasi</t>
  </si>
  <si>
    <t xml:space="preserve">FB-P2c</t>
  </si>
  <si>
    <t xml:space="preserve">c. Pienennä tilaa, kun vartioitavalla pelaajalla on mahdollisuus osallistua peliin (vastaanottaa pallon)</t>
  </si>
  <si>
    <t xml:space="preserve">FB-P2d</t>
  </si>
  <si>
    <t xml:space="preserve">d. Säilytä valppaus merkattavasta pelaajasta oman joukkueen hyökätessä</t>
  </si>
  <si>
    <t xml:space="preserve">1: Ei varmista keskustopparia; laidan selusta jää auki; syvyysjuoksut karkaavat
3: Varmistaa keskustopparia ja pudottaa vapaaseen tilaan luotettavasti
5: Lukee syvyysjuoksut aikaisin; varmistuskulmat ja -etäisyydet optimaaliset; laidan selusta ei aukea</t>
  </si>
  <si>
    <t xml:space="preserve">FB-P3a</t>
  </si>
  <si>
    <t xml:space="preserve">a. Varmista keskustopparia, joka prässää pallollista pelaajaa</t>
  </si>
  <si>
    <t xml:space="preserve">FB-P3b</t>
  </si>
  <si>
    <t xml:space="preserve">b. Pudota nopeasti alemmas ennakoiden syötöt tyhjään tilaan</t>
  </si>
  <si>
    <t xml:space="preserve">FB-P3c</t>
  </si>
  <si>
    <t xml:space="preserve">c. Seuraa miesvartioinnilla hyökkääjien vapaat juoksut syvyyteen</t>
  </si>
  <si>
    <t xml:space="preserve">1: Ohitetaan 1v1-tilanteissa; ei ohjaa vastustajaa; syöttäjä karkaa seinäsyöttöön
3: Prässää hallitusti ja ohjaa vastustajan pois vaarallisilta alueilta
5: Voittaa laidan 1v1-tilanteet toistuvasti; ohjaa vastustajan ansaan (sivurajaa/varmistusta kohti); katkaisee yhdistelyt</t>
  </si>
  <si>
    <t xml:space="preserve">FB-P4a</t>
  </si>
  <si>
    <t xml:space="preserve">FB-P4b</t>
  </si>
  <si>
    <t xml:space="preserve">b. Ohjaa vastustaja (puolustuksen kannalta) edullisille alueille</t>
  </si>
  <si>
    <t xml:space="preserve">FB-P4c</t>
  </si>
  <si>
    <t xml:space="preserve">c. Estä pelaajan eteneminen syötön jälkeen (älä päästä syöttäjää liikkeelle syöttönsä perään)</t>
  </si>
  <si>
    <t xml:space="preserve">5. RANGAISTUSALUEEN VAPAUTTAMINEN</t>
  </si>
  <si>
    <t xml:space="preserve">1: Valuu rangaistusalueelle turhaan; jää alas purkupallojen jälkeen
3: Pysyy poissa rangaistusalueelta ja poistuu sieltä oikeissa tilanteissa
5: Ajoittaa poistumiset ja linjan nostot ennakoivasti; kommunikoi keskustoppareiden kanssa</t>
  </si>
  <si>
    <t xml:space="preserve">FB-P5a</t>
  </si>
  <si>
    <t xml:space="preserve">a. Älä valu puolustamaan rangaistusalueen sisälle, kun pallo on keskikaistalla</t>
  </si>
  <si>
    <t xml:space="preserve">FB-P5b</t>
  </si>
  <si>
    <t xml:space="preserve">b. Poistu rangaistusalueelta (boksista), kun oma joukkue pystyy siivoamaan pallon pois vaara-alueelta / päätyalueelta</t>
  </si>
  <si>
    <t xml:space="preserve">1: Selusta aukeaa keskityksille; väärä asema keskityslinjaan nähden; kakkostolpan pelaaja unohtuu
3: Puolustaa keskitykset omalta laidaltaan ja kaventaa vastakkaiselta laidalta luotettavasti
5: Hallitsee molemmat roolit (pallonpuoleinen/vastakkainen laita); voittaa 1v1-tilanteet rangaistusalueella; pelaa irtopallot</t>
  </si>
  <si>
    <t xml:space="preserve">FB-P6a</t>
  </si>
  <si>
    <t xml:space="preserve">a. Laitatilanteissa, joista pallo voidaan keskittää puolustajien selustaan (puolustuslinjan taakse), pudota asemastasi alaspäin niin nopeasti kuin mahdollista auttaaksesi joukkuetoveriasi</t>
  </si>
  <si>
    <t xml:space="preserve">FB-P6b</t>
  </si>
  <si>
    <t xml:space="preserve">b. Sijoitu keskityslinjalle (pallonpuoleinen laitapuolustaja)</t>
  </si>
  <si>
    <t xml:space="preserve">FB-P6c</t>
  </si>
  <si>
    <t xml:space="preserve">c. Puolusta miesvartioinnilla viimeistelemään tulevaa pelaajaa (vastakkaisen laidan laitapuolustaja)</t>
  </si>
  <si>
    <t xml:space="preserve">FB-P6d</t>
  </si>
  <si>
    <t xml:space="preserve">d. Jatka puolustamista, jos keskitys ylittää meidät, ja auta joukkuetovereita mahdollisissa irtopalloissa</t>
  </si>
  <si>
    <t xml:space="preserve">1: Häviää miesvartioinnit; antaa viimeistellä vapaasti
3: Pitää miesvartiointinsa ja häiritsee viimeistelyt
5: Erinomainen 1v1-puolustaja vaara-alueilla; estää tilanteen päätökset johdonmukaisesti</t>
  </si>
  <si>
    <t xml:space="preserve">FB-P7a</t>
  </si>
  <si>
    <t xml:space="preserve">a. Miesvartiointi (1v1-puolustaminen) vaara-alueilla</t>
  </si>
  <si>
    <t xml:space="preserve">FB-P7b</t>
  </si>
  <si>
    <t xml:space="preserve">b. Seuraa vastustajaa estääksesi tilanteiden päättämisen (laukaus tai viimeistely)</t>
  </si>
  <si>
    <t xml:space="preserve">1: Yllättyy irtopalloista; jää katsomaan kamppailuja
3: Reagoi jatkotilanteisiin ajoissa
5: Ennakoi torjunnasta irtoavat pallot ja kamppailujen pudotukset; siirtyy keskikaistalle automaattisesti</t>
  </si>
  <si>
    <t xml:space="preserve">FB-P8a</t>
  </si>
  <si>
    <t xml:space="preserve">a. Kun hyökkääjä laukoo, ennakoi maalivahdin torjunnasta irtoava pallo</t>
  </si>
  <si>
    <t xml:space="preserve">FB-P8b</t>
  </si>
  <si>
    <t xml:space="preserve">b. Kun keskustoppari tai puolustava keskikenttäpelaaja hyppää ilmapallokamppailuun vastustajan kanssa, pudota alemmas ja siirry kohti keskikaistaa</t>
  </si>
  <si>
    <t xml:space="preserve">1: Katse lukittuu palloon; vastaanotot suljetulla peliasennolla; ratkaisut syntyvät vasta pallon kanssa
3: Skannaa säännöllisesti ennen vastaanottoa; peliasento pääosin avoin
5: Skannaa korkealla frekvenssillä myös paineessa; ratkaisu valmiina ennen palloa; näkee sisäkaistat ja oman laidan</t>
  </si>
  <si>
    <t xml:space="preserve">FB-H0a</t>
  </si>
  <si>
    <t xml:space="preserve">FB-H0b</t>
  </si>
  <si>
    <t xml:space="preserve">FB-H0c</t>
  </si>
  <si>
    <t xml:space="preserve">1. HYÖKKÄYSTASAPAINON YLLÄPITÄMINEN</t>
  </si>
  <si>
    <t xml:space="preserve">1: Nousee väärään aikaan; jättää laidan selustan auki menetyksissä
3: Pitää tasapainon joukkueen edetessä; nousut hallittuja
5: Tasapainottaa nousunsa suhteessa laituriin ja keskustoppareihin; tilanteenvaihtovalmius jatkuva</t>
  </si>
  <si>
    <t xml:space="preserve">FB-H1a</t>
  </si>
  <si>
    <t xml:space="preserve">FB-H1b</t>
  </si>
  <si>
    <t xml:space="preserve">b. Pidä syvyystasapaino joukkueen edetessä</t>
  </si>
  <si>
    <t xml:space="preserve">1: Piiloutuu prässin taakse; tukikulmat suorassa linjassa
3: Tarjoaa diagonaalisen tuen pallolliselle luotettavasti
5: Näyttäytyy aina pelattavana; tukikulmat avaavat etenemisen; palvelee myös toisesta linjasta tulevia</t>
  </si>
  <si>
    <t xml:space="preserve">FB-H2a</t>
  </si>
  <si>
    <t xml:space="preserve">a. Tarjoa diagonaalinen tuki pallolliselle pelaajalle</t>
  </si>
  <si>
    <t xml:space="preserve">FB-H2b</t>
  </si>
  <si>
    <t xml:space="preserve">b. Tarjoa tuki toisesta linjasta palloa hakemaan tuleville pelaajille</t>
  </si>
  <si>
    <t xml:space="preserve">1: Epätarkat syötöt; pallonmenetyksiä omalla kenttäpuoliskolla
3: Rakentaa maasyötöillä varmasti normaalipaineessa
5: Syöttövarmuus säilyy kovassakin prässissä; rikkoo ensimmäisen prässilinjan syötöllään</t>
  </si>
  <si>
    <t xml:space="preserve">FB-H3a</t>
  </si>
  <si>
    <t xml:space="preserve">a. Maasyötöt pelin rakentamisessa</t>
  </si>
  <si>
    <t xml:space="preserve">1: Pelaa vain varman pitkittäissyötön laituriin; ei näe sisäkaistoja
3: Löytää sisäkaistojen pelaajat ja kääntää peliä tilanteen salliessa
5: Syöttövalinnat luovat systemaattisesti etua (sisäkaista, kääntö, syöttö etuun); vaihtelee ratkaisujaan lukukelvottomasti</t>
  </si>
  <si>
    <t xml:space="preserve">FB-H4a</t>
  </si>
  <si>
    <t xml:space="preserve">a. Etsi sisäkaistojen pelaajia, joilla on etu vastustajaansa nähden</t>
  </si>
  <si>
    <t xml:space="preserve">FB-H4b</t>
  </si>
  <si>
    <t xml:space="preserve">b. Käännä pelin suunta (pelinkääntö)</t>
  </si>
  <si>
    <t xml:space="preserve">FB-H4c</t>
  </si>
  <si>
    <t xml:space="preserve">c. Syötä pallo laiturille tai keskikenttäpelaajalle niin, että hän saa edun omalla puolellaan (syöttö etuun)</t>
  </si>
  <si>
    <t xml:space="preserve">5. HYÖKKÄYKSEEN MUKAAN NOUSEMINEN</t>
  </si>
  <si>
    <t xml:space="preserve">1: Ei nouse mukaan hyökkäyksiin tai nousee väärään aikaan
3: Nousee mukaan hyökkäykseen oikeissa tilanteissa ja luo leveyttä
5: Mukaan nousujen ajoitus erinomainen; luo toistuvasti 2v1-tilanteita laidalle; valinta nousun ja tasapainon välillä aina perusteltu</t>
  </si>
  <si>
    <t xml:space="preserve">FB-H5a</t>
  </si>
  <si>
    <t xml:space="preserve">a. Nouse mukaan (hyökkäykseen) hyödyntääksesi syntyneen vapaan tilan</t>
  </si>
  <si>
    <t xml:space="preserve">FB-H5b</t>
  </si>
  <si>
    <t xml:space="preserve">b. Hae ylivoimatilannetta tai ratkaise tasavoimatilanne</t>
  </si>
  <si>
    <t xml:space="preserve">Max 70 p (14 teemaa). Ero-sarake = valmentajan arvio − itsearvio: suuret erot ovat kehityskeskustelun ydin.</t>
  </si>
  <si>
    <t xml:space="preserve">Mikä pelitilanne tuntuu vaikeimmalta ja miksi (esim. 1v1 nopeaa laituria vastaan, kaventaminen keskityksissä, nousujen ajoitus)?</t>
  </si>
  <si>
    <t xml:space="preserve">Keneltä huippulaitapuolustajalta otan mallia ja mitä konkreettista hänen pelistään?</t>
  </si>
  <si>
    <t xml:space="preserve">KESKIKENTTÄPELAAJA (MID) – skouttaus + itsearviointi + kehityskeskustelu samalla sivulla</t>
  </si>
  <si>
    <t xml:space="preserve">1: Keskusta aukeaa; etäisyydet keskikenttälinjassa väärät; ei paikkaa tilanteen rikkoutuessa
3: Pitää keskikenttälinjan tasapainon leveys- ja syvyyssuunnassa normaalitilanteissa
5: Ohjaa keskikenttälinjan etäisyyksiä jatkuvasti; sulkee keskustan ennakoivasti; korjaa myös puolustuslinjan tasapainoa tarvittaessa</t>
  </si>
  <si>
    <t xml:space="preserve">MID-P1a</t>
  </si>
  <si>
    <t xml:space="preserve">a. Pidä tasapaino leveyssuunnassa keskikentän keskialueella</t>
  </si>
  <si>
    <t xml:space="preserve">MID-P1b</t>
  </si>
  <si>
    <t xml:space="preserve">b. Pidä puolustuksellinen tasapaino syvyyssuunnassa keskikentän keskialueella</t>
  </si>
  <si>
    <t xml:space="preserve">MID-P1c</t>
  </si>
  <si>
    <t xml:space="preserve">1: Kadottaa suoran vastustajansa; ei näe kärkeä selustassaan; prässi aukaisee syöttölinjat
3: Pitää joukkuetoverit, vastustajan ja kärjen näkökentässään; sijoittuu oikein
5: Sulkee syöttölinjat varjostamalla ennakoivasti; prässi ja sijoittuminen palvelevat joukkueen organisoitua prässiä</t>
  </si>
  <si>
    <t xml:space="preserve">MID-P2a</t>
  </si>
  <si>
    <t xml:space="preserve">a. Sijoitu oikeassa peliasennossa / pidä näkökentässäsi joukkuetoverit, suora vastustajasi ja keskustassa oleva kärkipelaaja</t>
  </si>
  <si>
    <t xml:space="preserve">MID-P2b</t>
  </si>
  <si>
    <t xml:space="preserve">b. Sijoitu oikein suhteessa vastustajan sijaintiin</t>
  </si>
  <si>
    <t xml:space="preserve">MID-P2c</t>
  </si>
  <si>
    <t xml:space="preserve">c. Vähennä vastustajan syöttövaihtoehtoja organisoidussa prässissä</t>
  </si>
  <si>
    <t xml:space="preserve">1: Ei varmista linjoja; jää ylös kun syöttö ylittää linjan; syvyysjuoksut karkaavat
3: Varmistaa keskikenttä- tai puolustuslinjaa ja pudottaa luotettavasti
5: Lukee tilanteet aikaisin; varmistukset molempiin linjoihin saumattomia; seuraa juoksut laidalle asti</t>
  </si>
  <si>
    <t xml:space="preserve">MID-P3a</t>
  </si>
  <si>
    <t xml:space="preserve">a. Varmistukset keskikenttälinjassa tai puolustuslinjassa pallon puolella</t>
  </si>
  <si>
    <t xml:space="preserve">MID-P3b</t>
  </si>
  <si>
    <t xml:space="preserve">b. Puolusta taaksepäin (pudota), jos syöttö ylittää oman pelilinjamme</t>
  </si>
  <si>
    <t xml:space="preserve">MID-P3c</t>
  </si>
  <si>
    <t xml:space="preserve">c. Seuraa keskikenttäpelaajan syvyysjuoksuja tämän liikkuessa laidalle</t>
  </si>
  <si>
    <t xml:space="preserve">1: Prässi ohitetaan helposti; keskustan välitilasyötöt menevät läpi
3: Prässää hallitusti ja peittää etenemissyötöt keskustassa
5: Prässin ajoitus ja peittokulmat erinomaiset; pakottaa vastustajan taakse- tai sivusuuntaan toistuvasti</t>
  </si>
  <si>
    <t xml:space="preserve">MID-P4a</t>
  </si>
  <si>
    <t xml:space="preserve">a. Prässää pallollista niin, ettei hän saa tilanteen aloitetta itselleen</t>
  </si>
  <si>
    <t xml:space="preserve">MID-P4b</t>
  </si>
  <si>
    <t xml:space="preserve">b. Estä eteenpäin suuntautuvat syötöt keskustassa</t>
  </si>
  <si>
    <t xml:space="preserve">1: Jää rangaistusalueelle puolustamaan turhaan
3: Poistuu rangaistusalueelta oikeissa tilanteissa
5: Ajoittaa poistumiset ennakoivasti ja komentaa linjan nostot mukana</t>
  </si>
  <si>
    <t xml:space="preserve">MID-P5a</t>
  </si>
  <si>
    <t xml:space="preserve">a. Poistu rangaistusalueelta, kun pystymme siivoamaan pallon pois päätyalueelta</t>
  </si>
  <si>
    <t xml:space="preserve">1: Ei tunnista epätasapainoa; rangaistusalueen reuna (takaviistosyötöt) jää auki
3: Pudottautuu tarvittaessa keskustopparin rooliin; puolustaa takaviistoon tulevat pallot
5: Tunnistaa epätasapainon aikaisin ja paikkaa saumattomasti; hallitsee rangaistusalueen reunan tilanteet</t>
  </si>
  <si>
    <t xml:space="preserve">MID-P6a</t>
  </si>
  <si>
    <t xml:space="preserve">a. Ota keskustopparin rooli keskityspuolustuksessa, jos puolustuslinjassa on epätasapaino</t>
  </si>
  <si>
    <t xml:space="preserve">MID-P6b</t>
  </si>
  <si>
    <t xml:space="preserve">b. Puolusta takaviistoon tulevat syötöt (rangaistusalueen reunalle), kun vastustaja saa edun päätyrajalla</t>
  </si>
  <si>
    <t xml:space="preserve">1: Passiivinen rangaistusalueella; ei ota miesvartiointivastuuta
3: Ottaa keskustopparin tehtävät vaara-alueilla luotettavasti
5: Puolustaa vaara-alueilla kuin keskustoppari: miesvartiointi, blokit ja tilanteiden loppuun puolustaminen</t>
  </si>
  <si>
    <t xml:space="preserve">MID-P7a</t>
  </si>
  <si>
    <t xml:space="preserve">a. Toimi kuten keskustoppari (miesvartiointi ja tilanteiden loppuun puolustaminen)</t>
  </si>
  <si>
    <t xml:space="preserve">1: Ei katkoja; yllättyy oman joukkueen menetyksistä
3: Katkoo syöttöjä alueellaan ja reagoi menetyksiin ajoissa
5: Ennakoi sekä vastustajan syötöt että oman joukkueen menetykset; ensimmäisenä vastaprässissä</t>
  </si>
  <si>
    <t xml:space="preserve">MID-P8a</t>
  </si>
  <si>
    <t xml:space="preserve">a. Ennakoi syötöt omalla pelialueellasi tai vartioimallesi pelaajalle</t>
  </si>
  <si>
    <t xml:space="preserve">MID-P8b</t>
  </si>
  <si>
    <t xml:space="preserve">b. Ennakoi pallonmenetyksen mahdollisuus oman joukkueen rakentaessa peliä</t>
  </si>
  <si>
    <t xml:space="preserve">1: Katse lukittuu palloon; vastaanotot suljetulla peliasennolla; ratkaisut syntyvät vasta pallon kanssa
3: Skannaa säännöllisesti ennen vastaanottoa; peliasento pääosin avoin
5: Skannaa korkealla frekvenssillä myös paineessa; pelaa yhdellä–kahdella kosketuksella eteenpäin, koska ratkaisu on valmiina</t>
  </si>
  <si>
    <t xml:space="preserve">MID-H0a</t>
  </si>
  <si>
    <t xml:space="preserve">MID-H0b</t>
  </si>
  <si>
    <t xml:space="preserve">MID-H0c</t>
  </si>
  <si>
    <t xml:space="preserve">1: Väärällä korkeudella suhteessa palloon; samassa linjassa syöttäjän kanssa; menetys johtaa suoraan vastahyökkäykseen
3: Säilyttää tasapainoisen ja diagonaalisen sijoittumisen
5: Sijoittuminen luo jatkuvasti syöttölinjan ja turvaa samalla joukkueen tasapainon menetyksen varalta</t>
  </si>
  <si>
    <t xml:space="preserve">MID-H1a</t>
  </si>
  <si>
    <t xml:space="preserve">a. Tasapainon säilyttäminen ryhmityksessä</t>
  </si>
  <si>
    <t xml:space="preserve">MID-H1b</t>
  </si>
  <si>
    <t xml:space="preserve">b. Diagonaalinen sijoittuminen suhteessa etu- ja takalinjoihin</t>
  </si>
  <si>
    <t xml:space="preserve">MID-H1c</t>
  </si>
  <si>
    <t xml:space="preserve">c. Varmista joukkueen puolustuksellinen tasapaino hyökkäyksen aikana</t>
  </si>
  <si>
    <t xml:space="preserve">1: Piiloutuu vastustajan taakse; ei tarjoa tukea paineessa; syöttölinjat pysyvät kiinni
3: Tarjoaa tuen muodon sisällä ja takaa pelin jatkuvuuden
5: Elää jatkuvasti syöttölinjojen välissä; hätätuki aina saatavilla; avaa liikkeellään linjoja muille</t>
  </si>
  <si>
    <t xml:space="preserve">MID-H2a</t>
  </si>
  <si>
    <t xml:space="preserve">a. Tarjoa tuki pelin sisällä (muodon sisässä pelaaminen)</t>
  </si>
  <si>
    <t xml:space="preserve">MID-H2b</t>
  </si>
  <si>
    <t xml:space="preserve">b. Tarjoa tuki niin, että saat edun suoraan vastustajaasi nähden</t>
  </si>
  <si>
    <t xml:space="preserve">MID-H2c</t>
  </si>
  <si>
    <t xml:space="preserve">c. Tarjoa tuki pelin jatkuvuuden takaamiseksi</t>
  </si>
  <si>
    <t xml:space="preserve">MID-H2d</t>
  </si>
  <si>
    <t xml:space="preserve">d. Tarjoa hätätuki pallolliselle paineen alla</t>
  </si>
  <si>
    <t xml:space="preserve">MID-H2e</t>
  </si>
  <si>
    <t xml:space="preserve">e. Avaa syöttölinjoja muille pelaajille omalla liikkeelläsi</t>
  </si>
  <si>
    <t xml:space="preserve">3. PELIN AVAAMISEN VARMISTAMINEN</t>
  </si>
  <si>
    <t xml:space="preserve">1: Ei näyttäydy avausvaiheessa; avaus ohittaa keskikentän
3: Tukee avausta luotettavasti ensimmäisen linjan pelaajille
5: Tekee avausvaiheesta hallittua: liikkuu oikeaan tilaan oikeaan aikaan, tarvittaessa oman pelipaikan ulkopuolelle</t>
  </si>
  <si>
    <t xml:space="preserve">MID-H3a*</t>
  </si>
  <si>
    <t xml:space="preserve">a*. Tarjoa jatkuvuustuki ensimmäisen linjan pelaajille (toppareille)</t>
  </si>
  <si>
    <t xml:space="preserve">MID-H3b*</t>
  </si>
  <si>
    <t xml:space="preserve">b*. Tarjoa tuki toisen linjan pelaajille</t>
  </si>
  <si>
    <t xml:space="preserve">MID-H3c*</t>
  </si>
  <si>
    <t xml:space="preserve">c*. Tarjoa tuki tarvittaessa oman pelipaikan ulkopuolelta</t>
  </si>
  <si>
    <t xml:space="preserve">4. HYÖKKÄYSPELIN ORGANISOINTI</t>
  </si>
  <si>
    <t xml:space="preserve">1: Turhia kuljetuksia ja riskisyöttöjä; peli pysähtyy hänen kohdallaan
3: Organisoi peliä syöttämällä; ohjaa pelin edullisille alueille tilanteen salliessa
5: Pelin rytmittäjä: eteneminen–riski-suhde optimaalinen, syötöt antavat vastaanottajalle edun, liike jatkuu syötön jälkeen</t>
  </si>
  <si>
    <t xml:space="preserve">MID-H4a</t>
  </si>
  <si>
    <t xml:space="preserve">a. Suosi syöttöpeliä kuljettamisen sijaan</t>
  </si>
  <si>
    <t xml:space="preserve">MID-H4b</t>
  </si>
  <si>
    <t xml:space="preserve">b. Hae etenevää peliä minimoiden pallonmenetyksen riski</t>
  </si>
  <si>
    <t xml:space="preserve">MID-H4c</t>
  </si>
  <si>
    <t xml:space="preserve">c. Ohjaa peli edullisille alueille</t>
  </si>
  <si>
    <t xml:space="preserve">MID-H4d</t>
  </si>
  <si>
    <t xml:space="preserve">d. Liikuta palloa, kun edullisia alueita ei ole tarjolla</t>
  </si>
  <si>
    <t xml:space="preserve">MID-H4e</t>
  </si>
  <si>
    <t xml:space="preserve">e. Syötä niin, että vastaanottaja saa edun (syöttö etuun)</t>
  </si>
  <si>
    <t xml:space="preserve">MID-H4f</t>
  </si>
  <si>
    <t xml:space="preserve">f. Tarjoa jatkuvuus pelille syötön jälkeen (liike syötön jälkeen)</t>
  </si>
  <si>
    <t xml:space="preserve">Mikä pelitilanne tuntuu vaikeimmalta ja miksi (esim. vastaanotto prässin alla, keskustan puolustaminen alivoimassa, pelin kääntäminen)?</t>
  </si>
  <si>
    <t xml:space="preserve">Keneltä huippukeskikenttäpelaajalta otan mallia ja mitä konkreettista hänen pelistään?</t>
  </si>
  <si>
    <t xml:space="preserve">HYÖKKÄÄVÄ KESKIKENTTÄPELAAJA (AMID) – skouttaus + itsearviointi + kehityskeskustelu samalla sivulla</t>
  </si>
  <si>
    <t xml:space="preserve">1: Irtoaa keskikenttälinjasta; jättää keskustan auki prässätessään
3: Pitää tasapainon leveys- ja syvyyssuunnassa keskialueella
5: Tasapainottaa linjaa ennakoivasti; prässin ja tasapainon valinta aina perusteltu</t>
  </si>
  <si>
    <t xml:space="preserve">AMID-P1a</t>
  </si>
  <si>
    <t xml:space="preserve">AMID-P1b</t>
  </si>
  <si>
    <t xml:space="preserve">b. Pidä tasapaino syvyyssuunnassa keskikentän keskialueella</t>
  </si>
  <si>
    <t xml:space="preserve">2. PUOLUSTETTAVAN PELAAJAN TUNNISTAMINEN</t>
  </si>
  <si>
    <t xml:space="preserve">1: Ei tunnista, ketä puolustaa; sijoittuminen avaa syöttölinjoja
3: Tunnistaa puolustusvastuunsa ja sijoittuu oikein
5: Lukee edut ja haitat välittömästi; muuttaa sijoittumistaan ennen vastustajan ratkaisua</t>
  </si>
  <si>
    <t xml:space="preserve">AMID-P2a</t>
  </si>
  <si>
    <t xml:space="preserve">a. Sijoitu oikeassa peliasennossa / tunnista puolustukselliset edut ja haitat</t>
  </si>
  <si>
    <t xml:space="preserve">AMID-P2b</t>
  </si>
  <si>
    <t xml:space="preserve">b. Hyödynnä saavutettu etu ja vältä puolustuksellisesti epäedulliset tilanteet</t>
  </si>
  <si>
    <t xml:space="preserve">1: Sisäkaistat auki; vastustaja kääntää pelin sisätuen kautta vapaasti
3: Peittää sisäkaistasyötöt ja pudottaa, kun syöttö ylittää
5: Sulkee keskustan ja käännöt johdonmukaisesti; prässin peittokulmat ohjaavat vastustajan haluttuun suuntaan</t>
  </si>
  <si>
    <t xml:space="preserve">AMID-P3a</t>
  </si>
  <si>
    <t xml:space="preserve">a. Estä syötöt pelaajille, jotka pelaavat sisäkaistoilla ja meitä syvempänä</t>
  </si>
  <si>
    <t xml:space="preserve">AMID-P3b</t>
  </si>
  <si>
    <t xml:space="preserve">b. Estä vastustajan mahdollisuus kääntää peliä sisätuen kautta</t>
  </si>
  <si>
    <t xml:space="preserve">AMID-P3c</t>
  </si>
  <si>
    <t xml:space="preserve">c. Puolusta taaksepäin (pudota), kun syöttö ylittää meidät</t>
  </si>
  <si>
    <t xml:space="preserve">1: Prässi ohitetaan; ei reagoi menetyksiin
3: Seuraa pallollista hallitusti ja vastaprässää lähimenetykset
5: Vastaprässin ensimmäinen ja tehokkain lenkki; vie aloitteen pallolliselta toistuvasti</t>
  </si>
  <si>
    <t xml:space="preserve">AMID-P4a</t>
  </si>
  <si>
    <t xml:space="preserve">a. Seuraa pallollista niin, ettei hän saa tilanteen aloitetta itselleen</t>
  </si>
  <si>
    <t xml:space="preserve">AMID-P4b</t>
  </si>
  <si>
    <t xml:space="preserve">b. Prässää välittömästi, kun joukkueemme menettää pallon lähellämme (vastaprässi)</t>
  </si>
  <si>
    <t xml:space="preserve">5. VASTAHYÖKKÄYKSIIN VALMISTAUTUMINEN</t>
  </si>
  <si>
    <t xml:space="preserve">1: Ei tarjoa ulospääsyä purkupalloille
3: Tarjoutuu pelattavaksi tilanteenvaihdossa
5: Käynnistää vastahyökkäykset: tuki syvyyteen ja jatkuvuus välittömästi voiton jälkeen</t>
  </si>
  <si>
    <t xml:space="preserve">AMID-P5a*</t>
  </si>
  <si>
    <t xml:space="preserve">a*. Tarjoa tuki syvyyteen tilanteenvaihdon käynnistämiseksi</t>
  </si>
  <si>
    <t xml:space="preserve">AMID-P5b*</t>
  </si>
  <si>
    <t xml:space="preserve">b*. Takaa vastahyökkäyksen jatkuvuus (ensimmäinen pelattava syöttösuunta purkupallolle)</t>
  </si>
  <si>
    <t xml:space="preserve">6. JATKOTILANTEIDEN ENNAKOINTI</t>
  </si>
  <si>
    <t xml:space="preserve">1: Ei katkoja; irtopallot vastustajalle
3: Katkoo syöttöjä ja voittaa irtopalloja alueellaan
5: Ennakoi katkot ja irtopallot oman rangaistusalueen edustalla ennen muita</t>
  </si>
  <si>
    <t xml:space="preserve">AMID-P6a</t>
  </si>
  <si>
    <t xml:space="preserve">a. Ennakoi syötöt (katkot omalla pelialueella)</t>
  </si>
  <si>
    <t xml:space="preserve">AMID-P6b</t>
  </si>
  <si>
    <t xml:space="preserve">b. Ennakoi irtopallot oman rangaistusalueen edustalla</t>
  </si>
  <si>
    <t xml:space="preserve">1: Katse lukittuu palloon; vastaanotot selkä pelisuuntaan ilman tietoa
3: Skannaa säännöllisesti ennen vastaanottoa; peliasento pääosin avoin
5: Skannaa korkealla frekvenssillä ahtaimmissakin tiloissa; kääntyy paineen alla oikeaan suuntaan, koska ratkaisu on valmiina</t>
  </si>
  <si>
    <t xml:space="preserve">AMID-H0a</t>
  </si>
  <si>
    <t xml:space="preserve">AMID-H0b</t>
  </si>
  <si>
    <t xml:space="preserve">AMID-H0c</t>
  </si>
  <si>
    <t xml:space="preserve">1: Sisäkaistat tyhjenevät tai ruuhkautuvat hänen takiaan; liikkuu pois paikaltaan ilman perustetta
3: Tasapainottaa sisäkaistojen tilat ja säilyttää diagonaalisuuden
5: Tilojen tasapainotus palvelee koko joukkueen organisaatiota; pelipaikan jättäminen aina harkittu ja perusteltu</t>
  </si>
  <si>
    <t xml:space="preserve">AMID-H1a</t>
  </si>
  <si>
    <t xml:space="preserve">a. Tasapainota sisäkaistojen tilat</t>
  </si>
  <si>
    <t xml:space="preserve">AMID-H1b</t>
  </si>
  <si>
    <t xml:space="preserve">AMID-H1c</t>
  </si>
  <si>
    <t xml:space="preserve">c. Tasapainota ensisijaisesti tilat joukkueen oikean organisaation takaamiseksi (harkitse, jätätkö oman pelipaikkasi vai et)</t>
  </si>
  <si>
    <t xml:space="preserve">1: Ei löydä taskuja; tuet ilman etua; ei syvyysuhkaa
3: Tarjoaa tuen linjojen välissä ja tekee syvyysjuoksuja tilanteen salliessa
5: Elää taskuissa vastustajalta piilossa; vuorottelee pudottautumisen ja syvyysjuoksujen välillä lukukelvottomasti; luo epätasapainoa jatkuvasti</t>
  </si>
  <si>
    <t xml:space="preserve">AMID-H2a</t>
  </si>
  <si>
    <t xml:space="preserve">a. Tarjoa tuki vastustajan keskikenttä- ja puolustuslinjan välissä (linjojen välissä, "taskuissa")</t>
  </si>
  <si>
    <t xml:space="preserve">AMID-H2b</t>
  </si>
  <si>
    <t xml:space="preserve">b. Tarjoa tuki niin, että saat edun lähimpään vastustajaan nähden</t>
  </si>
  <si>
    <t xml:space="preserve">AMID-H2c</t>
  </si>
  <si>
    <t xml:space="preserve">AMID-H2d</t>
  </si>
  <si>
    <t xml:space="preserve">d. Tarjoa hätätuki, tarvittaessa selkä kohti vastustajan maalia</t>
  </si>
  <si>
    <t xml:space="preserve">AMID-H2e</t>
  </si>
  <si>
    <t xml:space="preserve">e. Tee vapaita juoksuja syvyyteen saadaksesi edun tai luodaksesi epätasapainotilanteita</t>
  </si>
  <si>
    <t xml:space="preserve">1: Ei osallistu avaukseen; jää linjojen väliin passiiviseksi
3: Pudottautuu tukemaan avausta oikeissa tilanteissa
5: Tunnistaa avausvaiheen tarpeet ja liikkuu tueksi oikeaan tilaan, tarvittaessa oman pelipaikan ulkopuolelle</t>
  </si>
  <si>
    <t xml:space="preserve">AMID-H3a*</t>
  </si>
  <si>
    <t xml:space="preserve">a*. Tarjoa tuki toisen linjan pelaajille pudottautumalla</t>
  </si>
  <si>
    <t xml:space="preserve">AMID-H3b*</t>
  </si>
  <si>
    <t xml:space="preserve">b*. Tarjoa tuki tarvittaessa oman pelipaikan ulkopuolelta</t>
  </si>
  <si>
    <t xml:space="preserve">1: Peli pysähtyy; syötöt ilman etua; ei liikettä syötön jälkeen
3: Hakee etenevää peliä ja ohjaa pelin edullisille alueille
5: Viimeisen kolmanneksen pelinrakentaja: murtavat syötöt etuun, jatkuva liike, ratkaisut nopeuttavat peliä</t>
  </si>
  <si>
    <t xml:space="preserve">AMID-H4a</t>
  </si>
  <si>
    <t xml:space="preserve">a. Hae tai pyri edistämään peliä</t>
  </si>
  <si>
    <t xml:space="preserve">AMID-H4b</t>
  </si>
  <si>
    <t xml:space="preserve">b. Ohjaa peli edullisille alueille</t>
  </si>
  <si>
    <t xml:space="preserve">AMID-H4c</t>
  </si>
  <si>
    <t xml:space="preserve">c. Liikuta palloa, kun edullisia alueita ei ole tunnistettavissa</t>
  </si>
  <si>
    <t xml:space="preserve">AMID-H4d</t>
  </si>
  <si>
    <t xml:space="preserve">d. Syötä niin, että joukkuetoveri saa edun (syöttö etuun)</t>
  </si>
  <si>
    <t xml:space="preserve">AMID-H4e</t>
  </si>
  <si>
    <t xml:space="preserve">e. Tarjoa jatkuvuus pelille syötön jälkeen (liike syötön jälkeen)</t>
  </si>
  <si>
    <t xml:space="preserve">5. LAITAPALLOT JA KESKITYKSET</t>
  </si>
  <si>
    <t xml:space="preserve">1: Ei liiku rangaistusalueelle keskityksissä
3: Hyökkää tyhjään tilaan joukkuetoverin keskittäessä
5: Ajoittaa juoksut rangaistusalueelle erinomaisesti (myöhäinen liike, irtopallotila); jatkuva maaliuhka keskityksistä</t>
  </si>
  <si>
    <t xml:space="preserve">AMID-H5a</t>
  </si>
  <si>
    <t xml:space="preserve">a. Hyökkää tyhjiin tiloihin joukkuetoverin keskittäessä</t>
  </si>
  <si>
    <t xml:space="preserve">Max 60 p (12 teemaa). Ero-sarake = valmentajan arvio − itsearvio: suuret erot ovat kehityskeskustelun ydin.</t>
  </si>
  <si>
    <t xml:space="preserve">Mikä pelitilanne tuntuu vaikeimmalta ja miksi (esim. vastaanotto taskussa paineen alla, vastaprässin ajoitus, juoksujen ajoitus boksiin)?</t>
  </si>
  <si>
    <t xml:space="preserve">Keneltä huippukympiltä otan mallia ja mitä konkreettista hänen pelistään?</t>
  </si>
  <si>
    <t xml:space="preserve">KESKUSHYÖKKÄÄJÄ (ST) – skouttaus + itsearviointi + kehityskeskustelu samalla sivulla</t>
  </si>
  <si>
    <t xml:space="preserve">1: Irtoaa joukkueen puolustusryhmityksestä; väärä etäisyys keskikenttään
3: Pitää oikean etäisyyden ja sijainnin joukkueen puolustaessa
5: Sitoo puolustusryhmityksen yhteen; etäisyydet optimaaliset kaikissa vaiheissa</t>
  </si>
  <si>
    <t xml:space="preserve">ST-P1a</t>
  </si>
  <si>
    <t xml:space="preserve">a. Pidä hyökkäyksen keskustan tasapaino syvyyssuunnassa</t>
  </si>
  <si>
    <t xml:space="preserve">ST-P1b</t>
  </si>
  <si>
    <t xml:space="preserve">b. Pidä hyökkäyksen keskustan tasapaino leveyssuunnassa</t>
  </si>
  <si>
    <t xml:space="preserve">1: Prässi ilman suuntaa; ei yhteispeliä kärkiparin kanssa
3: Ohjaa vastustajan pelin laidalle; toimii kärkiparissa oikein
5: Prässin ohjaus tekee vastustajan avauksesta ennustettavaa; kärkiparin varmistukset saumattomia</t>
  </si>
  <si>
    <t xml:space="preserve">ST-P2a</t>
  </si>
  <si>
    <t xml:space="preserve">a. Perustasapaino + vastustajan pelin ohjaaminen laidalle (yhden kärjen ryhmitys)</t>
  </si>
  <si>
    <t xml:space="preserve">ST-P2b</t>
  </si>
  <si>
    <t xml:space="preserve">b. Perustasapaino + varmistus kärkiparille (kahden kärjen ryhmitys)</t>
  </si>
  <si>
    <t xml:space="preserve">1: Topparit etenevät ja kääntävät vapaasti; ei pudota ylityksen jälkeen
3: Estää topparin etenemisen ja peittää sisäkaistat luotettavasti
5: Sulkee keskustan ja käännöt peittokulmillaan; puolustustyö jatkuu pallon ylitettyäkin</t>
  </si>
  <si>
    <t xml:space="preserve">ST-P3a</t>
  </si>
  <si>
    <t xml:space="preserve">a. Estä keskustopparin eteneminen pallon kanssa</t>
  </si>
  <si>
    <t xml:space="preserve">ST-P3b</t>
  </si>
  <si>
    <t xml:space="preserve">b. Estä syötöt sisäkaistojen pelaajille</t>
  </si>
  <si>
    <t xml:space="preserve">ST-P3c</t>
  </si>
  <si>
    <t xml:space="preserve">c. Puolusta taaksepäin (pudota), jos pallo ylittää meidät</t>
  </si>
  <si>
    <t xml:space="preserve">ST-P3d</t>
  </si>
  <si>
    <t xml:space="preserve">d. Estä vastustajan pelinkääntö</t>
  </si>
  <si>
    <t xml:space="preserve">1: Prässi ohitetaan helposti; ei reagoi menetyksiin
3: Prässää ohjaten ja vastaprässää lähimenetykset
5: Ensimmäisen prässilinjan johtaja: ohjaava prässi + välitön vastaprässi johdonmukaisesti</t>
  </si>
  <si>
    <t xml:space="preserve">ST-P4a</t>
  </si>
  <si>
    <t xml:space="preserve">a. Seuraa pallollista ohjaten samalla vastustajan peliä haluttuun suuntaan</t>
  </si>
  <si>
    <t xml:space="preserve">ST-P4b</t>
  </si>
  <si>
    <t xml:space="preserve">b. Älä anna vastustajan ohittaa itseäsi helposti</t>
  </si>
  <si>
    <t xml:space="preserve">ST-P4c</t>
  </si>
  <si>
    <t xml:space="preserve">c. Prässää välittömästi, kun joukkueemme menettää pallon (vastaprässi)</t>
  </si>
  <si>
    <t xml:space="preserve">1: Ei tarjoa ulospääsyä purkupalloille
3: Tarjoutuu syvyystueksi tilanteenvaihdossa
5: Jatkuva syvyysuhka pallonvoitoissa; ensimmäinen pelattava aina olemassa</t>
  </si>
  <si>
    <t xml:space="preserve">ST-P5a</t>
  </si>
  <si>
    <t xml:space="preserve">a. Tarjoa tuki syvyyteen tilanteenvaihdon käynnistämiseksi</t>
  </si>
  <si>
    <t xml:space="preserve">1: Reagoi myöhässä prässipaikkoihin
3: Tunnistaa prässäysmahdollisuudet ja menetysriskit ajoissa
5: Käynnistää joukkueen prässin lukemalla vastustajan huonot kosketukset ja syötöt ennakolta</t>
  </si>
  <si>
    <t xml:space="preserve">ST-P6a</t>
  </si>
  <si>
    <t xml:space="preserve">a. Ennakoi prässäysmahdollisuudet</t>
  </si>
  <si>
    <t xml:space="preserve">ST-P6b</t>
  </si>
  <si>
    <t xml:space="preserve">b. Ennakoi pallonmenetyksen mahdollisuudet</t>
  </si>
  <si>
    <t xml:space="preserve">1: Katse lukittuu palloon; vastaanotot selkä maalille ilman tietoa vartijasta
3: Skannaa säännöllisesti; tietää vartijan sijainnin vastaanottaessaan
5: Skannaa jatkuvasti selkä maalille pelatessaan; tietää aina puolustajan sijainnin ja kääntymissuunnan</t>
  </si>
  <si>
    <t xml:space="preserve">ST-H0a</t>
  </si>
  <si>
    <t xml:space="preserve">a. Diagonaalinen sijoittuminen suhteessa pallolliseen pelaajaan</t>
  </si>
  <si>
    <t xml:space="preserve">ST-H0b</t>
  </si>
  <si>
    <t xml:space="preserve">ST-H0c*</t>
  </si>
  <si>
    <t xml:space="preserve">c*. Pään kääntäminen (skannaus) näkökentän täydentämiseksi ennen vastaanottoa ja sen aikana</t>
  </si>
  <si>
    <t xml:space="preserve">1. TILAN LUOMINEN JA SYVYYDEN TUOTTAMINEN HYÖKKÄYKSEEN (asemahyökkäys)</t>
  </si>
  <si>
    <t xml:space="preserve">1: Ei syvyysuhkaa; valuu liian alas jatkuvasti
3: Varmistaa hyökkäyksen syvyyden ja palauttaa tasapainon liikkeidensä jälkeen
5: Venyttää vastustajan puolustuslinjaa jatkuvasti; syvyysuhka luo tilat koko joukkueelle</t>
  </si>
  <si>
    <t xml:space="preserve">ST-H1a</t>
  </si>
  <si>
    <t xml:space="preserve">a. Varmista hyökkäyksen syvyys</t>
  </si>
  <si>
    <t xml:space="preserve">ST-H1b</t>
  </si>
  <si>
    <t xml:space="preserve">b. Palauta hyökkäyksen tasapaino</t>
  </si>
  <si>
    <t xml:space="preserve">2. HYÖKKÄYKSEN LIIKUTTAMINEN</t>
  </si>
  <si>
    <t xml:space="preserve">1: Staattinen; juoksut väärään aikaan tai paitsioon; ei liiku syötön jälkeen
3: Tekee vapaita juoksuja selustaan ja liikkuu syötön jälkeen
5: Juoksujen ajoitus ja vaihtelu (selusta/jalkoihin) lukukelvotonta; luo tilaa myös muille liikkeillään</t>
  </si>
  <si>
    <t xml:space="preserve">ST-H2a</t>
  </si>
  <si>
    <t xml:space="preserve">a. Vapaat juoksut kohti maalia tavoitteena päästä puolustajan taakse (selustaan)</t>
  </si>
  <si>
    <t xml:space="preserve">ST-H2b</t>
  </si>
  <si>
    <t xml:space="preserve">b. Tarjoudu tueksi luodaksesi oman syöttömahdollisuutesi</t>
  </si>
  <si>
    <t xml:space="preserve">ST-H2c</t>
  </si>
  <si>
    <t xml:space="preserve">c. Vapaat juoksut syötön jälkeen (liike syötön jälkeen)</t>
  </si>
  <si>
    <t xml:space="preserve">ST-H2d</t>
  </si>
  <si>
    <t xml:space="preserve">d. Luo itsellesi syöttölinja omalla liikkeelläsi</t>
  </si>
  <si>
    <t xml:space="preserve">ST-H2e</t>
  </si>
  <si>
    <t xml:space="preserve">e. Luo tilaa joukkuetovereille omalla liikkeelläsi</t>
  </si>
  <si>
    <t xml:space="preserve">3. TUKIEN TARJOAMINEN</t>
  </si>
  <si>
    <t xml:space="preserve">1: Ei pelattavissa paineen alla; pudottautumiset tyhjiä
3: Pudottautuu tueksi ja pitää pallon joukkueella
5: Selkä maalille -peli erinomaista: pito, seinäsyötöt ja kääntymiset paineen alla</t>
  </si>
  <si>
    <t xml:space="preserve">ST-H3a</t>
  </si>
  <si>
    <t xml:space="preserve">a. Tarjoa jatkuvuustuki ensimmäisen linjan pelaajille</t>
  </si>
  <si>
    <t xml:space="preserve">ST-H3b</t>
  </si>
  <si>
    <t xml:space="preserve">b. Tarjoa tuki toisen linjan pelaajille pudottautumalla</t>
  </si>
  <si>
    <t xml:space="preserve">ST-H3c</t>
  </si>
  <si>
    <t xml:space="preserve">c. Tarjoa tuki tarvittaessa oman pelipaikan ulkopuolelta</t>
  </si>
  <si>
    <t xml:space="preserve">4. LAITAPALLOT JA KESKITYKSET</t>
  </si>
  <si>
    <t xml:space="preserve">1: Ei liiku rangaistusalueelle keskityksissä; väärät juoksuradat
3: Hyökkää keskityksiin oikea-aikaisesti
5: Juoksuradat (ykköstolppa/kakkostolppa/rankkaripiste) vaihtelevat ja ajoitus erinomainen; takatuki päätyrajatilanteissa</t>
  </si>
  <si>
    <t xml:space="preserve">ST-H4a</t>
  </si>
  <si>
    <t xml:space="preserve">a. Hyökkää keskityksiin liikkumalla kohti rangaistusaluetta ja sen sisälle</t>
  </si>
  <si>
    <t xml:space="preserve">ST-H4b</t>
  </si>
  <si>
    <t xml:space="preserve">b. Tarjoa takatuki (pudottautuen), kun pallollinen pääsee päätyrajalle</t>
  </si>
  <si>
    <t xml:space="preserve">5. HYÖKKÄÄMINEN RANGAISTUSALUEELLA</t>
  </si>
  <si>
    <t xml:space="preserve">1: Epäröi laukaista; itsekäs tai liian epäitsekäs väärissä tilanteissa
3: Laukaisee ja valitsee syötön oikein normaalitilanteissa
5: Kylmäverinen viimeistelijä: laukaus/syöttö-valinta optimaalinen, maalintekopaikat käytetään</t>
  </si>
  <si>
    <t xml:space="preserve">ST-H5a</t>
  </si>
  <si>
    <t xml:space="preserve">a. Laukaise kohti maalia</t>
  </si>
  <si>
    <t xml:space="preserve">ST-H5b</t>
  </si>
  <si>
    <t xml:space="preserve">b. Hyökkää maalille rangaistusalueen sisällä</t>
  </si>
  <si>
    <t xml:space="preserve">ST-H5c</t>
  </si>
  <si>
    <t xml:space="preserve">c. Syötä pallo paremmassa paikassa olevalle joukkuetoverille</t>
  </si>
  <si>
    <t xml:space="preserve">6. EDUN HYÖDYNTÄMINEN JA SÄILYTTÄMINEN</t>
  </si>
  <si>
    <t xml:space="preserve">1: Ei tunnista etutilanteita; peli hidastuu hänen kohdallaan
3: Hyödyntää 1v1- ja ylivoimatilanteet tilanteen salliessa
5: Tunnistaa ja hyödyntää edut välittömästi; ratkaisut maksimoivat joukkueen hyödyn</t>
  </si>
  <si>
    <t xml:space="preserve">ST-H6a</t>
  </si>
  <si>
    <t xml:space="preserve">a. Yksilöllinen etu (hyödynnä 1v1-tilanne)</t>
  </si>
  <si>
    <t xml:space="preserve">ST-H6b</t>
  </si>
  <si>
    <t xml:space="preserve">b. Joukkueen etu (hyödynnä ylivoimatilanne)</t>
  </si>
  <si>
    <t xml:space="preserve">7. JATKOTILANTEIDEN ENNAKOINTI</t>
  </si>
  <si>
    <t xml:space="preserve">1: Yllättyy irtopalloista; seuraa peliä paikaltaan
3: Reagoi torjuntoihin ja pudotuksiin ajoissa
5: "Haaskalintu": ennakoi torjunnat, purkupallot ja pudotukset ennen puolustajia</t>
  </si>
  <si>
    <t xml:space="preserve">ST-H7a</t>
  </si>
  <si>
    <t xml:space="preserve">a. Ennakoi syötöt ja purkupallot</t>
  </si>
  <si>
    <t xml:space="preserve">ST-H7b</t>
  </si>
  <si>
    <t xml:space="preserve">b. Ennakoi maalivahdin torjunnasta irtoava pallo</t>
  </si>
  <si>
    <t xml:space="preserve">ST-H7c</t>
  </si>
  <si>
    <t xml:space="preserve">c. Ennakoi pudotus, kun joukkuetoveri hyppää pääpallokamppailuun vastustajan kanssa</t>
  </si>
  <si>
    <t xml:space="preserve">Mikä pelitilanne tuntuu vaikeimmalta ja miksi (esim. selkä maalille -peli paineessa, juoksujen ajoitus paitsiolinjalla, viimeistely vasemmalla)?</t>
  </si>
  <si>
    <t xml:space="preserve">Keneltä huippukeskushyökkääjältä otan mallia ja mitä konkreettista hänen pelistään?</t>
  </si>
  <si>
    <t xml:space="preserve">LAITURI (WI) – skouttaus + itsearviointi + kehityskeskustelu samalla sivulla</t>
  </si>
  <si>
    <t xml:space="preserve">1: Jää ylös puolustusvaiheessa; irtoaa ryhmityksestä
3: Pitää tasapainon leveys- ja syvyyssuunnassa laidalla
5: Sijainti laidalla optimaalinen kaikissa puolustusvaiheissa; valmis sekä puolustamaan että vastahyökkäämään</t>
  </si>
  <si>
    <t xml:space="preserve">WI-P1a</t>
  </si>
  <si>
    <t xml:space="preserve">a. Pidä tasapaino leveyssuunnassa laidalla</t>
  </si>
  <si>
    <t xml:space="preserve">WI-P1b</t>
  </si>
  <si>
    <t xml:space="preserve">b. Pidä tasapaino syvyyssuunnassa laidalla</t>
  </si>
  <si>
    <t xml:space="preserve">1: Kadottaa vastustajan laitapuolustajan; syöttölinjat auki
3: Tunnistaa merkattavan ja peittää syöttölinjat
5: Sulkee vastustajan laidan kokonaan: merkattava ei saa palloa pelattavaan asentoon</t>
  </si>
  <si>
    <t xml:space="preserve">WI-P2a</t>
  </si>
  <si>
    <t xml:space="preserve">a. Tunnista merkattava pelaaja</t>
  </si>
  <si>
    <t xml:space="preserve">WI-P2b</t>
  </si>
  <si>
    <t xml:space="preserve">b. Vähennä vastustajan vastaanottovaihtoehtoja</t>
  </si>
  <si>
    <t xml:space="preserve">1: Sisäkaista auki; ei pudota; vastustajan laitapuolustaja nousee vapaasti
3: Peittää sisäkaistan, pudottaa ja seuraa nousevaa laitapuolustajaa
5: Puolustaa laidan tilat aukottomasti ja kaventaa auttamaan; nousut eivät yllätä koskaan</t>
  </si>
  <si>
    <t xml:space="preserve">WI-P3a</t>
  </si>
  <si>
    <t xml:space="preserve">a. Estä syötöt sisäkaistojen pelaajille</t>
  </si>
  <si>
    <t xml:space="preserve">WI-P3b</t>
  </si>
  <si>
    <t xml:space="preserve">b. Puolusta taaksepäin (pudota), jos pallo ylittää oman sijaintisi</t>
  </si>
  <si>
    <t xml:space="preserve">WI-P3c</t>
  </si>
  <si>
    <t xml:space="preserve">c. Puolusta sisätilaa (kavenna) auttaaksesi laidan puolustusta</t>
  </si>
  <si>
    <t xml:space="preserve">WI-P3d</t>
  </si>
  <si>
    <t xml:space="preserve">d. Seuraa vastustajan laitapuolustajaa, jos tämä nousee seuraavalle linjalle</t>
  </si>
  <si>
    <t xml:space="preserve">1: Ohitetaan helposti 1v1; ei reagoi menetyksiin
3: Prässää hallitusti ja vastaprässää lähimenetykset
5: Voittaa laidan 1v1-puolustustilanteet; vastaprässin ajoitus välitön</t>
  </si>
  <si>
    <t xml:space="preserve">WI-P4a</t>
  </si>
  <si>
    <t xml:space="preserve">a. Älä anna vastustajan ohittaa itseäsi helposti</t>
  </si>
  <si>
    <t xml:space="preserve">WI-P4b</t>
  </si>
  <si>
    <t xml:space="preserve">b. Prässää välittömästi, kun joukkueemme menettää pallon (vastaprässi)</t>
  </si>
  <si>
    <t xml:space="preserve">1: Ei lähde vastahyökkäyksiin; eteneminen katkeaa häneen
3: Etenee syvyyteen aalloissa ja tukee pallon puolella
5: Vastahyökkäysten kärkiase: ensimmäisen/toisen aallon juoksut ja jatkuvuus molemmilta laidoilta</t>
  </si>
  <si>
    <t xml:space="preserve">WI-P5a</t>
  </si>
  <si>
    <t xml:space="preserve">a. Etene syvyyteen ensimmäisessä tai toisessa aallossa (vastakkainen laita)</t>
  </si>
  <si>
    <t xml:space="preserve">WI-P5b</t>
  </si>
  <si>
    <t xml:space="preserve">b. Takaa etenemisen jatkuvuus pallon puolella</t>
  </si>
  <si>
    <t xml:space="preserve">1: Reagoi myöhässä prässipaikkoihin ja menetyksiin
3: Tunnistaa prässäysmahdollisuudet ja menetysriskit ajoissa
5: Lukee vastustajan avauksen heikot hetket ja käynnistää prässin laidalta ennakoivasti</t>
  </si>
  <si>
    <t xml:space="preserve">WI-P6a</t>
  </si>
  <si>
    <t xml:space="preserve">WI-P6b</t>
  </si>
  <si>
    <t xml:space="preserve">1: Katse lukittuu palloon; ei tiedä laitapuolustajan sijaintia vastaanottaessaan
3: Skannaa säännöllisesti ennen vastaanottoa; peliasento pääosin avoin
5: Skannaa korkealla frekvenssillä; tietää aina puolustajan etäisyyden ja valitsee 1v1/syöttö/sisäänleikkaus ennen palloa</t>
  </si>
  <si>
    <t xml:space="preserve">WI-H0a*</t>
  </si>
  <si>
    <t xml:space="preserve">a*. Diagonaalinen sijoittuminen suhteessa pallolliseen pelaajaan</t>
  </si>
  <si>
    <t xml:space="preserve">WI-H0b*</t>
  </si>
  <si>
    <t xml:space="preserve">b*. Avoin peliasento, joka mahdollistaa maksimaalisen tiedonkeruun</t>
  </si>
  <si>
    <t xml:space="preserve">WI-H0c*</t>
  </si>
  <si>
    <t xml:space="preserve">1. LEVEYDEN TAKAAMINEN</t>
  </si>
  <si>
    <t xml:space="preserve">1: Kaventaa väärään aikaan; ryhmitys menettää leveyden
3: Pitää leveyden ja kaventaa oikeissa tilanteissa
5: Leveyden ja kaventamisen rytmitys venyttää vastustajaa jatkuvasti; palauttaa leveyden automaattisesti</t>
  </si>
  <si>
    <t xml:space="preserve">WI-H1a</t>
  </si>
  <si>
    <t xml:space="preserve">a. Takaa hyökkäyksen leveys</t>
  </si>
  <si>
    <t xml:space="preserve">WI-H1b</t>
  </si>
  <si>
    <t xml:space="preserve">b. Kavenna, kun lähestymme vastustajan päätyaluetta (viimeistelyvyöhykettä)</t>
  </si>
  <si>
    <t xml:space="preserve">WI-H1c</t>
  </si>
  <si>
    <t xml:space="preserve">c. Palauta hyökkäyksen leveys ensimmäisen toiminnon jälkeen</t>
  </si>
  <si>
    <t xml:space="preserve">1: Staattinen laidalla; liikkeet ilman tarkoitusta
3: Tekee vapaita juoksuja ja liikkuu syötön jälkeen
5: Juoksujen vaihtelu (maalia kohti, tueksi, syötön jälkeen) jatkuvaa ja lukukelvotonta; luo tilaa myös laitapuolustajan nousuille</t>
  </si>
  <si>
    <t xml:space="preserve">WI-H2a</t>
  </si>
  <si>
    <t xml:space="preserve">a. Vapaa juoksu kohti maalia</t>
  </si>
  <si>
    <t xml:space="preserve">WI-H2b</t>
  </si>
  <si>
    <t xml:space="preserve">b. Vapaa juoksu tueksi oman edun saamiseksi</t>
  </si>
  <si>
    <t xml:space="preserve">WI-H2c</t>
  </si>
  <si>
    <t xml:space="preserve">c. Vapaa juoksu syötön jälkeen (liike syötön jälkeen)</t>
  </si>
  <si>
    <t xml:space="preserve">WI-H2d</t>
  </si>
  <si>
    <t xml:space="preserve">d. Luo itsellesi tila vapaaksi liikkumiseen</t>
  </si>
  <si>
    <t xml:space="preserve">WI-H2e</t>
  </si>
  <si>
    <t xml:space="preserve">e. Luo tilaa joukkuetoverille omalla liikkeelläsi</t>
  </si>
  <si>
    <t xml:space="preserve">1: Ei pelattavissa rakentelussa; pysyy vain rajalla
3: Tarjoaa jatkuvuustuet ja tukee sisään pelaamista
5: Vuorottelee laidan ja sisäkaistan tuet tilanteen mukaan; pelattavissa aina</t>
  </si>
  <si>
    <t xml:space="preserve">WI-H3a</t>
  </si>
  <si>
    <t xml:space="preserve">a. Tarjoa jatkuvuustuet omalta pelipaikaltasi</t>
  </si>
  <si>
    <t xml:space="preserve">WI-H3b</t>
  </si>
  <si>
    <t xml:space="preserve">b. Tarjoa tuki sisään pelaamiseen (tuki sisäkaistalta)</t>
  </si>
  <si>
    <t xml:space="preserve">1: Keskitykset ilman osoitetta; ei liity boksiin vastakkaiselta laidalta
3: Keskittää käyttökelpoisesti ja liittyy boksiin oikeissa tilanteissa
5: Keskitysten laatu ja valinta (matala/korkea/kääntö) antavat kärjelle edun; takatolpan liittymiset automaattisia</t>
  </si>
  <si>
    <t xml:space="preserve">WI-H4a</t>
  </si>
  <si>
    <t xml:space="preserve">a. Keskitä niin, että keskushyökkääjä saa edun</t>
  </si>
  <si>
    <t xml:space="preserve">WI-H4b</t>
  </si>
  <si>
    <t xml:space="preserve">b. Liity viimeistelyalueelle (boksiin), kun peli etenee vastakkaisen laidan kautta</t>
  </si>
  <si>
    <t xml:space="preserve">1: Epäröi laukaista; väärät valinnat boksissa
3: Laukaisee ja valitsee syötön oikein normaalitilanteissa
5: Kylmäverinen boksissa: laukaus/syöttö-valinta optimaalinen, viimeistelee myös heikommalla jalalla</t>
  </si>
  <si>
    <t xml:space="preserve">WI-H5a</t>
  </si>
  <si>
    <t xml:space="preserve">WI-H5b</t>
  </si>
  <si>
    <t xml:space="preserve">WI-H5c</t>
  </si>
  <si>
    <t xml:space="preserve">1: Häviää 1v1-tilanteet; ensimmäinen kosketus tappaa edun
3: Voittaa 1v1-tilanteita tilaedulla ja säilyttää pallon ilman etua
5: Laidan ratkaisija: suuntaava kosketus luo edun, 1v1-voitot toistuvia, 2v1-tilanteiden luominen taktisesti taitavaa</t>
  </si>
  <si>
    <t xml:space="preserve">WI-H6a</t>
  </si>
  <si>
    <t xml:space="preserve">a. Hanki etu haltuunotolla (suuntaava ensimmäinen kosketus)</t>
  </si>
  <si>
    <t xml:space="preserve">WI-H6b</t>
  </si>
  <si>
    <t xml:space="preserve">b. Haasta puolustaja (1v1), kun sinulla on tilaetu</t>
  </si>
  <si>
    <t xml:space="preserve">WI-H6c</t>
  </si>
  <si>
    <t xml:space="preserve">c. Houkuttele vastustajan laitapelaaja itseesi luodaksesi 2v1-tilanteen</t>
  </si>
  <si>
    <t xml:space="preserve">WI-H6d</t>
  </si>
  <si>
    <t xml:space="preserve">d. Takaa pelin jatkuvuus liikuttamalla palloa, jos laidalla ei ole etua</t>
  </si>
  <si>
    <t xml:space="preserve">1: Seuraa peliä laidalta; ei toista aaltoa
3: Reagoi torjuntoihin ja pudotuksiin ajoissa
5: Ennakoi torjunnat ja pudotukset; toisen aallon laukaukset ja takatolpan irtopallot ovat vakioase</t>
  </si>
  <si>
    <t xml:space="preserve">WI-H7a</t>
  </si>
  <si>
    <t xml:space="preserve">WI-H7b</t>
  </si>
  <si>
    <t xml:space="preserve">WI-H7c</t>
  </si>
  <si>
    <t xml:space="preserve">Mikä pelitilanne tuntuu vaikeimmalta ja miksi (esim. 1v1 matalaa puolustusta vastaan, keskityksen laatu vauhdista, puolustustyö pitkissä otteluissa)?</t>
  </si>
  <si>
    <t xml:space="preserve">Keneltä huippulaiturilta otan mallia ja mitä konkreettista hänen pelistään?</t>
  </si>
  <si>
    <t xml:space="preserve">MAALIVAHTI (GK) – skouttaus + itsearviointi + kehityskeskustelu samalla sivulla</t>
  </si>
  <si>
    <t xml:space="preserve">1. PUOLUSTUSTASAPAINON YLLÄPITÄMINEN (sijoittuminen suhteessa peliin)</t>
  </si>
  <si>
    <t xml:space="preserve">1: Jää maaliviivalle korkeaa linjaa vastaan; sijainti ei elä pelin mukana
3: Pitää oikean syvyyden ja säätää sijaintiaan normaalitilanteissa
5: Sijainti optimaalinen jokaisessa pelin vaiheessa; lukee laukaisu- ja selustauhan tasapainon virheettömästi</t>
  </si>
  <si>
    <t xml:space="preserve">GK-P1a</t>
  </si>
  <si>
    <t xml:space="preserve">a. Pidä oikea syvyys suhteessa puolustuslinjaan – mitä korkeammalla linja, sitä korkeammalla maalivahti (selustan tilan hallinta)</t>
  </si>
  <si>
    <t xml:space="preserve">GK-P1b</t>
  </si>
  <si>
    <t xml:space="preserve">b. Säädä sijaintiasi jatkuvasti pallon sijainnin, pelitilanteen ja laukaisu-uhan mukaan (syvyys ja sivusuunta)</t>
  </si>
  <si>
    <t xml:space="preserve">GK-P1c</t>
  </si>
  <si>
    <t xml:space="preserve">c. Palauta perussijainti välittömästi tilanteen rikkoutuessa tai pallon vaihtaessa suuntaa</t>
  </si>
  <si>
    <t xml:space="preserve">2. SELUSTAN TILAN PUOLUSTAMINEN (sweeper-rooli)</t>
  </si>
  <si>
    <t xml:space="preserve">1: Ei tule linjan taakse; selustapallot vastustajalle; arka rangaistusalueen ulkopuolella
3: Katkaisee selkeät selustasyötöt ja pelaa pallot pois vaara-alueelta
5: Ennakoiva sweeper: katkaisee syvyyssyötöt aikaisin, ensimmäinen kosketus käynnistää pelin</t>
  </si>
  <si>
    <t xml:space="preserve">GK-P2a</t>
  </si>
  <si>
    <t xml:space="preserve">a. Ennakoi ja katkaise syötöt puolustuslinjan taakse jäävään tilaan</t>
  </si>
  <si>
    <t xml:space="preserve">GK-P2b</t>
  </si>
  <si>
    <t xml:space="preserve">b. Pelaa selustaan tulevat pallot rohkeasti myös rangaistusalueen ulkopuolella – ensimmäinen kosketus pois vaara-alueelta</t>
  </si>
  <si>
    <t xml:space="preserve">GK-P2c</t>
  </si>
  <si>
    <t xml:space="preserve">c. Viesti puolustuslinjalle jatkuvasti selustan tilasta ja vastustajan syvyysjuoksuista</t>
  </si>
  <si>
    <t xml:space="preserve">3. PELIN OHJAAMINEN JA KOMMUNIKAATIO</t>
  </si>
  <si>
    <t xml:space="preserve">1: Hiljainen; puolustus ei saa tietoa; reagoi vasta kun vaara on syntynyt
3: Ohjaa linjaa ja osoittaa merkkausvastuut normaalitilanteissa
5: Joukkueen puolustuksen johtaja: jatkuva, selkeä ja ennakoiva kommunikaatio koko ottelun ajan</t>
  </si>
  <si>
    <t xml:space="preserve">GK-P3a</t>
  </si>
  <si>
    <t xml:space="preserve">a. Ohjaa puolustuslinjan sijoittumista ja syvyyttä äänellä koko ottelun ajan (ainoa pelaaja, joka näkee koko kentän)</t>
  </si>
  <si>
    <t xml:space="preserve">GK-P3b</t>
  </si>
  <si>
    <t xml:space="preserve">b. Tunnista ja osoita merkkausvastuut: vapaat pelaajat, juoksut, epätasapaino</t>
  </si>
  <si>
    <t xml:space="preserve">GK-P3c</t>
  </si>
  <si>
    <t xml:space="preserve">c. Ohjaa joukkueen prässiä: milloin painetaan, milloin pudotaan</t>
  </si>
  <si>
    <t xml:space="preserve">4. MAALINTEON ESTÄMINEN (torjuminen)</t>
  </si>
  <si>
    <t xml:space="preserve">1: Väärät kulmat; irtopallot eteen keskelle; kaatuu 1v1-tilanteissa aikaisin
3: Torjuu odotetut laukaukset; ohjaa irtopallot pääosin sivulle; 1v1-perusteet kunnossa
5: Torjuu myös odottamattomat; irtopallojen hallinta virheetöntä; 1v1-tilanteiden voittoprosentti erottuva; aina valmis toiseen torjuntaan</t>
  </si>
  <si>
    <t xml:space="preserve">GK-P4a</t>
  </si>
  <si>
    <t xml:space="preserve">a. Perusasento ja sijoittuminen laukaisulinjalle – kavenna kulmaa oikea-aikaisella liikkeellä, ole paikallaan laukaisuhetkellä</t>
  </si>
  <si>
    <t xml:space="preserve">GK-P4b</t>
  </si>
  <si>
    <t xml:space="preserve">b. Torjuntatekniikka: ohjaa irtopallot pois vaara-alueelta (sivulle tai yli, ei koskaan eteen keskelle)</t>
  </si>
  <si>
    <t xml:space="preserve">GK-P4c</t>
  </si>
  <si>
    <t xml:space="preserve">c. 1v1-tilanteet: ajoitus, tilan kaventaminen ja pystyssä pysyminen mahdollisimman pitkään</t>
  </si>
  <si>
    <t xml:space="preserve">GK-P4d</t>
  </si>
  <si>
    <t xml:space="preserve">d. Jatka puolustamista, kunnes tilanne on ohi – valmius toiseen ja kolmanteen torjuntaan</t>
  </si>
  <si>
    <t xml:space="preserve">5. KESKITYSTEN JA LAITAPALLOJEN HALLINTA</t>
  </si>
  <si>
    <t xml:space="preserve">1: Epäröivät lähdöt ("puoliväliin jääminen"); ilmapallot irtoavat; ei huuda
3: Hallitsee oman alueensa keskitykset ja kommunikoi lähtönsä
5: Hallitsee rangaistusalueen ilmatilan laajasti; lähtöpäätökset välittömiä ja sitoutuneita; huuto johtaa puolustusta</t>
  </si>
  <si>
    <t xml:space="preserve">GK-P5a</t>
  </si>
  <si>
    <t xml:space="preserve">a. Lähtöpäätös: tule väliin tai jää maalille – päätös ajoissa ja sitoutuneesti, ei puolivälin ratkaisuja</t>
  </si>
  <si>
    <t xml:space="preserve">GK-P5b</t>
  </si>
  <si>
    <t xml:space="preserve">b. Ilmapallojen hallinta ruuhkassa: kiinniotto aina kun mahdollista, nyrkkäys pitkälle ja sivulle kun ei</t>
  </si>
  <si>
    <t xml:space="preserve">GK-P5c</t>
  </si>
  <si>
    <t xml:space="preserve">c. Sijoittuminen keskityslinjaan nähden (ykköstolpan ja kakkostolpan uhan tasapaino)</t>
  </si>
  <si>
    <t xml:space="preserve">GK-P5d</t>
  </si>
  <si>
    <t xml:space="preserve">d. Kommunikoi "OMA!" / "ULOS!" selkeästi ja ajoissa – huuto sitoo koko puolustuksen</t>
  </si>
  <si>
    <t xml:space="preserve">1: Jää makaamaan torjunnan jälkeen; yllättyy toisesta aallosta
3: Nousee ja asemoituu uudelleen ajoissa
5: Ennakoi jatkotilanteet ennen muita; sijainti valmiina jo ennen vastustajan toista yritystä</t>
  </si>
  <si>
    <t xml:space="preserve">GK-P6a</t>
  </si>
  <si>
    <t xml:space="preserve">a. Ennakoi torjunnasta irtoavat pallot – nouse ja asemoidu uudelleen välittömästi (valmius toiseen aaltoon)</t>
  </si>
  <si>
    <t xml:space="preserve">GK-P6b</t>
  </si>
  <si>
    <t xml:space="preserve">b. Ennakoi purkupallot ja pääpallokamppailujen pudotukset rangaistusalueen edustalla</t>
  </si>
  <si>
    <t xml:space="preserve">GK-P6c</t>
  </si>
  <si>
    <t xml:space="preserve">c. Ennakoi oman joukkueen pallonmenetykset ja korjaa sijaintiasi jo ennen vastustajan hyökkäystä</t>
  </si>
  <si>
    <t xml:space="preserve">1: Katse vain pallossa takaisinsyötöissä; paniikkiratkaisut prässin alla
3: Skannaa ennen vastaanottoa; ratkaisu valmiina normaalipaineessa
5: Jatkuva tilannekuva; prässin alla rauhallinen, koska ratkaisu on tehty ennen palloa</t>
  </si>
  <si>
    <t xml:space="preserve">GK-H0a</t>
  </si>
  <si>
    <t xml:space="preserve">a. Muodosta jatkuva tilannekuva vastustajan prässiryhmityksestä jo ennen kuin saat pallon</t>
  </si>
  <si>
    <t xml:space="preserve">GK-H0b</t>
  </si>
  <si>
    <t xml:space="preserve">b. Avoin peliasento ja ensimmäisen kosketuksen suuntaus pelattavaan suuntaan</t>
  </si>
  <si>
    <t xml:space="preserve">GK-H0c</t>
  </si>
  <si>
    <t xml:space="preserve">c. Skannaa vapaat pelaajat ja tilat ennen jokaista takaisinsyöttöä – ratkaisu valmiina ennen palloa</t>
  </si>
  <si>
    <t xml:space="preserve">1. PELIN AVAAMINEN</t>
  </si>
  <si>
    <t xml:space="preserve">1: Epätarkat avaukset; pitkät pallot ilman osoitetta; pakottaa lyhyen prässiin
3: Avaa luotettavasti lyhyellä ja pitkällä normaalitilanteissa
5: Molemmat jalat; pitkä avaus kohdennettu aseeksi; lyhyt/pitkä-valinta rikkoo vastustajan prässin toistuvasti</t>
  </si>
  <si>
    <t xml:space="preserve">GK-H1a</t>
  </si>
  <si>
    <t xml:space="preserve">a. Maasyötöt pelin rakentamisessa: lyhyt avaus toppareille tai laitapuolustajille, kun tilaa on</t>
  </si>
  <si>
    <t xml:space="preserve">GK-H1b</t>
  </si>
  <si>
    <t xml:space="preserve">b. Pitkä avaus edun hakemiseksi: kohdennettu avaus valittuun kamppailutilanteeseen (kärki, laita)</t>
  </si>
  <si>
    <t xml:space="preserve">GK-H1c</t>
  </si>
  <si>
    <t xml:space="preserve">c. Valinta lyhyen ja pitkän välillä vastustajan prässin mukaan – älä pakota avausta prässiin</t>
  </si>
  <si>
    <t xml:space="preserve">2. TUKIEN TARJOAMINEN (ylimääräinen pelaaja rakentelussa)</t>
  </si>
  <si>
    <t xml:space="preserve">1: Ei tarjoudu pelattavaksi; piiloutuu topparin taakse; palauttaa pallon aina pitkänä
3: Toimii tukivaihtoehtona ja hätätukena luotettavasti
5: Aito ylimääräinen kenttäpelaaja: elää jatkuvasti oikeissa syöttökulmissa ja tekee rakentelusta ylivoimaista</t>
  </si>
  <si>
    <t xml:space="preserve">GK-H2a</t>
  </si>
  <si>
    <t xml:space="preserve">a. Tarjoa jatkuva tukivaihtoehto toppareille – maalivahti luo +1-ylivoiman rakenteluun</t>
  </si>
  <si>
    <t xml:space="preserve">GK-H2b</t>
  </si>
  <si>
    <t xml:space="preserve">b. Hätätuki paineen alla: ole aina turvallinen ulospääsy pallolliselle</t>
  </si>
  <si>
    <t xml:space="preserve">GK-H2c</t>
  </si>
  <si>
    <t xml:space="preserve">c. Sijoitu niin, että syöttökulmat molemmille toppareille ovat auki (ei suoraan pallollisen taakse)</t>
  </si>
  <si>
    <t xml:space="preserve">3. TILANTEENVAIHDON KÄYNNISTÄMINEN (vastahyökkäykset)</t>
  </si>
  <si>
    <t xml:space="preserve">1: Hidastaa jokaisen pallonvoiton; ei näe vastahyökkäysmahdollisuuksia
3: Käynnistää vastahyökkäyksen selkeissä tilanteissa
5: Vastahyökkäysten aloittaja: nopea ja tarkka heitto/syöttö ensimmäiseen aaltoon, tilanteen lukeminen virheetöntä</t>
  </si>
  <si>
    <t xml:space="preserve">GK-H3a</t>
  </si>
  <si>
    <t xml:space="preserve">a. Pallonvoiton jälkeen nopea heitto tai syöttö ensimmäiseen aaltoon – vastahyökkäys alkaa maalivahdista</t>
  </si>
  <si>
    <t xml:space="preserve">GK-H3b</t>
  </si>
  <si>
    <t xml:space="preserve">b. Tunnista tilanne: vastahyökkäysmahdollisuus vai pelin rauhoittaminen</t>
  </si>
  <si>
    <t xml:space="preserve">4. PELIN RYTMIN HALLINTA</t>
  </si>
  <si>
    <t xml:space="preserve">1: Rytmi sattumanvaraista; riskiavaukset paineen alla
3: Säätelee rytmiä ja pitää pallon joukkueella normaalipaineessa
5: Ottelun rytmimestari: tunnistaa pelin hetket (nopeuta/rauhoita) ja toteuttaa ilman riskiä</t>
  </si>
  <si>
    <t xml:space="preserve">GK-H4a</t>
  </si>
  <si>
    <t xml:space="preserve">a. Säätele pelin rytmiä: nopeuta kun etu on tarjolla, rauhoita kun joukkue tarvitsee hengähdystauon</t>
  </si>
  <si>
    <t xml:space="preserve">GK-H4b</t>
  </si>
  <si>
    <t xml:space="preserve">b. Pidä pallo joukkueella paineen alla ilman riskiä – ei pakotettuja avauksia keskelle</t>
  </si>
  <si>
    <t xml:space="preserve">5. SIJOITTUMINEN OMAN JOUKKUEEN HALLITESSA</t>
  </si>
  <si>
    <t xml:space="preserve">1: Jää alas – joukkue pelaa 10 vastaan 11 rakentelussa; selusta auki menetyksissä
3: Nousee joukkueen mukana ja on pelattavissa
5: Sijainti maksimoi sekä pelattavuuden että selustan turvan; siirtyminen sweeper-rooliin saumaton</t>
  </si>
  <si>
    <t xml:space="preserve">GK-H5a</t>
  </si>
  <si>
    <t xml:space="preserve">a. Nouse korkealle joukkueen hyökätessä – lyhennä etäisyys puolustuslinjaan ja ole pelattavissa</t>
  </si>
  <si>
    <t xml:space="preserve">GK-H5b</t>
  </si>
  <si>
    <t xml:space="preserve">b. Turvaa selusta ennakoivasti: valmius sweeper-rooliin heti menetyksen tapahtuessa</t>
  </si>
  <si>
    <t xml:space="preserve">Mikä pelitilanne tuntuu vaikeimmalta ja miksi (esim. korkeat keskitykset ruuhkassa, pelaaminen jalalla prässin alla, 1v1-tilanteet, kommunikaation johtaminen)?</t>
  </si>
  <si>
    <t xml:space="preserve">Keneltä huippumaalivahdilta otan mallia ja mitä konkreettista hänen pelistään?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</si>
</sst>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1F4E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1F4E33"/>
      <name val="Arial"/>
      <family val="0"/>
      <charset val="1"/>
    </font>
    <font>
      <i val="true"/>
      <sz val="10"/>
      <color rgb="FF7A5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4E33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6"/>
      <color rgb="FF1F4E33"/>
      <name val="Arial"/>
      <family val="0"/>
      <charset val="1"/>
    </font>
    <font>
      <b val="true"/>
      <i val="true"/>
      <sz val="10"/>
      <color rgb="FF7A5C00"/>
      <name val="Arial"/>
      <family val="0"/>
      <charset val="1"/>
    </font>
    <font>
      <b val="true"/>
      <sz val="10"/>
      <color rgb="FF1F4E33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7A5C00"/>
      <name val="Arial"/>
      <family val="0"/>
      <charset val="1"/>
    </font>
    <font>
      <b val="true"/>
      <sz val="14"/>
      <color rgb="FF1F4E33"/>
      <name val="Arial"/>
      <family val="0"/>
      <charset val="1"/>
    </font>
    <font>
      <sz val="11"/>
      <color rgb="FF999999"/>
      <name val="Arial"/>
      <family val="0"/>
      <charset val="1"/>
    </font>
    <font>
      <sz val="8.5"/>
      <name val="Arial"/>
      <family val="0"/>
      <charset val="1"/>
    </font>
    <font>
      <sz val="8.5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3"/>
        <bgColor rgb="FF333300"/>
      </patternFill>
    </fill>
    <fill>
      <patternFill patternType="solid">
        <fgColor rgb="FFD9E8DC"/>
        <bgColor rgb="FFCCFFFF"/>
      </patternFill>
    </fill>
    <fill>
      <patternFill patternType="solid">
        <fgColor rgb="FFB7CDBB"/>
        <bgColor rgb="FFCCCC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B7CD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4E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"/>
    <col collapsed="false" customWidth="true" hidden="false" outlineLevel="0" max="4" min="4" style="1" width="34"/>
    <col collapsed="false" customWidth="true" hidden="false" outlineLevel="0" max="5" min="5" style="1" width="6"/>
    <col collapsed="false" customWidth="true" hidden="false" outlineLevel="0" max="6" min="6" style="1" width="34"/>
  </cols>
  <sheetData>
    <row r="2" customFormat="false" ht="18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D4" s="3" t="s">
        <v>2</v>
      </c>
      <c r="F4" s="3" t="s">
        <v>3</v>
      </c>
    </row>
    <row r="5" customFormat="false" ht="120" hidden="false" customHeight="true" outlineLevel="0" collapsed="false">
      <c r="B5" s="4" t="s">
        <v>4</v>
      </c>
      <c r="C5" s="5" t="s">
        <v>5</v>
      </c>
      <c r="D5" s="4" t="s">
        <v>6</v>
      </c>
      <c r="E5" s="5" t="s">
        <v>5</v>
      </c>
      <c r="F5" s="4" t="s">
        <v>7</v>
      </c>
    </row>
    <row r="7" customFormat="false" ht="27.75" hidden="false" customHeight="true" outlineLevel="0" collapsed="false">
      <c r="B7" s="6" t="s">
        <v>8</v>
      </c>
      <c r="D7" s="7" t="s">
        <v>9</v>
      </c>
      <c r="E7" s="7"/>
      <c r="F7" s="7"/>
    </row>
    <row r="8" customFormat="false" ht="27.75" hidden="false" customHeight="true" outlineLevel="0" collapsed="false">
      <c r="B8" s="6" t="s">
        <v>10</v>
      </c>
      <c r="D8" s="7" t="s">
        <v>11</v>
      </c>
      <c r="E8" s="7"/>
      <c r="F8" s="7"/>
    </row>
    <row r="9" customFormat="false" ht="27.75" hidden="false" customHeight="true" outlineLevel="0" collapsed="false">
      <c r="B9" s="6" t="s">
        <v>12</v>
      </c>
      <c r="D9" s="7" t="s">
        <v>13</v>
      </c>
      <c r="E9" s="7"/>
      <c r="F9" s="7"/>
    </row>
    <row r="10" customFormat="false" ht="27.75" hidden="false" customHeight="true" outlineLevel="0" collapsed="false">
      <c r="B10" s="6" t="s">
        <v>14</v>
      </c>
      <c r="D10" s="7" t="s">
        <v>15</v>
      </c>
      <c r="E10" s="7"/>
      <c r="F10" s="7"/>
    </row>
    <row r="12" customFormat="false" ht="27.75" hidden="false" customHeight="true" outlineLevel="0" collapsed="false">
      <c r="B12" s="6" t="s">
        <v>16</v>
      </c>
      <c r="D12" s="7" t="s">
        <v>17</v>
      </c>
      <c r="E12" s="7"/>
      <c r="F12" s="7"/>
    </row>
  </sheetData>
  <mergeCells count="6">
    <mergeCell ref="B2:F2"/>
    <mergeCell ref="D7:F7"/>
    <mergeCell ref="D8:F8"/>
    <mergeCell ref="D9:F9"/>
    <mergeCell ref="D10:F10"/>
    <mergeCell ref="D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0"/>
    <col collapsed="false" customWidth="true" hidden="false" outlineLevel="0" max="3" min="3" style="1" width="34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24"/>
  </cols>
  <sheetData>
    <row r="1" customFormat="false" ht="199.5" hidden="false" customHeight="true" outlineLevel="0" collapsed="false">
      <c r="A1" s="8" t="s">
        <v>18</v>
      </c>
    </row>
    <row r="2" customFormat="false" ht="15" hidden="false" customHeight="true" outlineLevel="0" collapsed="false">
      <c r="A2" s="9" t="s">
        <v>19</v>
      </c>
      <c r="B2" s="9"/>
      <c r="C2" s="9"/>
      <c r="D2" s="9"/>
      <c r="E2" s="9"/>
      <c r="F2" s="9"/>
      <c r="G2" s="9"/>
    </row>
    <row r="3" customFormat="false" ht="1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</row>
    <row r="4" customFormat="false" ht="25.5" hidden="false" customHeight="true" outlineLevel="0" collapsed="false">
      <c r="A4" s="11" t="s">
        <v>27</v>
      </c>
      <c r="B4" s="12" t="s">
        <v>28</v>
      </c>
      <c r="C4" s="12" t="s">
        <v>29</v>
      </c>
      <c r="D4" s="12" t="s">
        <v>30</v>
      </c>
      <c r="E4" s="11" t="s">
        <v>31</v>
      </c>
      <c r="F4" s="12"/>
      <c r="G4" s="12"/>
    </row>
    <row r="5" customFormat="false" ht="15" hidden="false" customHeight="true" outlineLevel="0" collapsed="false">
      <c r="A5" s="13" t="s">
        <v>32</v>
      </c>
      <c r="B5" s="14" t="s">
        <v>33</v>
      </c>
      <c r="C5" s="15"/>
      <c r="D5" s="15"/>
      <c r="E5" s="15"/>
      <c r="F5" s="15"/>
      <c r="G5" s="15"/>
    </row>
    <row r="6" customFormat="false" ht="15" hidden="false" customHeight="true" outlineLevel="0" collapsed="false">
      <c r="A6" s="13" t="s">
        <v>34</v>
      </c>
      <c r="B6" s="14" t="s">
        <v>35</v>
      </c>
      <c r="C6" s="15"/>
      <c r="D6" s="15"/>
      <c r="E6" s="15"/>
      <c r="F6" s="15"/>
      <c r="G6" s="15"/>
    </row>
    <row r="7" customFormat="false" ht="15" hidden="false" customHeight="true" outlineLevel="0" collapsed="false">
      <c r="A7" s="13" t="s">
        <v>36</v>
      </c>
      <c r="B7" s="14" t="s">
        <v>37</v>
      </c>
      <c r="C7" s="15"/>
      <c r="D7" s="15"/>
      <c r="E7" s="15"/>
      <c r="F7" s="15"/>
      <c r="G7" s="15"/>
    </row>
    <row r="8" customFormat="false" ht="15" hidden="false" customHeight="true" outlineLevel="0" collapsed="false">
      <c r="A8" s="13" t="s">
        <v>38</v>
      </c>
      <c r="B8" s="14" t="s">
        <v>39</v>
      </c>
      <c r="C8" s="15"/>
      <c r="D8" s="15"/>
      <c r="E8" s="15"/>
      <c r="F8" s="15"/>
      <c r="G8" s="15"/>
    </row>
    <row r="9" customFormat="false" ht="15" hidden="false" customHeight="true" outlineLevel="0" collapsed="false">
      <c r="A9" s="13" t="s">
        <v>40</v>
      </c>
      <c r="B9" s="14" t="s">
        <v>41</v>
      </c>
      <c r="C9" s="15"/>
      <c r="D9" s="15"/>
      <c r="E9" s="15"/>
      <c r="F9" s="15"/>
      <c r="G9" s="15"/>
    </row>
    <row r="10" customFormat="false" ht="15" hidden="false" customHeight="true" outlineLevel="0" collapsed="false">
      <c r="A10" s="13" t="s">
        <v>42</v>
      </c>
      <c r="B10" s="14" t="s">
        <v>43</v>
      </c>
      <c r="C10" s="15"/>
      <c r="D10" s="15"/>
      <c r="E10" s="15"/>
      <c r="F10" s="15"/>
      <c r="G10" s="15"/>
    </row>
    <row r="11" customFormat="false" ht="23.25" hidden="false" customHeight="true" outlineLevel="0" collapsed="false">
      <c r="A11" s="13" t="s">
        <v>44</v>
      </c>
      <c r="B11" s="14" t="s">
        <v>45</v>
      </c>
      <c r="C11" s="15"/>
      <c r="D11" s="15"/>
      <c r="E11" s="15"/>
      <c r="F11" s="15"/>
      <c r="G11" s="15"/>
    </row>
    <row r="12" customFormat="false" ht="25.5" hidden="false" customHeight="true" outlineLevel="0" collapsed="false">
      <c r="A12" s="11" t="s">
        <v>46</v>
      </c>
      <c r="B12" s="12" t="s">
        <v>47</v>
      </c>
      <c r="C12" s="12" t="s">
        <v>48</v>
      </c>
      <c r="D12" s="12" t="s">
        <v>49</v>
      </c>
      <c r="E12" s="11" t="s">
        <v>50</v>
      </c>
      <c r="F12" s="12"/>
      <c r="G12" s="12"/>
    </row>
    <row r="13" customFormat="false" ht="15" hidden="false" customHeight="true" outlineLevel="0" collapsed="false">
      <c r="A13" s="13" t="s">
        <v>51</v>
      </c>
      <c r="B13" s="14" t="s">
        <v>52</v>
      </c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3" t="s">
        <v>53</v>
      </c>
      <c r="B14" s="14" t="s">
        <v>54</v>
      </c>
      <c r="C14" s="15"/>
      <c r="D14" s="15"/>
      <c r="E14" s="15"/>
      <c r="F14" s="15"/>
      <c r="G14" s="15"/>
    </row>
    <row r="15" customFormat="false" ht="15" hidden="false" customHeight="true" outlineLevel="0" collapsed="false">
      <c r="A15" s="13" t="s">
        <v>55</v>
      </c>
      <c r="B15" s="14" t="s">
        <v>56</v>
      </c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3" t="s">
        <v>57</v>
      </c>
      <c r="B16" s="14" t="s">
        <v>58</v>
      </c>
      <c r="C16" s="15"/>
      <c r="D16" s="15"/>
      <c r="E16" s="15"/>
      <c r="F16" s="15"/>
      <c r="G16" s="15"/>
    </row>
    <row r="17" customFormat="false" ht="15" hidden="false" customHeight="true" outlineLevel="0" collapsed="false">
      <c r="A17" s="13" t="s">
        <v>59</v>
      </c>
      <c r="B17" s="14" t="s">
        <v>60</v>
      </c>
      <c r="C17" s="15"/>
      <c r="D17" s="15"/>
      <c r="E17" s="15"/>
      <c r="F17" s="15"/>
      <c r="G17" s="15"/>
    </row>
    <row r="18" customFormat="false" ht="15" hidden="false" customHeight="true" outlineLevel="0" collapsed="false">
      <c r="A18" s="13" t="s">
        <v>61</v>
      </c>
      <c r="B18" s="14" t="s">
        <v>62</v>
      </c>
      <c r="C18" s="15"/>
      <c r="D18" s="15"/>
      <c r="E18" s="15"/>
      <c r="F18" s="15"/>
      <c r="G18" s="15"/>
    </row>
    <row r="19" customFormat="false" ht="15" hidden="false" customHeight="true" outlineLevel="0" collapsed="false">
      <c r="A19" s="13"/>
      <c r="B19" s="16" t="s">
        <v>63</v>
      </c>
      <c r="C19" s="15"/>
      <c r="D19" s="15"/>
      <c r="E19" s="15"/>
      <c r="F19" s="15"/>
      <c r="G19" s="15"/>
    </row>
    <row r="20" customFormat="false" ht="25.5" hidden="false" customHeight="true" outlineLevel="0" collapsed="false">
      <c r="A20" s="11" t="s">
        <v>64</v>
      </c>
      <c r="B20" s="12" t="s">
        <v>65</v>
      </c>
      <c r="C20" s="12" t="s">
        <v>66</v>
      </c>
      <c r="D20" s="12" t="s">
        <v>67</v>
      </c>
      <c r="E20" s="11" t="s">
        <v>68</v>
      </c>
      <c r="F20" s="12"/>
      <c r="G20" s="12"/>
    </row>
    <row r="21" customFormat="false" ht="15" hidden="false" customHeight="true" outlineLevel="0" collapsed="false">
      <c r="A21" s="13" t="s">
        <v>69</v>
      </c>
      <c r="B21" s="14" t="s">
        <v>70</v>
      </c>
      <c r="C21" s="15"/>
      <c r="D21" s="15"/>
      <c r="E21" s="15"/>
      <c r="F21" s="15"/>
      <c r="G21" s="15"/>
    </row>
    <row r="22" customFormat="false" ht="15" hidden="false" customHeight="true" outlineLevel="0" collapsed="false">
      <c r="A22" s="13" t="s">
        <v>71</v>
      </c>
      <c r="B22" s="14" t="s">
        <v>72</v>
      </c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3" t="s">
        <v>73</v>
      </c>
      <c r="B23" s="14" t="s">
        <v>74</v>
      </c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3" t="s">
        <v>75</v>
      </c>
      <c r="B24" s="14" t="s">
        <v>76</v>
      </c>
      <c r="C24" s="15"/>
      <c r="D24" s="15"/>
      <c r="E24" s="15"/>
      <c r="F24" s="15"/>
      <c r="G24" s="15"/>
    </row>
    <row r="25" customFormat="false" ht="15" hidden="false" customHeight="true" outlineLevel="0" collapsed="false">
      <c r="A25" s="13" t="s">
        <v>77</v>
      </c>
      <c r="B25" s="14" t="s">
        <v>78</v>
      </c>
      <c r="C25" s="15"/>
      <c r="D25" s="15"/>
      <c r="E25" s="15"/>
      <c r="F25" s="15"/>
      <c r="G25" s="15"/>
    </row>
    <row r="26" customFormat="false" ht="15" hidden="false" customHeight="true" outlineLevel="0" collapsed="false">
      <c r="A26" s="13" t="s">
        <v>79</v>
      </c>
      <c r="B26" s="14" t="s">
        <v>80</v>
      </c>
      <c r="C26" s="15"/>
      <c r="D26" s="15"/>
      <c r="E26" s="15"/>
      <c r="F26" s="15"/>
      <c r="G26" s="15"/>
    </row>
    <row r="27" customFormat="false" ht="15" hidden="false" customHeight="true" outlineLevel="0" collapsed="false">
      <c r="A27" s="13" t="s">
        <v>81</v>
      </c>
      <c r="B27" s="14" t="s">
        <v>82</v>
      </c>
      <c r="C27" s="15"/>
      <c r="D27" s="15"/>
      <c r="E27" s="15"/>
      <c r="F27" s="15"/>
      <c r="G27" s="15"/>
    </row>
    <row r="28" customFormat="false" ht="15" hidden="false" customHeight="true" outlineLevel="0" collapsed="false">
      <c r="A28" s="13" t="s">
        <v>83</v>
      </c>
      <c r="B28" s="14" t="s">
        <v>84</v>
      </c>
      <c r="C28" s="15"/>
      <c r="D28" s="15"/>
      <c r="E28" s="15"/>
      <c r="F28" s="15"/>
      <c r="G28" s="15"/>
    </row>
    <row r="29" customFormat="false" ht="15" hidden="false" customHeight="true" outlineLevel="0" collapsed="false">
      <c r="A29" s="13" t="s">
        <v>85</v>
      </c>
      <c r="B29" s="14" t="s">
        <v>86</v>
      </c>
      <c r="C29" s="15"/>
      <c r="D29" s="15"/>
      <c r="E29" s="15"/>
      <c r="F29" s="15"/>
      <c r="G29" s="15"/>
    </row>
    <row r="30" customFormat="false" ht="15" hidden="false" customHeight="true" outlineLevel="0" collapsed="false">
      <c r="A30" s="13" t="s">
        <v>87</v>
      </c>
      <c r="B30" s="14" t="s">
        <v>88</v>
      </c>
      <c r="C30" s="15"/>
      <c r="D30" s="15"/>
      <c r="E30" s="15"/>
      <c r="F30" s="15"/>
      <c r="G30" s="15"/>
    </row>
    <row r="31" customFormat="false" ht="25.5" hidden="false" customHeight="true" outlineLevel="0" collapsed="false">
      <c r="A31" s="11" t="s">
        <v>89</v>
      </c>
      <c r="B31" s="12" t="s">
        <v>90</v>
      </c>
      <c r="C31" s="12" t="s">
        <v>91</v>
      </c>
      <c r="D31" s="12" t="s">
        <v>92</v>
      </c>
      <c r="E31" s="11" t="s">
        <v>50</v>
      </c>
      <c r="F31" s="12"/>
      <c r="G31" s="12"/>
    </row>
    <row r="32" customFormat="false" ht="15" hidden="false" customHeight="true" outlineLevel="0" collapsed="false">
      <c r="A32" s="13" t="s">
        <v>93</v>
      </c>
      <c r="B32" s="14" t="s">
        <v>94</v>
      </c>
      <c r="C32" s="15"/>
      <c r="D32" s="15"/>
      <c r="E32" s="15"/>
      <c r="F32" s="15"/>
      <c r="G32" s="15"/>
    </row>
    <row r="33" customFormat="false" ht="15" hidden="false" customHeight="true" outlineLevel="0" collapsed="false">
      <c r="A33" s="13" t="s">
        <v>95</v>
      </c>
      <c r="B33" s="14" t="s">
        <v>96</v>
      </c>
      <c r="C33" s="15"/>
      <c r="D33" s="15"/>
      <c r="E33" s="15"/>
      <c r="F33" s="15"/>
      <c r="G33" s="15"/>
    </row>
    <row r="34" customFormat="false" ht="15" hidden="false" customHeight="true" outlineLevel="0" collapsed="false">
      <c r="A34" s="13" t="s">
        <v>97</v>
      </c>
      <c r="B34" s="14" t="s">
        <v>98</v>
      </c>
      <c r="C34" s="15"/>
      <c r="D34" s="15"/>
      <c r="E34" s="15"/>
      <c r="F34" s="15"/>
      <c r="G34" s="15"/>
    </row>
    <row r="35" customFormat="false" ht="15" hidden="false" customHeight="true" outlineLevel="0" collapsed="false">
      <c r="A35" s="13" t="s">
        <v>99</v>
      </c>
      <c r="B35" s="14" t="s">
        <v>100</v>
      </c>
      <c r="C35" s="15"/>
      <c r="D35" s="15"/>
      <c r="E35" s="15"/>
      <c r="F35" s="15"/>
      <c r="G35" s="15"/>
    </row>
    <row r="36" customFormat="false" ht="15" hidden="false" customHeight="true" outlineLevel="0" collapsed="false">
      <c r="A36" s="13" t="s">
        <v>101</v>
      </c>
      <c r="B36" s="14" t="s">
        <v>102</v>
      </c>
      <c r="C36" s="15"/>
      <c r="D36" s="15"/>
      <c r="E36" s="15"/>
      <c r="F36" s="15"/>
      <c r="G36" s="15"/>
    </row>
    <row r="37" customFormat="false" ht="15" hidden="false" customHeight="true" outlineLevel="0" collapsed="false">
      <c r="A37" s="13" t="s">
        <v>103</v>
      </c>
      <c r="B37" s="14" t="s">
        <v>104</v>
      </c>
      <c r="C37" s="15"/>
      <c r="D37" s="15"/>
      <c r="E37" s="15"/>
      <c r="F37" s="15"/>
      <c r="G37" s="15"/>
    </row>
    <row r="38" customFormat="false" ht="15" hidden="false" customHeight="true" outlineLevel="0" collapsed="false">
      <c r="A38" s="13" t="s">
        <v>105</v>
      </c>
      <c r="B38" s="14" t="s">
        <v>106</v>
      </c>
      <c r="C38" s="15"/>
      <c r="D38" s="15"/>
      <c r="E38" s="15"/>
      <c r="F38" s="15"/>
      <c r="G38" s="15"/>
    </row>
    <row r="39" customFormat="false" ht="15" hidden="false" customHeight="true" outlineLevel="0" collapsed="false">
      <c r="A39" s="13" t="s">
        <v>107</v>
      </c>
      <c r="B39" s="14" t="s">
        <v>108</v>
      </c>
      <c r="C39" s="15"/>
      <c r="D39" s="15"/>
      <c r="E39" s="15"/>
      <c r="F39" s="15"/>
      <c r="G39" s="15"/>
    </row>
    <row r="40" customFormat="false" ht="15" hidden="false" customHeight="true" outlineLevel="0" collapsed="false">
      <c r="A40" s="13"/>
      <c r="B40" s="16" t="s">
        <v>109</v>
      </c>
      <c r="C40" s="15"/>
      <c r="D40" s="15"/>
      <c r="E40" s="15"/>
      <c r="F40" s="15"/>
      <c r="G40" s="15"/>
    </row>
    <row r="41" customFormat="false" ht="25.5" hidden="false" customHeight="true" outlineLevel="0" collapsed="false">
      <c r="A41" s="11" t="s">
        <v>110</v>
      </c>
      <c r="B41" s="12" t="s">
        <v>111</v>
      </c>
      <c r="C41" s="12" t="s">
        <v>112</v>
      </c>
      <c r="D41" s="12" t="s">
        <v>113</v>
      </c>
      <c r="E41" s="11" t="s">
        <v>114</v>
      </c>
      <c r="F41" s="12"/>
      <c r="G41" s="12"/>
    </row>
    <row r="42" customFormat="false" ht="15" hidden="false" customHeight="true" outlineLevel="0" collapsed="false">
      <c r="A42" s="13" t="s">
        <v>115</v>
      </c>
      <c r="B42" s="14" t="s">
        <v>116</v>
      </c>
      <c r="C42" s="15"/>
      <c r="D42" s="15"/>
      <c r="E42" s="15"/>
      <c r="F42" s="15"/>
      <c r="G42" s="15"/>
    </row>
    <row r="43" customFormat="false" ht="15" hidden="false" customHeight="true" outlineLevel="0" collapsed="false">
      <c r="A43" s="13" t="s">
        <v>117</v>
      </c>
      <c r="B43" s="14" t="s">
        <v>118</v>
      </c>
      <c r="C43" s="15"/>
      <c r="D43" s="15"/>
      <c r="E43" s="15"/>
      <c r="F43" s="15"/>
      <c r="G43" s="15"/>
    </row>
    <row r="44" customFormat="false" ht="15" hidden="false" customHeight="true" outlineLevel="0" collapsed="false">
      <c r="A44" s="13" t="s">
        <v>119</v>
      </c>
      <c r="B44" s="14" t="s">
        <v>120</v>
      </c>
      <c r="C44" s="15"/>
      <c r="D44" s="15"/>
      <c r="E44" s="15"/>
      <c r="F44" s="15"/>
      <c r="G44" s="15"/>
    </row>
    <row r="45" customFormat="false" ht="15" hidden="false" customHeight="true" outlineLevel="0" collapsed="false">
      <c r="A45" s="13" t="s">
        <v>121</v>
      </c>
      <c r="B45" s="14" t="s">
        <v>122</v>
      </c>
      <c r="C45" s="15"/>
      <c r="D45" s="15"/>
      <c r="E45" s="15"/>
      <c r="F45" s="15"/>
      <c r="G45" s="15"/>
    </row>
    <row r="46" customFormat="false" ht="15" hidden="false" customHeight="true" outlineLevel="0" collapsed="false">
      <c r="A46" s="13" t="s">
        <v>123</v>
      </c>
      <c r="B46" s="14" t="s">
        <v>124</v>
      </c>
      <c r="C46" s="15"/>
      <c r="D46" s="15"/>
      <c r="E46" s="15"/>
      <c r="F46" s="15"/>
      <c r="G46" s="15"/>
    </row>
    <row r="47" customFormat="false" ht="23.25" hidden="false" customHeight="true" outlineLevel="0" collapsed="false">
      <c r="A47" s="13"/>
      <c r="B47" s="16" t="s">
        <v>125</v>
      </c>
      <c r="C47" s="15"/>
      <c r="D47" s="15"/>
      <c r="E47" s="15"/>
      <c r="F47" s="15"/>
      <c r="G47" s="15"/>
    </row>
    <row r="48" customFormat="false" ht="25.5" hidden="false" customHeight="true" outlineLevel="0" collapsed="false">
      <c r="A48" s="11" t="s">
        <v>126</v>
      </c>
      <c r="B48" s="12" t="s">
        <v>127</v>
      </c>
      <c r="C48" s="12" t="s">
        <v>128</v>
      </c>
      <c r="D48" s="12" t="s">
        <v>129</v>
      </c>
      <c r="E48" s="11" t="s">
        <v>130</v>
      </c>
      <c r="F48" s="12"/>
      <c r="G48" s="12"/>
    </row>
    <row r="49" customFormat="false" ht="15" hidden="false" customHeight="true" outlineLevel="0" collapsed="false">
      <c r="A49" s="13" t="s">
        <v>131</v>
      </c>
      <c r="B49" s="14" t="s">
        <v>132</v>
      </c>
      <c r="C49" s="15"/>
      <c r="D49" s="15"/>
      <c r="E49" s="15"/>
      <c r="F49" s="15"/>
      <c r="G49" s="15"/>
    </row>
    <row r="50" customFormat="false" ht="15" hidden="false" customHeight="true" outlineLevel="0" collapsed="false">
      <c r="A50" s="13" t="s">
        <v>133</v>
      </c>
      <c r="B50" s="14" t="s">
        <v>134</v>
      </c>
      <c r="C50" s="15"/>
      <c r="D50" s="15"/>
      <c r="E50" s="15"/>
      <c r="F50" s="15"/>
      <c r="G50" s="15"/>
    </row>
    <row r="51" customFormat="false" ht="15" hidden="false" customHeight="true" outlineLevel="0" collapsed="false">
      <c r="A51" s="13" t="s">
        <v>135</v>
      </c>
      <c r="B51" s="14" t="s">
        <v>136</v>
      </c>
      <c r="C51" s="15"/>
      <c r="D51" s="15"/>
      <c r="E51" s="15"/>
      <c r="F51" s="15"/>
      <c r="G51" s="15"/>
    </row>
    <row r="52" customFormat="false" ht="15" hidden="false" customHeight="true" outlineLevel="0" collapsed="false">
      <c r="A52" s="13" t="s">
        <v>137</v>
      </c>
      <c r="B52" s="14" t="s">
        <v>138</v>
      </c>
      <c r="C52" s="15"/>
      <c r="D52" s="15"/>
      <c r="E52" s="15"/>
      <c r="F52" s="15"/>
      <c r="G52" s="15"/>
    </row>
    <row r="53" customFormat="false" ht="15" hidden="false" customHeight="true" outlineLevel="0" collapsed="false">
      <c r="A53" s="13" t="s">
        <v>139</v>
      </c>
      <c r="B53" s="14" t="s">
        <v>140</v>
      </c>
      <c r="C53" s="15"/>
      <c r="D53" s="15"/>
      <c r="E53" s="15"/>
      <c r="F53" s="15"/>
      <c r="G53" s="15"/>
    </row>
    <row r="54" customFormat="false" ht="15" hidden="false" customHeight="true" outlineLevel="0" collapsed="false">
      <c r="A54" s="13" t="s">
        <v>141</v>
      </c>
      <c r="B54" s="14" t="s">
        <v>142</v>
      </c>
      <c r="C54" s="15"/>
      <c r="D54" s="15"/>
      <c r="E54" s="15"/>
      <c r="F54" s="15"/>
      <c r="G54" s="15"/>
    </row>
    <row r="55" customFormat="false" ht="15" hidden="false" customHeight="true" outlineLevel="0" collapsed="false">
      <c r="A55" s="13" t="s">
        <v>143</v>
      </c>
      <c r="B55" s="14" t="s">
        <v>144</v>
      </c>
      <c r="C55" s="15"/>
      <c r="D55" s="15"/>
      <c r="E55" s="15"/>
      <c r="F55" s="15"/>
      <c r="G55" s="15"/>
    </row>
    <row r="56" customFormat="false" ht="25.5" hidden="false" customHeight="true" outlineLevel="0" collapsed="false">
      <c r="A56" s="11" t="s">
        <v>145</v>
      </c>
      <c r="B56" s="12" t="s">
        <v>146</v>
      </c>
      <c r="C56" s="12" t="s">
        <v>147</v>
      </c>
      <c r="D56" s="12" t="s">
        <v>148</v>
      </c>
      <c r="E56" s="11" t="s">
        <v>149</v>
      </c>
      <c r="F56" s="12"/>
      <c r="G56" s="12"/>
    </row>
    <row r="57" customFormat="false" ht="23.25" hidden="false" customHeight="true" outlineLevel="0" collapsed="false">
      <c r="A57" s="13" t="s">
        <v>150</v>
      </c>
      <c r="B57" s="14" t="s">
        <v>151</v>
      </c>
      <c r="C57" s="15"/>
      <c r="D57" s="15"/>
      <c r="E57" s="15"/>
      <c r="F57" s="15"/>
      <c r="G57" s="15"/>
    </row>
    <row r="58" customFormat="false" ht="15" hidden="false" customHeight="true" outlineLevel="0" collapsed="false">
      <c r="A58" s="13" t="s">
        <v>152</v>
      </c>
      <c r="B58" s="14" t="s">
        <v>153</v>
      </c>
      <c r="C58" s="15"/>
      <c r="D58" s="15"/>
      <c r="E58" s="15"/>
      <c r="F58" s="15"/>
      <c r="G58" s="15"/>
    </row>
    <row r="59" customFormat="false" ht="15" hidden="false" customHeight="true" outlineLevel="0" collapsed="false">
      <c r="A59" s="13" t="s">
        <v>154</v>
      </c>
      <c r="B59" s="14" t="s">
        <v>155</v>
      </c>
      <c r="C59" s="15"/>
      <c r="D59" s="15"/>
      <c r="E59" s="15"/>
      <c r="F59" s="15"/>
      <c r="G59" s="15"/>
    </row>
    <row r="60" customFormat="false" ht="15" hidden="false" customHeight="true" outlineLevel="0" collapsed="false">
      <c r="A60" s="13" t="s">
        <v>156</v>
      </c>
      <c r="B60" s="14" t="s">
        <v>157</v>
      </c>
      <c r="C60" s="15"/>
      <c r="D60" s="15"/>
      <c r="E60" s="15"/>
      <c r="F60" s="15"/>
      <c r="G60" s="15"/>
    </row>
    <row r="61" customFormat="false" ht="15" hidden="false" customHeight="true" outlineLevel="0" collapsed="false">
      <c r="A61" s="13" t="s">
        <v>158</v>
      </c>
      <c r="B61" s="14" t="s">
        <v>159</v>
      </c>
      <c r="C61" s="15"/>
      <c r="D61" s="15"/>
      <c r="E61" s="15"/>
      <c r="F61" s="15"/>
      <c r="G61" s="15"/>
    </row>
    <row r="62" customFormat="false" ht="15" hidden="false" customHeight="true" outlineLevel="0" collapsed="false">
      <c r="A62" s="13" t="s">
        <v>160</v>
      </c>
      <c r="B62" s="14" t="s">
        <v>161</v>
      </c>
      <c r="C62" s="15"/>
      <c r="D62" s="15"/>
      <c r="E62" s="15"/>
      <c r="F62" s="15"/>
      <c r="G62" s="15"/>
    </row>
    <row r="63" customFormat="false" ht="15" hidden="false" customHeight="true" outlineLevel="0" collapsed="false">
      <c r="A63" s="13" t="s">
        <v>162</v>
      </c>
      <c r="B63" s="14" t="s">
        <v>163</v>
      </c>
      <c r="C63" s="15"/>
      <c r="D63" s="15"/>
      <c r="E63" s="15"/>
      <c r="F63" s="15"/>
      <c r="G63" s="15"/>
    </row>
    <row r="64" customFormat="false" ht="15" hidden="false" customHeight="true" outlineLevel="0" collapsed="false">
      <c r="A64" s="13" t="s">
        <v>164</v>
      </c>
      <c r="B64" s="14" t="s">
        <v>165</v>
      </c>
      <c r="C64" s="15"/>
      <c r="D64" s="15"/>
      <c r="E64" s="15"/>
      <c r="F64" s="15"/>
      <c r="G64" s="15"/>
    </row>
    <row r="65" customFormat="false" ht="25.5" hidden="false" customHeight="true" outlineLevel="0" collapsed="false">
      <c r="A65" s="11" t="s">
        <v>166</v>
      </c>
      <c r="B65" s="12" t="s">
        <v>167</v>
      </c>
      <c r="C65" s="12" t="s">
        <v>168</v>
      </c>
      <c r="D65" s="12" t="s">
        <v>169</v>
      </c>
      <c r="E65" s="11" t="s">
        <v>114</v>
      </c>
      <c r="F65" s="12"/>
      <c r="G65" s="12"/>
    </row>
    <row r="66" customFormat="false" ht="15" hidden="false" customHeight="true" outlineLevel="0" collapsed="false">
      <c r="A66" s="13" t="s">
        <v>170</v>
      </c>
      <c r="B66" s="14" t="s">
        <v>171</v>
      </c>
      <c r="C66" s="15"/>
      <c r="D66" s="15"/>
      <c r="E66" s="15"/>
      <c r="F66" s="15"/>
      <c r="G66" s="15"/>
    </row>
    <row r="67" customFormat="false" ht="15" hidden="false" customHeight="true" outlineLevel="0" collapsed="false">
      <c r="A67" s="13" t="s">
        <v>172</v>
      </c>
      <c r="B67" s="14" t="s">
        <v>173</v>
      </c>
      <c r="C67" s="15"/>
      <c r="D67" s="15"/>
      <c r="E67" s="15"/>
      <c r="F67" s="15"/>
      <c r="G67" s="15"/>
    </row>
    <row r="68" customFormat="false" ht="15" hidden="false" customHeight="true" outlineLevel="0" collapsed="false">
      <c r="A68" s="13" t="s">
        <v>174</v>
      </c>
      <c r="B68" s="14" t="s">
        <v>175</v>
      </c>
      <c r="C68" s="15"/>
      <c r="D68" s="15"/>
      <c r="E68" s="15"/>
      <c r="F68" s="15"/>
      <c r="G68" s="15"/>
    </row>
    <row r="69" customFormat="false" ht="15" hidden="false" customHeight="true" outlineLevel="0" collapsed="false">
      <c r="A69" s="13" t="s">
        <v>176</v>
      </c>
      <c r="B69" s="14" t="s">
        <v>177</v>
      </c>
      <c r="C69" s="15"/>
      <c r="D69" s="15"/>
      <c r="E69" s="15"/>
      <c r="F69" s="15"/>
      <c r="G69" s="15"/>
    </row>
    <row r="70" customFormat="false" ht="15" hidden="false" customHeight="true" outlineLevel="0" collapsed="false">
      <c r="A70" s="13" t="s">
        <v>178</v>
      </c>
      <c r="B70" s="14" t="s">
        <v>179</v>
      </c>
      <c r="C70" s="15"/>
      <c r="D70" s="15"/>
      <c r="E70" s="15"/>
      <c r="F70" s="15"/>
      <c r="G70" s="15"/>
    </row>
    <row r="71" customFormat="false" ht="15" hidden="false" customHeight="true" outlineLevel="0" collapsed="false">
      <c r="A71" s="13" t="s">
        <v>180</v>
      </c>
      <c r="B71" s="14" t="s">
        <v>181</v>
      </c>
      <c r="C71" s="15"/>
      <c r="D71" s="15"/>
      <c r="E71" s="15"/>
      <c r="F71" s="15"/>
      <c r="G71" s="15"/>
    </row>
    <row r="72" customFormat="false" ht="25.5" hidden="false" customHeight="true" outlineLevel="0" collapsed="false">
      <c r="A72" s="11" t="s">
        <v>182</v>
      </c>
      <c r="B72" s="12" t="s">
        <v>183</v>
      </c>
      <c r="C72" s="12" t="s">
        <v>184</v>
      </c>
      <c r="D72" s="12" t="s">
        <v>113</v>
      </c>
      <c r="E72" s="11" t="s">
        <v>114</v>
      </c>
      <c r="F72" s="12"/>
      <c r="G72" s="12"/>
    </row>
    <row r="73" customFormat="false" ht="15" hidden="false" customHeight="true" outlineLevel="0" collapsed="false">
      <c r="A73" s="13" t="s">
        <v>185</v>
      </c>
      <c r="B73" s="14" t="s">
        <v>186</v>
      </c>
      <c r="C73" s="15"/>
      <c r="D73" s="15"/>
      <c r="E73" s="15"/>
      <c r="F73" s="15"/>
      <c r="G73" s="15"/>
    </row>
    <row r="74" customFormat="false" ht="15" hidden="false" customHeight="true" outlineLevel="0" collapsed="false">
      <c r="A74" s="13" t="s">
        <v>187</v>
      </c>
      <c r="B74" s="14" t="s">
        <v>188</v>
      </c>
      <c r="C74" s="15"/>
      <c r="D74" s="15"/>
      <c r="E74" s="15"/>
      <c r="F74" s="15"/>
      <c r="G74" s="15"/>
    </row>
    <row r="75" customFormat="false" ht="15" hidden="false" customHeight="true" outlineLevel="0" collapsed="false">
      <c r="A75" s="13" t="s">
        <v>189</v>
      </c>
      <c r="B75" s="14" t="s">
        <v>190</v>
      </c>
      <c r="C75" s="15"/>
      <c r="D75" s="15"/>
      <c r="E75" s="15"/>
      <c r="F75" s="15"/>
      <c r="G75" s="15"/>
    </row>
    <row r="76" customFormat="false" ht="15" hidden="false" customHeight="true" outlineLevel="0" collapsed="false">
      <c r="A76" s="13" t="s">
        <v>191</v>
      </c>
      <c r="B76" s="14" t="s">
        <v>192</v>
      </c>
      <c r="C76" s="15"/>
      <c r="D76" s="15"/>
      <c r="E76" s="15"/>
      <c r="F76" s="15"/>
      <c r="G76" s="15"/>
    </row>
    <row r="77" customFormat="false" ht="15" hidden="false" customHeight="true" outlineLevel="0" collapsed="false">
      <c r="A77" s="13"/>
      <c r="B77" s="16" t="s">
        <v>193</v>
      </c>
      <c r="C77" s="15"/>
      <c r="D77" s="15"/>
      <c r="E77" s="15"/>
      <c r="F77" s="15"/>
      <c r="G77" s="15"/>
    </row>
    <row r="78" customFormat="false" ht="25.5" hidden="false" customHeight="true" outlineLevel="0" collapsed="false">
      <c r="A78" s="11" t="s">
        <v>194</v>
      </c>
      <c r="B78" s="12" t="s">
        <v>195</v>
      </c>
      <c r="C78" s="12" t="s">
        <v>196</v>
      </c>
      <c r="D78" s="12" t="s">
        <v>197</v>
      </c>
      <c r="E78" s="11" t="s">
        <v>31</v>
      </c>
      <c r="F78" s="12"/>
      <c r="G78" s="12"/>
    </row>
    <row r="79" customFormat="false" ht="15" hidden="false" customHeight="true" outlineLevel="0" collapsed="false">
      <c r="A79" s="13" t="s">
        <v>198</v>
      </c>
      <c r="B79" s="14" t="s">
        <v>199</v>
      </c>
      <c r="C79" s="15"/>
      <c r="D79" s="15"/>
      <c r="E79" s="15"/>
      <c r="F79" s="15"/>
      <c r="G79" s="15"/>
    </row>
    <row r="80" customFormat="false" ht="15" hidden="false" customHeight="true" outlineLevel="0" collapsed="false">
      <c r="A80" s="13" t="s">
        <v>200</v>
      </c>
      <c r="B80" s="14" t="s">
        <v>201</v>
      </c>
      <c r="C80" s="15"/>
      <c r="D80" s="15"/>
      <c r="E80" s="15"/>
      <c r="F80" s="15"/>
      <c r="G80" s="15"/>
    </row>
    <row r="81" customFormat="false" ht="15" hidden="false" customHeight="true" outlineLevel="0" collapsed="false">
      <c r="A81" s="13" t="s">
        <v>202</v>
      </c>
      <c r="B81" s="14" t="s">
        <v>203</v>
      </c>
      <c r="C81" s="15"/>
      <c r="D81" s="15"/>
      <c r="E81" s="15"/>
      <c r="F81" s="15"/>
      <c r="G81" s="15"/>
    </row>
    <row r="82" customFormat="false" ht="15" hidden="false" customHeight="true" outlineLevel="0" collapsed="false">
      <c r="A82" s="13" t="s">
        <v>204</v>
      </c>
      <c r="B82" s="14" t="s">
        <v>205</v>
      </c>
      <c r="C82" s="15"/>
      <c r="D82" s="15"/>
      <c r="E82" s="15"/>
      <c r="F82" s="15"/>
      <c r="G82" s="15"/>
    </row>
    <row r="83" customFormat="false" ht="15" hidden="false" customHeight="true" outlineLevel="0" collapsed="false">
      <c r="A83" s="13" t="s">
        <v>206</v>
      </c>
      <c r="B83" s="14" t="s">
        <v>207</v>
      </c>
      <c r="C83" s="15"/>
      <c r="D83" s="15"/>
      <c r="E83" s="15"/>
      <c r="F83" s="15"/>
      <c r="G83" s="15"/>
    </row>
    <row r="84" customFormat="false" ht="15" hidden="false" customHeight="true" outlineLevel="0" collapsed="false">
      <c r="A84" s="13" t="s">
        <v>208</v>
      </c>
      <c r="B84" s="14" t="s">
        <v>209</v>
      </c>
      <c r="C84" s="15"/>
      <c r="D84" s="15"/>
      <c r="E84" s="15"/>
      <c r="F84" s="15"/>
      <c r="G84" s="15"/>
    </row>
    <row r="85" customFormat="false" ht="15" hidden="false" customHeight="true" outlineLevel="0" collapsed="false">
      <c r="A85" s="13" t="s">
        <v>210</v>
      </c>
      <c r="B85" s="14" t="s">
        <v>211</v>
      </c>
      <c r="C85" s="15"/>
      <c r="D85" s="15"/>
      <c r="E85" s="15"/>
      <c r="F85" s="15"/>
      <c r="G85" s="15"/>
    </row>
    <row r="86" customFormat="false" ht="15" hidden="false" customHeight="true" outlineLevel="0" collapsed="false">
      <c r="A86" s="13" t="s">
        <v>212</v>
      </c>
      <c r="B86" s="14" t="s">
        <v>213</v>
      </c>
      <c r="C86" s="15"/>
      <c r="D86" s="15"/>
      <c r="E86" s="15"/>
      <c r="F86" s="15"/>
      <c r="G86" s="15"/>
    </row>
    <row r="87" customFormat="false" ht="25.5" hidden="false" customHeight="true" outlineLevel="0" collapsed="false">
      <c r="A87" s="17" t="s">
        <v>214</v>
      </c>
      <c r="B87" s="18" t="s">
        <v>215</v>
      </c>
      <c r="C87" s="18" t="s">
        <v>216</v>
      </c>
      <c r="D87" s="18" t="s">
        <v>217</v>
      </c>
      <c r="E87" s="17" t="s">
        <v>31</v>
      </c>
      <c r="F87" s="18"/>
      <c r="G87" s="18"/>
    </row>
    <row r="88" customFormat="false" ht="15" hidden="false" customHeight="true" outlineLevel="0" collapsed="false">
      <c r="A88" s="13" t="s">
        <v>218</v>
      </c>
      <c r="B88" s="14" t="s">
        <v>219</v>
      </c>
      <c r="C88" s="15"/>
      <c r="D88" s="15"/>
      <c r="E88" s="15"/>
      <c r="F88" s="15"/>
      <c r="G88" s="15"/>
    </row>
    <row r="89" customFormat="false" ht="15" hidden="false" customHeight="true" outlineLevel="0" collapsed="false">
      <c r="A89" s="13" t="s">
        <v>220</v>
      </c>
      <c r="B89" s="14" t="s">
        <v>221</v>
      </c>
      <c r="C89" s="15"/>
      <c r="D89" s="15"/>
      <c r="E89" s="15"/>
      <c r="F89" s="15"/>
      <c r="G89" s="15"/>
    </row>
    <row r="90" customFormat="false" ht="15" hidden="false" customHeight="true" outlineLevel="0" collapsed="false">
      <c r="A90" s="13" t="s">
        <v>222</v>
      </c>
      <c r="B90" s="14" t="s">
        <v>223</v>
      </c>
      <c r="C90" s="15"/>
      <c r="D90" s="15"/>
      <c r="E90" s="15"/>
      <c r="F90" s="15"/>
      <c r="G90" s="15"/>
    </row>
    <row r="91" customFormat="false" ht="15" hidden="false" customHeight="true" outlineLevel="0" collapsed="false">
      <c r="A91" s="13" t="s">
        <v>224</v>
      </c>
      <c r="B91" s="14" t="s">
        <v>225</v>
      </c>
      <c r="C91" s="15"/>
      <c r="D91" s="15"/>
      <c r="E91" s="15"/>
      <c r="F91" s="15"/>
      <c r="G91" s="15"/>
    </row>
    <row r="92" customFormat="false" ht="15" hidden="false" customHeight="true" outlineLevel="0" collapsed="false">
      <c r="A92" s="13" t="s">
        <v>226</v>
      </c>
      <c r="B92" s="14" t="s">
        <v>227</v>
      </c>
      <c r="C92" s="15"/>
      <c r="D92" s="15"/>
      <c r="E92" s="15"/>
      <c r="F92" s="15"/>
      <c r="G92" s="15"/>
    </row>
    <row r="93" customFormat="false" ht="15" hidden="false" customHeight="true" outlineLevel="0" collapsed="false">
      <c r="A93" s="13" t="s">
        <v>228</v>
      </c>
      <c r="B93" s="14" t="s">
        <v>229</v>
      </c>
      <c r="C93" s="15"/>
      <c r="D93" s="15"/>
      <c r="E93" s="15"/>
      <c r="F93" s="15"/>
      <c r="G93" s="15"/>
    </row>
    <row r="94" customFormat="false" ht="23.25" hidden="false" customHeight="true" outlineLevel="0" collapsed="false">
      <c r="A94" s="13" t="s">
        <v>230</v>
      </c>
      <c r="B94" s="14" t="s">
        <v>231</v>
      </c>
      <c r="C94" s="15"/>
      <c r="D94" s="15"/>
      <c r="E94" s="15"/>
      <c r="F94" s="15"/>
      <c r="G94" s="15"/>
    </row>
    <row r="95" customFormat="false" ht="23.25" hidden="false" customHeight="true" outlineLevel="0" collapsed="false">
      <c r="A95" s="13" t="s">
        <v>232</v>
      </c>
      <c r="B95" s="14" t="s">
        <v>233</v>
      </c>
      <c r="C95" s="15"/>
      <c r="D95" s="15"/>
      <c r="E95" s="15"/>
      <c r="F95" s="15"/>
      <c r="G95" s="15"/>
    </row>
    <row r="96" customFormat="false" ht="25.5" hidden="false" customHeight="true" outlineLevel="0" collapsed="false">
      <c r="A96" s="17" t="s">
        <v>234</v>
      </c>
      <c r="B96" s="18" t="s">
        <v>235</v>
      </c>
      <c r="C96" s="18" t="s">
        <v>236</v>
      </c>
      <c r="D96" s="18" t="s">
        <v>148</v>
      </c>
      <c r="E96" s="17" t="s">
        <v>114</v>
      </c>
      <c r="F96" s="18"/>
      <c r="G96" s="18"/>
    </row>
    <row r="97" customFormat="false" ht="23.25" hidden="false" customHeight="true" outlineLevel="0" collapsed="false">
      <c r="A97" s="13" t="s">
        <v>237</v>
      </c>
      <c r="B97" s="14" t="s">
        <v>238</v>
      </c>
      <c r="C97" s="15"/>
      <c r="D97" s="15"/>
      <c r="E97" s="15"/>
      <c r="F97" s="15"/>
      <c r="G97" s="15"/>
    </row>
    <row r="98" customFormat="false" ht="15" hidden="false" customHeight="true" outlineLevel="0" collapsed="false">
      <c r="A98" s="13" t="s">
        <v>239</v>
      </c>
      <c r="B98" s="14" t="s">
        <v>240</v>
      </c>
      <c r="C98" s="15"/>
      <c r="D98" s="15"/>
      <c r="E98" s="15"/>
      <c r="F98" s="15"/>
      <c r="G98" s="15"/>
    </row>
    <row r="99" customFormat="false" ht="15" hidden="false" customHeight="true" outlineLevel="0" collapsed="false">
      <c r="A99" s="13" t="s">
        <v>241</v>
      </c>
      <c r="B99" s="14" t="s">
        <v>242</v>
      </c>
      <c r="C99" s="15"/>
      <c r="D99" s="15"/>
      <c r="E99" s="15"/>
      <c r="F99" s="15"/>
      <c r="G99" s="15"/>
    </row>
    <row r="100" customFormat="false" ht="15" hidden="false" customHeight="true" outlineLevel="0" collapsed="false">
      <c r="A100" s="13" t="s">
        <v>243</v>
      </c>
      <c r="B100" s="14" t="s">
        <v>244</v>
      </c>
      <c r="C100" s="15"/>
      <c r="D100" s="15"/>
      <c r="E100" s="15"/>
      <c r="F100" s="15"/>
      <c r="G100" s="15"/>
    </row>
    <row r="101" customFormat="false" ht="15" hidden="false" customHeight="true" outlineLevel="0" collapsed="false">
      <c r="A101" s="13" t="s">
        <v>245</v>
      </c>
      <c r="B101" s="14" t="s">
        <v>246</v>
      </c>
      <c r="C101" s="15"/>
      <c r="D101" s="15"/>
      <c r="E101" s="15"/>
      <c r="F101" s="15"/>
      <c r="G101" s="15"/>
    </row>
    <row r="102" customFormat="false" ht="15" hidden="false" customHeight="true" outlineLevel="0" collapsed="false">
      <c r="A102" s="13" t="s">
        <v>247</v>
      </c>
      <c r="B102" s="14" t="s">
        <v>248</v>
      </c>
      <c r="C102" s="15"/>
      <c r="D102" s="15"/>
      <c r="E102" s="15"/>
      <c r="F102" s="15"/>
      <c r="G102" s="15"/>
    </row>
    <row r="103" customFormat="false" ht="15" hidden="false" customHeight="true" outlineLevel="0" collapsed="false">
      <c r="A103" s="13" t="s">
        <v>249</v>
      </c>
      <c r="B103" s="14" t="s">
        <v>250</v>
      </c>
      <c r="C103" s="15"/>
      <c r="D103" s="15"/>
      <c r="E103" s="15"/>
      <c r="F103" s="15"/>
      <c r="G103" s="15"/>
    </row>
    <row r="104" customFormat="false" ht="25.5" hidden="false" customHeight="true" outlineLevel="0" collapsed="false">
      <c r="A104" s="17" t="s">
        <v>251</v>
      </c>
      <c r="B104" s="18" t="s">
        <v>252</v>
      </c>
      <c r="C104" s="18" t="s">
        <v>253</v>
      </c>
      <c r="D104" s="18" t="s">
        <v>254</v>
      </c>
      <c r="E104" s="17" t="s">
        <v>255</v>
      </c>
      <c r="F104" s="18"/>
      <c r="G104" s="18"/>
    </row>
    <row r="105" customFormat="false" ht="15" hidden="false" customHeight="true" outlineLevel="0" collapsed="false">
      <c r="A105" s="13" t="s">
        <v>256</v>
      </c>
      <c r="B105" s="14" t="s">
        <v>257</v>
      </c>
      <c r="C105" s="15"/>
      <c r="D105" s="15"/>
      <c r="E105" s="15"/>
      <c r="F105" s="15"/>
      <c r="G105" s="15"/>
    </row>
    <row r="106" customFormat="false" ht="23.25" hidden="false" customHeight="true" outlineLevel="0" collapsed="false">
      <c r="A106" s="13" t="s">
        <v>258</v>
      </c>
      <c r="B106" s="14" t="s">
        <v>259</v>
      </c>
      <c r="C106" s="15"/>
      <c r="D106" s="15"/>
      <c r="E106" s="15"/>
      <c r="F106" s="15"/>
      <c r="G106" s="15"/>
    </row>
    <row r="107" customFormat="false" ht="15" hidden="false" customHeight="true" outlineLevel="0" collapsed="false">
      <c r="A107" s="13" t="s">
        <v>260</v>
      </c>
      <c r="B107" s="14" t="s">
        <v>261</v>
      </c>
      <c r="C107" s="15"/>
      <c r="D107" s="15"/>
      <c r="E107" s="15"/>
      <c r="F107" s="15"/>
      <c r="G107" s="15"/>
    </row>
    <row r="108" customFormat="false" ht="23.25" hidden="false" customHeight="true" outlineLevel="0" collapsed="false">
      <c r="A108" s="13" t="s">
        <v>262</v>
      </c>
      <c r="B108" s="14" t="s">
        <v>263</v>
      </c>
      <c r="C108" s="15"/>
      <c r="D108" s="15"/>
      <c r="E108" s="15"/>
      <c r="F108" s="15"/>
      <c r="G108" s="15"/>
    </row>
    <row r="109" customFormat="false" ht="15" hidden="false" customHeight="true" outlineLevel="0" collapsed="false">
      <c r="A109" s="13" t="s">
        <v>264</v>
      </c>
      <c r="B109" s="14" t="s">
        <v>265</v>
      </c>
      <c r="C109" s="15"/>
      <c r="D109" s="15"/>
      <c r="E109" s="15"/>
      <c r="F109" s="15"/>
      <c r="G109" s="15"/>
    </row>
    <row r="110" customFormat="false" ht="15" hidden="false" customHeight="true" outlineLevel="0" collapsed="false">
      <c r="A110" s="13" t="s">
        <v>266</v>
      </c>
      <c r="B110" s="14" t="s">
        <v>267</v>
      </c>
      <c r="C110" s="15"/>
      <c r="D110" s="15"/>
      <c r="E110" s="15"/>
      <c r="F110" s="15"/>
      <c r="G110" s="15"/>
    </row>
    <row r="111" customFormat="false" ht="25.5" hidden="false" customHeight="true" outlineLevel="0" collapsed="false">
      <c r="A111" s="17" t="s">
        <v>268</v>
      </c>
      <c r="B111" s="18" t="s">
        <v>269</v>
      </c>
      <c r="C111" s="18" t="s">
        <v>270</v>
      </c>
      <c r="D111" s="18" t="s">
        <v>113</v>
      </c>
      <c r="E111" s="17" t="s">
        <v>271</v>
      </c>
      <c r="F111" s="18"/>
      <c r="G111" s="18"/>
    </row>
    <row r="112" customFormat="false" ht="15" hidden="false" customHeight="true" outlineLevel="0" collapsed="false">
      <c r="A112" s="13" t="s">
        <v>272</v>
      </c>
      <c r="B112" s="14" t="s">
        <v>273</v>
      </c>
      <c r="C112" s="15"/>
      <c r="D112" s="15"/>
      <c r="E112" s="15"/>
      <c r="F112" s="15"/>
      <c r="G112" s="15"/>
    </row>
    <row r="113" customFormat="false" ht="15" hidden="false" customHeight="true" outlineLevel="0" collapsed="false">
      <c r="A113" s="13" t="s">
        <v>274</v>
      </c>
      <c r="B113" s="14" t="s">
        <v>275</v>
      </c>
      <c r="C113" s="15"/>
      <c r="D113" s="15"/>
      <c r="E113" s="15"/>
      <c r="F113" s="15"/>
      <c r="G113" s="15"/>
    </row>
    <row r="114" customFormat="false" ht="15" hidden="false" customHeight="true" outlineLevel="0" collapsed="false">
      <c r="A114" s="13" t="s">
        <v>276</v>
      </c>
      <c r="B114" s="14" t="s">
        <v>277</v>
      </c>
      <c r="C114" s="15"/>
      <c r="D114" s="15"/>
      <c r="E114" s="15"/>
      <c r="F114" s="15"/>
      <c r="G114" s="15"/>
    </row>
    <row r="115" customFormat="false" ht="15" hidden="false" customHeight="true" outlineLevel="0" collapsed="false">
      <c r="A115" s="13" t="s">
        <v>278</v>
      </c>
      <c r="B115" s="14" t="s">
        <v>279</v>
      </c>
      <c r="C115" s="15"/>
      <c r="D115" s="15"/>
      <c r="E115" s="15"/>
      <c r="F115" s="15"/>
      <c r="G115" s="15"/>
    </row>
    <row r="116" customFormat="false" ht="15" hidden="false" customHeight="true" outlineLevel="0" collapsed="false">
      <c r="A116" s="13"/>
      <c r="B116" s="16" t="s">
        <v>280</v>
      </c>
      <c r="C116" s="15"/>
      <c r="D116" s="15"/>
      <c r="E116" s="15"/>
      <c r="F116" s="15"/>
      <c r="G116" s="15"/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F4 F12 F20 F31 F41 F48 F56 F65 F72 F78 F87 F96 F104 F111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70"/>
  </cols>
  <sheetData>
    <row r="1" customFormat="false" ht="256.5" hidden="false" customHeight="true" outlineLevel="0" collapsed="false">
      <c r="A1" s="8" t="s">
        <v>281</v>
      </c>
    </row>
    <row r="2" customFormat="false" ht="15" hidden="false" customHeight="true" outlineLevel="0" collapsed="false">
      <c r="A2" s="10" t="s">
        <v>20</v>
      </c>
      <c r="B2" s="10" t="s">
        <v>282</v>
      </c>
      <c r="C2" s="10" t="s">
        <v>283</v>
      </c>
    </row>
    <row r="3" customFormat="false" ht="15" hidden="false" customHeight="true" outlineLevel="0" collapsed="false">
      <c r="A3" s="11" t="s">
        <v>27</v>
      </c>
      <c r="B3" s="12" t="s">
        <v>28</v>
      </c>
      <c r="C3" s="4" t="s">
        <v>284</v>
      </c>
    </row>
    <row r="4" customFormat="false" ht="15" hidden="false" customHeight="true" outlineLevel="0" collapsed="false">
      <c r="A4" s="15"/>
      <c r="B4" s="15"/>
      <c r="C4" s="14" t="s">
        <v>285</v>
      </c>
    </row>
    <row r="5" customFormat="false" ht="15" hidden="false" customHeight="true" outlineLevel="0" collapsed="false">
      <c r="A5" s="15"/>
      <c r="B5" s="15"/>
      <c r="C5" s="14" t="s">
        <v>286</v>
      </c>
    </row>
    <row r="6" customFormat="false" ht="15" hidden="false" customHeight="true" outlineLevel="0" collapsed="false">
      <c r="A6" s="11" t="s">
        <v>46</v>
      </c>
      <c r="B6" s="12" t="s">
        <v>47</v>
      </c>
      <c r="C6" s="4" t="s">
        <v>287</v>
      </c>
    </row>
    <row r="7" customFormat="false" ht="15" hidden="false" customHeight="true" outlineLevel="0" collapsed="false">
      <c r="A7" s="15"/>
      <c r="B7" s="15"/>
      <c r="C7" s="14" t="s">
        <v>288</v>
      </c>
    </row>
    <row r="8" customFormat="false" ht="15" hidden="false" customHeight="true" outlineLevel="0" collapsed="false">
      <c r="A8" s="15"/>
      <c r="B8" s="15"/>
      <c r="C8" s="14" t="s">
        <v>289</v>
      </c>
    </row>
    <row r="9" customFormat="false" ht="15" hidden="false" customHeight="true" outlineLevel="0" collapsed="false">
      <c r="A9" s="11" t="s">
        <v>64</v>
      </c>
      <c r="B9" s="12" t="s">
        <v>65</v>
      </c>
      <c r="C9" s="4" t="s">
        <v>290</v>
      </c>
    </row>
    <row r="10" customFormat="false" ht="15" hidden="false" customHeight="true" outlineLevel="0" collapsed="false">
      <c r="A10" s="15"/>
      <c r="B10" s="15"/>
      <c r="C10" s="14" t="s">
        <v>291</v>
      </c>
    </row>
    <row r="11" customFormat="false" ht="15" hidden="false" customHeight="true" outlineLevel="0" collapsed="false">
      <c r="A11" s="15"/>
      <c r="B11" s="15"/>
      <c r="C11" s="14" t="s">
        <v>292</v>
      </c>
    </row>
    <row r="12" customFormat="false" ht="15" hidden="false" customHeight="true" outlineLevel="0" collapsed="false">
      <c r="A12" s="11" t="s">
        <v>89</v>
      </c>
      <c r="B12" s="12" t="s">
        <v>90</v>
      </c>
      <c r="C12" s="4" t="s">
        <v>293</v>
      </c>
    </row>
    <row r="13" customFormat="false" ht="15" hidden="false" customHeight="true" outlineLevel="0" collapsed="false">
      <c r="A13" s="15"/>
      <c r="B13" s="15"/>
      <c r="C13" s="14" t="s">
        <v>294</v>
      </c>
    </row>
    <row r="14" customFormat="false" ht="15" hidden="false" customHeight="true" outlineLevel="0" collapsed="false">
      <c r="A14" s="15"/>
      <c r="B14" s="15"/>
      <c r="C14" s="14" t="s">
        <v>295</v>
      </c>
    </row>
    <row r="15" customFormat="false" ht="15" hidden="false" customHeight="true" outlineLevel="0" collapsed="false">
      <c r="A15" s="11" t="s">
        <v>110</v>
      </c>
      <c r="B15" s="12" t="s">
        <v>111</v>
      </c>
      <c r="C15" s="4" t="s">
        <v>296</v>
      </c>
    </row>
    <row r="16" customFormat="false" ht="15" hidden="false" customHeight="true" outlineLevel="0" collapsed="false">
      <c r="A16" s="15"/>
      <c r="B16" s="15"/>
      <c r="C16" s="14" t="s">
        <v>297</v>
      </c>
    </row>
    <row r="17" customFormat="false" ht="15" hidden="false" customHeight="true" outlineLevel="0" collapsed="false">
      <c r="A17" s="15"/>
      <c r="B17" s="15"/>
      <c r="C17" s="14" t="s">
        <v>298</v>
      </c>
    </row>
    <row r="18" customFormat="false" ht="15" hidden="false" customHeight="true" outlineLevel="0" collapsed="false">
      <c r="A18" s="11" t="s">
        <v>126</v>
      </c>
      <c r="B18" s="12" t="s">
        <v>127</v>
      </c>
      <c r="C18" s="4" t="s">
        <v>299</v>
      </c>
    </row>
    <row r="19" customFormat="false" ht="15" hidden="false" customHeight="true" outlineLevel="0" collapsed="false">
      <c r="A19" s="15"/>
      <c r="B19" s="15"/>
      <c r="C19" s="14" t="s">
        <v>300</v>
      </c>
    </row>
    <row r="20" customFormat="false" ht="15" hidden="false" customHeight="true" outlineLevel="0" collapsed="false">
      <c r="A20" s="15"/>
      <c r="B20" s="15"/>
      <c r="C20" s="14" t="s">
        <v>301</v>
      </c>
    </row>
    <row r="21" customFormat="false" ht="15" hidden="false" customHeight="true" outlineLevel="0" collapsed="false">
      <c r="A21" s="11" t="s">
        <v>145</v>
      </c>
      <c r="B21" s="12" t="s">
        <v>146</v>
      </c>
      <c r="C21" s="4" t="s">
        <v>302</v>
      </c>
    </row>
    <row r="22" customFormat="false" ht="15" hidden="false" customHeight="true" outlineLevel="0" collapsed="false">
      <c r="A22" s="15"/>
      <c r="B22" s="15"/>
      <c r="C22" s="14" t="s">
        <v>303</v>
      </c>
    </row>
    <row r="23" customFormat="false" ht="15" hidden="false" customHeight="true" outlineLevel="0" collapsed="false">
      <c r="A23" s="15"/>
      <c r="B23" s="15"/>
      <c r="C23" s="14" t="s">
        <v>304</v>
      </c>
    </row>
    <row r="24" customFormat="false" ht="15" hidden="false" customHeight="true" outlineLevel="0" collapsed="false">
      <c r="A24" s="11" t="s">
        <v>166</v>
      </c>
      <c r="B24" s="12" t="s">
        <v>167</v>
      </c>
      <c r="C24" s="4" t="s">
        <v>305</v>
      </c>
    </row>
    <row r="25" customFormat="false" ht="15" hidden="false" customHeight="true" outlineLevel="0" collapsed="false">
      <c r="A25" s="15"/>
      <c r="B25" s="15"/>
      <c r="C25" s="14" t="s">
        <v>306</v>
      </c>
    </row>
    <row r="26" customFormat="false" ht="15" hidden="false" customHeight="true" outlineLevel="0" collapsed="false">
      <c r="A26" s="15"/>
      <c r="B26" s="15"/>
      <c r="C26" s="14" t="s">
        <v>307</v>
      </c>
    </row>
    <row r="27" customFormat="false" ht="15" hidden="false" customHeight="true" outlineLevel="0" collapsed="false">
      <c r="A27" s="11" t="s">
        <v>182</v>
      </c>
      <c r="B27" s="12" t="s">
        <v>183</v>
      </c>
      <c r="C27" s="4" t="s">
        <v>308</v>
      </c>
    </row>
    <row r="28" customFormat="false" ht="15" hidden="false" customHeight="true" outlineLevel="0" collapsed="false">
      <c r="A28" s="15"/>
      <c r="B28" s="15"/>
      <c r="C28" s="14" t="s">
        <v>309</v>
      </c>
    </row>
    <row r="29" customFormat="false" ht="15" hidden="false" customHeight="true" outlineLevel="0" collapsed="false">
      <c r="A29" s="15"/>
      <c r="B29" s="15"/>
      <c r="C29" s="14" t="s">
        <v>310</v>
      </c>
    </row>
    <row r="30" customFormat="false" ht="15" hidden="false" customHeight="true" outlineLevel="0" collapsed="false">
      <c r="A30" s="11" t="s">
        <v>194</v>
      </c>
      <c r="B30" s="12" t="s">
        <v>195</v>
      </c>
      <c r="C30" s="4" t="s">
        <v>311</v>
      </c>
    </row>
    <row r="31" customFormat="false" ht="15" hidden="false" customHeight="true" outlineLevel="0" collapsed="false">
      <c r="A31" s="15"/>
      <c r="B31" s="15"/>
      <c r="C31" s="14" t="s">
        <v>312</v>
      </c>
    </row>
    <row r="32" customFormat="false" ht="15" hidden="false" customHeight="true" outlineLevel="0" collapsed="false">
      <c r="A32" s="15"/>
      <c r="B32" s="15"/>
      <c r="C32" s="14" t="s">
        <v>313</v>
      </c>
    </row>
    <row r="33" customFormat="false" ht="15" hidden="false" customHeight="true" outlineLevel="0" collapsed="false">
      <c r="A33" s="17" t="s">
        <v>214</v>
      </c>
      <c r="B33" s="18" t="s">
        <v>215</v>
      </c>
      <c r="C33" s="19" t="s">
        <v>314</v>
      </c>
    </row>
    <row r="34" customFormat="false" ht="15" hidden="false" customHeight="true" outlineLevel="0" collapsed="false">
      <c r="A34" s="15"/>
      <c r="B34" s="15"/>
      <c r="C34" s="14" t="s">
        <v>315</v>
      </c>
    </row>
    <row r="35" customFormat="false" ht="15" hidden="false" customHeight="true" outlineLevel="0" collapsed="false">
      <c r="A35" s="15"/>
      <c r="B35" s="15"/>
      <c r="C35" s="14" t="s">
        <v>316</v>
      </c>
    </row>
    <row r="36" customFormat="false" ht="15" hidden="false" customHeight="true" outlineLevel="0" collapsed="false">
      <c r="A36" s="17" t="s">
        <v>234</v>
      </c>
      <c r="B36" s="18" t="s">
        <v>235</v>
      </c>
      <c r="C36" s="19" t="s">
        <v>317</v>
      </c>
    </row>
    <row r="37" customFormat="false" ht="15" hidden="false" customHeight="true" outlineLevel="0" collapsed="false">
      <c r="A37" s="15"/>
      <c r="B37" s="15"/>
      <c r="C37" s="14" t="s">
        <v>318</v>
      </c>
    </row>
    <row r="38" customFormat="false" ht="15" hidden="false" customHeight="true" outlineLevel="0" collapsed="false">
      <c r="A38" s="15"/>
      <c r="B38" s="15"/>
      <c r="C38" s="14" t="s">
        <v>319</v>
      </c>
    </row>
    <row r="39" customFormat="false" ht="15" hidden="false" customHeight="true" outlineLevel="0" collapsed="false">
      <c r="A39" s="17" t="s">
        <v>251</v>
      </c>
      <c r="B39" s="18" t="s">
        <v>252</v>
      </c>
      <c r="C39" s="19" t="s">
        <v>320</v>
      </c>
    </row>
    <row r="40" customFormat="false" ht="15" hidden="false" customHeight="true" outlineLevel="0" collapsed="false">
      <c r="A40" s="15"/>
      <c r="B40" s="15"/>
      <c r="C40" s="14" t="s">
        <v>321</v>
      </c>
    </row>
    <row r="41" customFormat="false" ht="15" hidden="false" customHeight="true" outlineLevel="0" collapsed="false">
      <c r="A41" s="15"/>
      <c r="B41" s="15"/>
      <c r="C41" s="14" t="s">
        <v>322</v>
      </c>
    </row>
    <row r="42" customFormat="false" ht="15" hidden="false" customHeight="true" outlineLevel="0" collapsed="false">
      <c r="A42" s="17" t="s">
        <v>268</v>
      </c>
      <c r="B42" s="18" t="s">
        <v>269</v>
      </c>
      <c r="C42" s="19" t="s">
        <v>323</v>
      </c>
    </row>
    <row r="43" customFormat="false" ht="15" hidden="false" customHeight="true" outlineLevel="0" collapsed="false">
      <c r="A43" s="15"/>
      <c r="B43" s="15"/>
      <c r="C43" s="14" t="s">
        <v>324</v>
      </c>
    </row>
    <row r="44" customFormat="false" ht="15" hidden="false" customHeight="true" outlineLevel="0" collapsed="false">
      <c r="A44" s="15"/>
      <c r="B44" s="15"/>
      <c r="C44" s="14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34"/>
  </cols>
  <sheetData>
    <row r="1" customFormat="false" ht="228" hidden="false" customHeight="true" outlineLevel="0" collapsed="false">
      <c r="A1" s="8" t="s">
        <v>326</v>
      </c>
    </row>
    <row r="3" customFormat="false" ht="23.25" hidden="false" customHeight="true" outlineLevel="0" collapsed="false">
      <c r="A3" s="6" t="s">
        <v>327</v>
      </c>
      <c r="C3" s="20"/>
      <c r="D3" s="20"/>
    </row>
    <row r="4" customFormat="false" ht="23.25" hidden="false" customHeight="true" outlineLevel="0" collapsed="false">
      <c r="A4" s="6" t="s">
        <v>328</v>
      </c>
      <c r="C4" s="20"/>
      <c r="D4" s="20"/>
    </row>
    <row r="5" customFormat="false" ht="34.5" hidden="false" customHeight="true" outlineLevel="0" collapsed="false">
      <c r="A5" s="6" t="s">
        <v>329</v>
      </c>
      <c r="C5" s="20"/>
      <c r="D5" s="20"/>
    </row>
    <row r="6" customFormat="false" ht="34.5" hidden="false" customHeight="true" outlineLevel="0" collapsed="false">
      <c r="A6" s="6" t="s">
        <v>330</v>
      </c>
      <c r="C6" s="20"/>
      <c r="D6" s="20"/>
    </row>
    <row r="8" customFormat="false" ht="15" hidden="false" customHeight="true" outlineLevel="0" collapsed="false">
      <c r="A8" s="21" t="s">
        <v>331</v>
      </c>
      <c r="B8" s="21"/>
      <c r="C8" s="21"/>
      <c r="D8" s="21"/>
      <c r="E8" s="21"/>
      <c r="F8" s="21"/>
    </row>
    <row r="9" customFormat="false" ht="15" hidden="false" customHeight="true" outlineLevel="0" collapsed="false">
      <c r="A9" s="9" t="s">
        <v>332</v>
      </c>
      <c r="B9" s="9"/>
      <c r="C9" s="9"/>
      <c r="D9" s="9"/>
      <c r="E9" s="9"/>
      <c r="F9" s="9"/>
    </row>
    <row r="10" customFormat="false" ht="15" hidden="false" customHeight="true" outlineLevel="0" collapsed="false">
      <c r="A10" s="10" t="s">
        <v>20</v>
      </c>
      <c r="B10" s="10" t="s">
        <v>333</v>
      </c>
      <c r="C10" s="10" t="s">
        <v>25</v>
      </c>
      <c r="D10" s="10" t="s">
        <v>334</v>
      </c>
      <c r="E10" s="10" t="s">
        <v>335</v>
      </c>
      <c r="F10" s="10" t="s">
        <v>336</v>
      </c>
    </row>
    <row r="11" customFormat="false" ht="15" hidden="false" customHeight="true" outlineLevel="0" collapsed="false">
      <c r="A11" s="22" t="s">
        <v>27</v>
      </c>
      <c r="B11" s="14" t="s">
        <v>28</v>
      </c>
      <c r="C11" s="15"/>
      <c r="D11" s="15"/>
      <c r="E11" s="15"/>
      <c r="F11" s="15"/>
    </row>
    <row r="12" customFormat="false" ht="15" hidden="false" customHeight="true" outlineLevel="0" collapsed="false">
      <c r="A12" s="22" t="s">
        <v>46</v>
      </c>
      <c r="B12" s="14" t="s">
        <v>47</v>
      </c>
      <c r="C12" s="15"/>
      <c r="D12" s="15"/>
      <c r="E12" s="15"/>
      <c r="F12" s="15"/>
    </row>
    <row r="13" customFormat="false" ht="15" hidden="false" customHeight="true" outlineLevel="0" collapsed="false">
      <c r="A13" s="22" t="s">
        <v>64</v>
      </c>
      <c r="B13" s="14" t="s">
        <v>65</v>
      </c>
      <c r="C13" s="15"/>
      <c r="D13" s="15"/>
      <c r="E13" s="15"/>
      <c r="F13" s="15"/>
    </row>
    <row r="14" customFormat="false" ht="15" hidden="false" customHeight="true" outlineLevel="0" collapsed="false">
      <c r="A14" s="22" t="s">
        <v>89</v>
      </c>
      <c r="B14" s="14" t="s">
        <v>90</v>
      </c>
      <c r="C14" s="15"/>
      <c r="D14" s="15"/>
      <c r="E14" s="15"/>
      <c r="F14" s="15"/>
    </row>
    <row r="15" customFormat="false" ht="15" hidden="false" customHeight="true" outlineLevel="0" collapsed="false">
      <c r="A15" s="22" t="s">
        <v>110</v>
      </c>
      <c r="B15" s="14" t="s">
        <v>111</v>
      </c>
      <c r="C15" s="15"/>
      <c r="D15" s="15"/>
      <c r="E15" s="15"/>
      <c r="F15" s="15"/>
    </row>
    <row r="16" customFormat="false" ht="15" hidden="false" customHeight="true" outlineLevel="0" collapsed="false">
      <c r="A16" s="22" t="s">
        <v>126</v>
      </c>
      <c r="B16" s="14" t="s">
        <v>127</v>
      </c>
      <c r="C16" s="15"/>
      <c r="D16" s="15"/>
      <c r="E16" s="15"/>
      <c r="F16" s="15"/>
    </row>
    <row r="17" customFormat="false" ht="15" hidden="false" customHeight="true" outlineLevel="0" collapsed="false">
      <c r="A17" s="22" t="s">
        <v>145</v>
      </c>
      <c r="B17" s="14" t="s">
        <v>146</v>
      </c>
      <c r="C17" s="15"/>
      <c r="D17" s="15"/>
      <c r="E17" s="15"/>
      <c r="F17" s="15"/>
    </row>
    <row r="18" customFormat="false" ht="15" hidden="false" customHeight="true" outlineLevel="0" collapsed="false">
      <c r="A18" s="22" t="s">
        <v>166</v>
      </c>
      <c r="B18" s="14" t="s">
        <v>167</v>
      </c>
      <c r="C18" s="15"/>
      <c r="D18" s="15"/>
      <c r="E18" s="15"/>
      <c r="F18" s="15"/>
    </row>
    <row r="19" customFormat="false" ht="15" hidden="false" customHeight="true" outlineLevel="0" collapsed="false">
      <c r="A19" s="22" t="s">
        <v>182</v>
      </c>
      <c r="B19" s="14" t="s">
        <v>183</v>
      </c>
      <c r="C19" s="15"/>
      <c r="D19" s="15"/>
      <c r="E19" s="15"/>
      <c r="F19" s="15"/>
    </row>
    <row r="20" customFormat="false" ht="15" hidden="false" customHeight="true" outlineLevel="0" collapsed="false">
      <c r="A20" s="22" t="s">
        <v>194</v>
      </c>
      <c r="B20" s="14" t="s">
        <v>195</v>
      </c>
      <c r="C20" s="15"/>
      <c r="D20" s="15"/>
      <c r="E20" s="15"/>
      <c r="F20" s="15"/>
    </row>
    <row r="21" customFormat="false" ht="15" hidden="false" customHeight="true" outlineLevel="0" collapsed="false">
      <c r="A21" s="22" t="s">
        <v>214</v>
      </c>
      <c r="B21" s="14" t="s">
        <v>215</v>
      </c>
      <c r="C21" s="15"/>
      <c r="D21" s="15"/>
      <c r="E21" s="15"/>
      <c r="F21" s="15"/>
    </row>
    <row r="22" customFormat="false" ht="15" hidden="false" customHeight="true" outlineLevel="0" collapsed="false">
      <c r="A22" s="22" t="s">
        <v>234</v>
      </c>
      <c r="B22" s="14" t="s">
        <v>235</v>
      </c>
      <c r="C22" s="15"/>
      <c r="D22" s="15"/>
      <c r="E22" s="15"/>
      <c r="F22" s="15"/>
    </row>
    <row r="23" customFormat="false" ht="15" hidden="false" customHeight="true" outlineLevel="0" collapsed="false">
      <c r="A23" s="22" t="s">
        <v>251</v>
      </c>
      <c r="B23" s="14" t="s">
        <v>252</v>
      </c>
      <c r="C23" s="15"/>
      <c r="D23" s="15"/>
      <c r="E23" s="15"/>
      <c r="F23" s="15"/>
    </row>
    <row r="24" customFormat="false" ht="15" hidden="false" customHeight="true" outlineLevel="0" collapsed="false">
      <c r="A24" s="22" t="s">
        <v>268</v>
      </c>
      <c r="B24" s="14" t="s">
        <v>269</v>
      </c>
      <c r="C24" s="15"/>
      <c r="D24" s="15"/>
      <c r="E24" s="15"/>
      <c r="F24" s="15"/>
    </row>
    <row r="26" customFormat="false" ht="15" hidden="false" customHeight="true" outlineLevel="0" collapsed="false">
      <c r="A26" s="21" t="s">
        <v>337</v>
      </c>
      <c r="B26" s="21"/>
      <c r="C26" s="21"/>
      <c r="D26" s="21"/>
      <c r="E26" s="21"/>
      <c r="F26" s="21"/>
    </row>
    <row r="27" customFormat="false" ht="21.75" hidden="false" customHeight="true" outlineLevel="0" collapsed="false">
      <c r="A27" s="23" t="s">
        <v>338</v>
      </c>
      <c r="B27" s="23"/>
      <c r="C27" s="20"/>
      <c r="D27" s="20"/>
      <c r="E27" s="20"/>
      <c r="F27" s="20"/>
    </row>
    <row r="28" customFormat="false" ht="21.75" hidden="false" customHeight="true" outlineLevel="0" collapsed="false">
      <c r="A28" s="23" t="s">
        <v>339</v>
      </c>
      <c r="B28" s="23"/>
      <c r="C28" s="20"/>
      <c r="D28" s="20"/>
      <c r="E28" s="20"/>
      <c r="F28" s="20"/>
    </row>
    <row r="29" customFormat="false" ht="21.75" hidden="false" customHeight="true" outlineLevel="0" collapsed="false">
      <c r="A29" s="23" t="s">
        <v>340</v>
      </c>
      <c r="B29" s="23"/>
      <c r="C29" s="20"/>
      <c r="D29" s="20"/>
      <c r="E29" s="20"/>
      <c r="F29" s="20"/>
    </row>
    <row r="31" customFormat="false" ht="15" hidden="false" customHeight="true" outlineLevel="0" collapsed="false">
      <c r="A31" s="21" t="s">
        <v>341</v>
      </c>
      <c r="B31" s="21"/>
      <c r="C31" s="21"/>
      <c r="D31" s="21"/>
      <c r="E31" s="21"/>
      <c r="F31" s="21"/>
    </row>
    <row r="32" customFormat="false" ht="23.25" hidden="false" customHeight="true" outlineLevel="0" collapsed="false">
      <c r="A32" s="10" t="s">
        <v>342</v>
      </c>
      <c r="B32" s="24" t="s">
        <v>343</v>
      </c>
      <c r="C32" s="24"/>
      <c r="D32" s="10" t="s">
        <v>344</v>
      </c>
      <c r="E32" s="24" t="s">
        <v>345</v>
      </c>
      <c r="F32" s="24"/>
    </row>
    <row r="33" customFormat="false" ht="24" hidden="false" customHeight="true" outlineLevel="0" collapsed="false">
      <c r="A33" s="25" t="s">
        <v>346</v>
      </c>
      <c r="B33" s="15"/>
      <c r="C33" s="15"/>
      <c r="D33" s="15"/>
      <c r="E33" s="15"/>
      <c r="F33" s="15"/>
    </row>
    <row r="34" customFormat="false" ht="24" hidden="false" customHeight="true" outlineLevel="0" collapsed="false">
      <c r="A34" s="25" t="s">
        <v>347</v>
      </c>
      <c r="B34" s="15"/>
      <c r="C34" s="15"/>
      <c r="D34" s="15"/>
      <c r="E34" s="15"/>
      <c r="F34" s="15"/>
    </row>
    <row r="35" customFormat="false" ht="24" hidden="false" customHeight="true" outlineLevel="0" collapsed="false">
      <c r="A35" s="25" t="s">
        <v>348</v>
      </c>
      <c r="B35" s="15"/>
      <c r="C35" s="15"/>
      <c r="D35" s="15"/>
      <c r="E35" s="15"/>
      <c r="F35" s="15"/>
    </row>
    <row r="36" customFormat="false" ht="24" hidden="false" customHeight="true" outlineLevel="0" collapsed="false">
      <c r="A36" s="25" t="s">
        <v>349</v>
      </c>
      <c r="B36" s="15"/>
      <c r="C36" s="15"/>
      <c r="D36" s="15"/>
      <c r="E36" s="15"/>
      <c r="F36" s="15"/>
    </row>
  </sheetData>
  <mergeCells count="24">
    <mergeCell ref="C3:D3"/>
    <mergeCell ref="C4:D4"/>
    <mergeCell ref="C5:D5"/>
    <mergeCell ref="C6:D6"/>
    <mergeCell ref="A8:F8"/>
    <mergeCell ref="A9:F9"/>
    <mergeCell ref="A26:F26"/>
    <mergeCell ref="A27:B27"/>
    <mergeCell ref="C27:F27"/>
    <mergeCell ref="A28:B28"/>
    <mergeCell ref="C28:F28"/>
    <mergeCell ref="A29:B29"/>
    <mergeCell ref="C29:F29"/>
    <mergeCell ref="A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</mergeCells>
  <dataValidations count="1">
    <dataValidation allowBlank="true" errorStyle="stop" operator="between" showDropDown="false" showErrorMessage="false" showInputMessage="false" sqref="C11:C2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4" min="3" style="1" width="20"/>
    <col collapsed="false" customWidth="true" hidden="false" outlineLevel="0" max="5" min="5" style="1" width="40"/>
  </cols>
  <sheetData>
    <row r="1" customFormat="false" ht="129" hidden="false" customHeight="true" outlineLevel="0" collapsed="false">
      <c r="A1" s="8" t="s">
        <v>350</v>
      </c>
    </row>
    <row r="2" customFormat="false" ht="26.25" hidden="false" customHeight="true" outlineLevel="0" collapsed="false">
      <c r="A2" s="26" t="s">
        <v>351</v>
      </c>
    </row>
    <row r="3" customFormat="false" ht="15" hidden="false" customHeight="true" outlineLevel="0" collapsed="false">
      <c r="A3" s="7" t="s">
        <v>352</v>
      </c>
      <c r="B3" s="7"/>
      <c r="C3" s="7"/>
      <c r="D3" s="7"/>
      <c r="E3" s="7"/>
    </row>
    <row r="4" customFormat="false" ht="15" hidden="false" customHeight="true" outlineLevel="0" collapsed="false">
      <c r="A4" s="7" t="s">
        <v>353</v>
      </c>
      <c r="B4" s="7"/>
      <c r="C4" s="7"/>
      <c r="D4" s="7"/>
      <c r="E4" s="7"/>
    </row>
    <row r="5" customFormat="false" ht="15" hidden="false" customHeight="true" outlineLevel="0" collapsed="false">
      <c r="A5" s="7" t="s">
        <v>354</v>
      </c>
      <c r="B5" s="7"/>
      <c r="C5" s="7"/>
      <c r="D5" s="7"/>
      <c r="E5" s="7"/>
    </row>
    <row r="6" customFormat="false" ht="15" hidden="false" customHeight="true" outlineLevel="0" collapsed="false">
      <c r="A6" s="7" t="s">
        <v>355</v>
      </c>
      <c r="B6" s="7"/>
      <c r="C6" s="7"/>
      <c r="D6" s="7"/>
      <c r="E6" s="7"/>
    </row>
    <row r="8" customFormat="false" ht="15" hidden="false" customHeight="true" outlineLevel="0" collapsed="false">
      <c r="A8" s="21" t="s">
        <v>356</v>
      </c>
      <c r="B8" s="21"/>
      <c r="C8" s="21"/>
      <c r="D8" s="21"/>
      <c r="E8" s="21"/>
    </row>
    <row r="9" customFormat="false" ht="15" hidden="false" customHeight="true" outlineLevel="0" collapsed="false">
      <c r="A9" s="9" t="s">
        <v>357</v>
      </c>
      <c r="B9" s="9"/>
      <c r="C9" s="9"/>
      <c r="D9" s="9"/>
      <c r="E9" s="9"/>
    </row>
    <row r="10" customFormat="false" ht="15" hidden="false" customHeight="true" outlineLevel="0" collapsed="false">
      <c r="A10" s="10" t="s">
        <v>20</v>
      </c>
      <c r="B10" s="10" t="s">
        <v>333</v>
      </c>
      <c r="C10" s="10" t="s">
        <v>358</v>
      </c>
      <c r="D10" s="10" t="s">
        <v>359</v>
      </c>
      <c r="E10" s="10" t="s">
        <v>336</v>
      </c>
    </row>
    <row r="11" customFormat="false" ht="15" hidden="false" customHeight="true" outlineLevel="0" collapsed="false">
      <c r="A11" s="22" t="s">
        <v>27</v>
      </c>
      <c r="B11" s="14" t="s">
        <v>28</v>
      </c>
      <c r="C11" s="15"/>
      <c r="D11" s="15"/>
      <c r="E11" s="15"/>
    </row>
    <row r="12" customFormat="false" ht="15" hidden="false" customHeight="true" outlineLevel="0" collapsed="false">
      <c r="A12" s="22" t="s">
        <v>46</v>
      </c>
      <c r="B12" s="14" t="s">
        <v>47</v>
      </c>
      <c r="C12" s="15"/>
      <c r="D12" s="15"/>
      <c r="E12" s="15"/>
    </row>
    <row r="13" customFormat="false" ht="15" hidden="false" customHeight="true" outlineLevel="0" collapsed="false">
      <c r="A13" s="22" t="s">
        <v>64</v>
      </c>
      <c r="B13" s="14" t="s">
        <v>65</v>
      </c>
      <c r="C13" s="15"/>
      <c r="D13" s="15"/>
      <c r="E13" s="15"/>
    </row>
    <row r="14" customFormat="false" ht="15" hidden="false" customHeight="true" outlineLevel="0" collapsed="false">
      <c r="A14" s="22" t="s">
        <v>89</v>
      </c>
      <c r="B14" s="14" t="s">
        <v>90</v>
      </c>
      <c r="C14" s="15"/>
      <c r="D14" s="15"/>
      <c r="E14" s="15"/>
    </row>
    <row r="15" customFormat="false" ht="15" hidden="false" customHeight="true" outlineLevel="0" collapsed="false">
      <c r="A15" s="22" t="s">
        <v>110</v>
      </c>
      <c r="B15" s="14" t="s">
        <v>111</v>
      </c>
      <c r="C15" s="15"/>
      <c r="D15" s="15"/>
      <c r="E15" s="15"/>
    </row>
    <row r="16" customFormat="false" ht="15" hidden="false" customHeight="true" outlineLevel="0" collapsed="false">
      <c r="A16" s="22" t="s">
        <v>126</v>
      </c>
      <c r="B16" s="14" t="s">
        <v>127</v>
      </c>
      <c r="C16" s="15"/>
      <c r="D16" s="15"/>
      <c r="E16" s="15"/>
    </row>
    <row r="17" customFormat="false" ht="15" hidden="false" customHeight="true" outlineLevel="0" collapsed="false">
      <c r="A17" s="22" t="s">
        <v>145</v>
      </c>
      <c r="B17" s="14" t="s">
        <v>146</v>
      </c>
      <c r="C17" s="15"/>
      <c r="D17" s="15"/>
      <c r="E17" s="15"/>
    </row>
    <row r="18" customFormat="false" ht="15" hidden="false" customHeight="true" outlineLevel="0" collapsed="false">
      <c r="A18" s="22" t="s">
        <v>166</v>
      </c>
      <c r="B18" s="14" t="s">
        <v>167</v>
      </c>
      <c r="C18" s="15"/>
      <c r="D18" s="15"/>
      <c r="E18" s="15"/>
    </row>
    <row r="19" customFormat="false" ht="15" hidden="false" customHeight="true" outlineLevel="0" collapsed="false">
      <c r="A19" s="22" t="s">
        <v>182</v>
      </c>
      <c r="B19" s="14" t="s">
        <v>183</v>
      </c>
      <c r="C19" s="15"/>
      <c r="D19" s="15"/>
      <c r="E19" s="15"/>
    </row>
    <row r="20" customFormat="false" ht="15" hidden="false" customHeight="true" outlineLevel="0" collapsed="false">
      <c r="A20" s="22" t="s">
        <v>194</v>
      </c>
      <c r="B20" s="14" t="s">
        <v>195</v>
      </c>
      <c r="C20" s="15"/>
      <c r="D20" s="15"/>
      <c r="E20" s="15"/>
    </row>
    <row r="21" customFormat="false" ht="15" hidden="false" customHeight="true" outlineLevel="0" collapsed="false">
      <c r="A21" s="22" t="s">
        <v>214</v>
      </c>
      <c r="B21" s="14" t="s">
        <v>215</v>
      </c>
      <c r="C21" s="15"/>
      <c r="D21" s="15"/>
      <c r="E21" s="15"/>
    </row>
    <row r="22" customFormat="false" ht="15" hidden="false" customHeight="true" outlineLevel="0" collapsed="false">
      <c r="A22" s="22" t="s">
        <v>234</v>
      </c>
      <c r="B22" s="14" t="s">
        <v>235</v>
      </c>
      <c r="C22" s="15"/>
      <c r="D22" s="15"/>
      <c r="E22" s="15"/>
    </row>
    <row r="23" customFormat="false" ht="15" hidden="false" customHeight="true" outlineLevel="0" collapsed="false">
      <c r="A23" s="22" t="s">
        <v>251</v>
      </c>
      <c r="B23" s="14" t="s">
        <v>252</v>
      </c>
      <c r="C23" s="15"/>
      <c r="D23" s="15"/>
      <c r="E23" s="15"/>
    </row>
    <row r="24" customFormat="false" ht="15" hidden="false" customHeight="true" outlineLevel="0" collapsed="false">
      <c r="A24" s="22" t="s">
        <v>268</v>
      </c>
      <c r="B24" s="14" t="s">
        <v>269</v>
      </c>
      <c r="C24" s="15"/>
      <c r="D24" s="15"/>
      <c r="E24" s="15"/>
    </row>
    <row r="25" customFormat="false" ht="15" hidden="false" customHeight="true" outlineLevel="0" collapsed="false">
      <c r="A25" s="27"/>
      <c r="B25" s="27"/>
      <c r="C25" s="27"/>
      <c r="D25" s="27"/>
      <c r="E25" s="27"/>
    </row>
    <row r="26" customFormat="false" ht="15" hidden="false" customHeight="true" outlineLevel="0" collapsed="false">
      <c r="A26" s="28" t="s">
        <v>360</v>
      </c>
      <c r="B26" s="27"/>
      <c r="C26" s="27"/>
      <c r="D26" s="27"/>
      <c r="E26" s="27"/>
    </row>
    <row r="27" customFormat="false" ht="25.5" hidden="false" customHeight="true" outlineLevel="0" collapsed="false">
      <c r="A27" s="10" t="s">
        <v>361</v>
      </c>
      <c r="B27" s="24" t="s">
        <v>362</v>
      </c>
      <c r="C27" s="24"/>
      <c r="D27" s="24" t="s">
        <v>363</v>
      </c>
      <c r="E27" s="24"/>
    </row>
    <row r="28" customFormat="false" ht="25.5" hidden="false" customHeight="true" outlineLevel="0" collapsed="false">
      <c r="A28" s="12" t="s">
        <v>364</v>
      </c>
      <c r="B28" s="7" t="s">
        <v>365</v>
      </c>
      <c r="C28" s="7"/>
      <c r="D28" s="7" t="s">
        <v>366</v>
      </c>
      <c r="E28" s="7"/>
    </row>
    <row r="29" customFormat="false" ht="25.5" hidden="false" customHeight="true" outlineLevel="0" collapsed="false">
      <c r="A29" s="12" t="s">
        <v>367</v>
      </c>
      <c r="B29" s="7" t="s">
        <v>368</v>
      </c>
      <c r="C29" s="7"/>
      <c r="D29" s="7" t="s">
        <v>369</v>
      </c>
      <c r="E29" s="7"/>
    </row>
    <row r="30" customFormat="false" ht="25.5" hidden="false" customHeight="true" outlineLevel="0" collapsed="false">
      <c r="A30" s="12" t="s">
        <v>370</v>
      </c>
      <c r="B30" s="7" t="s">
        <v>371</v>
      </c>
      <c r="C30" s="7"/>
      <c r="D30" s="7" t="s">
        <v>372</v>
      </c>
      <c r="E30" s="7"/>
    </row>
    <row r="31" customFormat="false" ht="25.5" hidden="false" customHeight="true" outlineLevel="0" collapsed="false">
      <c r="A31" s="12" t="s">
        <v>373</v>
      </c>
      <c r="B31" s="7" t="s">
        <v>374</v>
      </c>
      <c r="C31" s="7"/>
      <c r="D31" s="7" t="s">
        <v>375</v>
      </c>
      <c r="E31" s="7"/>
    </row>
    <row r="32" customFormat="false" ht="25.5" hidden="false" customHeight="true" outlineLevel="0" collapsed="false">
      <c r="A32" s="12" t="s">
        <v>376</v>
      </c>
      <c r="B32" s="7" t="s">
        <v>377</v>
      </c>
      <c r="C32" s="7"/>
      <c r="D32" s="7" t="s">
        <v>378</v>
      </c>
      <c r="E32" s="7"/>
    </row>
    <row r="33" customFormat="false" ht="25.5" hidden="false" customHeight="true" outlineLevel="0" collapsed="false">
      <c r="A33" s="12" t="s">
        <v>379</v>
      </c>
      <c r="B33" s="7" t="s">
        <v>380</v>
      </c>
      <c r="C33" s="7"/>
      <c r="D33" s="7" t="s">
        <v>381</v>
      </c>
      <c r="E33" s="7"/>
    </row>
    <row r="34" customFormat="false" ht="23.25" hidden="false" customHeight="true" outlineLevel="0" collapsed="false">
      <c r="A34" s="12" t="s">
        <v>382</v>
      </c>
      <c r="B34" s="29" t="s">
        <v>383</v>
      </c>
      <c r="D34" s="29" t="s">
        <v>384</v>
      </c>
    </row>
    <row r="35" customFormat="false" ht="15" hidden="false" customHeight="true" outlineLevel="0" collapsed="false">
      <c r="A35" s="27"/>
      <c r="B35" s="27"/>
      <c r="C35" s="27"/>
      <c r="D35" s="27"/>
      <c r="E35" s="27"/>
    </row>
    <row r="36" customFormat="false" ht="15" hidden="false" customHeight="true" outlineLevel="0" collapsed="false">
      <c r="A36" s="28" t="s">
        <v>385</v>
      </c>
      <c r="B36" s="27"/>
      <c r="C36" s="27"/>
      <c r="D36" s="27"/>
      <c r="E36" s="27"/>
    </row>
    <row r="37" customFormat="false" ht="25.5" hidden="false" customHeight="true" outlineLevel="0" collapsed="false">
      <c r="A37" s="10" t="s">
        <v>342</v>
      </c>
      <c r="B37" s="24" t="s">
        <v>386</v>
      </c>
      <c r="C37" s="24"/>
      <c r="D37" s="24" t="s">
        <v>387</v>
      </c>
      <c r="E37" s="24"/>
    </row>
    <row r="38" customFormat="false" ht="25.5" hidden="false" customHeight="true" outlineLevel="0" collapsed="false">
      <c r="A38" s="12" t="s">
        <v>388</v>
      </c>
      <c r="B38" s="7" t="s">
        <v>389</v>
      </c>
      <c r="C38" s="7"/>
      <c r="D38" s="7" t="s">
        <v>390</v>
      </c>
      <c r="E38" s="7"/>
    </row>
    <row r="39" customFormat="false" ht="25.5" hidden="false" customHeight="true" outlineLevel="0" collapsed="false">
      <c r="A39" s="12" t="s">
        <v>347</v>
      </c>
      <c r="B39" s="7" t="s">
        <v>391</v>
      </c>
      <c r="C39" s="7"/>
      <c r="D39" s="7" t="s">
        <v>392</v>
      </c>
      <c r="E39" s="7"/>
    </row>
    <row r="40" customFormat="false" ht="25.5" hidden="false" customHeight="true" outlineLevel="0" collapsed="false">
      <c r="A40" s="12" t="s">
        <v>348</v>
      </c>
      <c r="B40" s="7" t="s">
        <v>393</v>
      </c>
      <c r="C40" s="7"/>
      <c r="D40" s="7" t="s">
        <v>394</v>
      </c>
      <c r="E40" s="7"/>
    </row>
    <row r="41" customFormat="false" ht="23.25" hidden="false" customHeight="true" outlineLevel="0" collapsed="false">
      <c r="A41" s="12" t="s">
        <v>395</v>
      </c>
      <c r="B41" s="29" t="s">
        <v>396</v>
      </c>
      <c r="D41" s="29" t="s">
        <v>397</v>
      </c>
    </row>
    <row r="42" customFormat="false" ht="15" hidden="false" customHeight="true" outlineLevel="0" collapsed="false">
      <c r="A42" s="27"/>
      <c r="B42" s="27"/>
      <c r="C42" s="27"/>
      <c r="D42" s="27"/>
      <c r="E42" s="27"/>
    </row>
    <row r="43" customFormat="false" ht="157.5" hidden="false" customHeight="true" outlineLevel="0" collapsed="false">
      <c r="A43" s="30" t="s">
        <v>398</v>
      </c>
    </row>
  </sheetData>
  <mergeCells count="35">
    <mergeCell ref="A3:E3"/>
    <mergeCell ref="A4:E4"/>
    <mergeCell ref="A5:E5"/>
    <mergeCell ref="A6:E6"/>
    <mergeCell ref="A8:E8"/>
    <mergeCell ref="A9:E9"/>
    <mergeCell ref="A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A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30"/>
  </cols>
  <sheetData>
    <row r="2" customFormat="false" ht="52.5" hidden="false" customHeight="true" outlineLevel="0" collapsed="false">
      <c r="B2" s="31" t="s">
        <v>399</v>
      </c>
    </row>
    <row r="3" customFormat="false" ht="15" hidden="false" customHeight="true" outlineLevel="0" collapsed="false">
      <c r="B3" s="32" t="s">
        <v>400</v>
      </c>
      <c r="C3" s="32"/>
      <c r="D3" s="32"/>
    </row>
    <row r="4" customFormat="false" ht="26.25" hidden="false" customHeight="true" outlineLevel="0" collapsed="false">
      <c r="B4" s="33" t="s">
        <v>401</v>
      </c>
      <c r="C4" s="33"/>
      <c r="D4" s="33"/>
    </row>
    <row r="5" customFormat="false" ht="34.5" hidden="false" customHeight="true" outlineLevel="0" collapsed="false"/>
    <row r="6" customFormat="false" ht="23.25" hidden="false" customHeight="true" outlineLevel="0" collapsed="false"/>
    <row r="7" customFormat="false" ht="23.25" hidden="false" customHeight="true" outlineLevel="0" collapsed="false">
      <c r="B7" s="34" t="s">
        <v>402</v>
      </c>
    </row>
    <row r="8" customFormat="false" ht="34.5" hidden="false" customHeight="true" outlineLevel="0" collapsed="false">
      <c r="B8" s="29" t="s">
        <v>403</v>
      </c>
    </row>
    <row r="9" customFormat="false" ht="15" hidden="false" customHeight="true" outlineLevel="0" collapsed="false">
      <c r="B9" s="29" t="s">
        <v>404</v>
      </c>
    </row>
    <row r="10" customFormat="false" ht="23.25" hidden="false" customHeight="true" outlineLevel="0" collapsed="false">
      <c r="B10" s="29" t="s">
        <v>405</v>
      </c>
    </row>
    <row r="11" customFormat="false" ht="23.25" hidden="false" customHeight="true" outlineLevel="0" collapsed="false"/>
    <row r="12" customFormat="false" ht="23.25" hidden="false" customHeight="true" outlineLevel="0" collapsed="false">
      <c r="B12" s="34" t="s">
        <v>14</v>
      </c>
    </row>
    <row r="13" customFormat="false" ht="23.25" hidden="false" customHeight="true" outlineLevel="0" collapsed="false">
      <c r="B13" s="29" t="s">
        <v>406</v>
      </c>
    </row>
    <row r="14" customFormat="false" ht="23.25" hidden="false" customHeight="true" outlineLevel="0" collapsed="false">
      <c r="B14" s="29" t="s">
        <v>407</v>
      </c>
    </row>
    <row r="15" customFormat="false" ht="26.25" hidden="false" customHeight="true" outlineLevel="0" collapsed="false">
      <c r="B15" s="29" t="s">
        <v>408</v>
      </c>
    </row>
    <row r="16" customFormat="false" ht="15" hidden="false" customHeight="true" outlineLevel="0" collapsed="false">
      <c r="B16" s="29" t="s">
        <v>409</v>
      </c>
    </row>
    <row r="17" customFormat="false" ht="15" hidden="false" customHeight="true" outlineLevel="0" collapsed="false">
      <c r="B17" s="35" t="s">
        <v>410</v>
      </c>
    </row>
    <row r="18" customFormat="false" ht="27.75" hidden="false" customHeight="true" outlineLevel="0" collapsed="false">
      <c r="B18" s="7" t="s">
        <v>411</v>
      </c>
      <c r="C18" s="7"/>
      <c r="D18" s="7"/>
    </row>
    <row r="19" customFormat="false" ht="27.75" hidden="false" customHeight="true" outlineLevel="0" collapsed="false">
      <c r="B19" s="36" t="s">
        <v>412</v>
      </c>
      <c r="C19" s="36"/>
      <c r="D19" s="36"/>
    </row>
    <row r="20" customFormat="false" ht="15" hidden="false" customHeight="true" outlineLevel="0" collapsed="false"/>
    <row r="21" customFormat="false" ht="15" hidden="false" customHeight="true" outlineLevel="0" collapsed="false">
      <c r="B21" s="34" t="s">
        <v>413</v>
      </c>
    </row>
    <row r="22" customFormat="false" ht="15" hidden="false" customHeight="true" outlineLevel="0" collapsed="false">
      <c r="B22" s="37" t="s">
        <v>414</v>
      </c>
      <c r="C22" s="29" t="s">
        <v>415</v>
      </c>
    </row>
    <row r="23" customFormat="false" ht="15" hidden="false" customHeight="true" outlineLevel="0" collapsed="false">
      <c r="B23" s="37" t="s">
        <v>416</v>
      </c>
      <c r="C23" s="29" t="s">
        <v>417</v>
      </c>
    </row>
    <row r="24" customFormat="false" ht="15" hidden="false" customHeight="true" outlineLevel="0" collapsed="false">
      <c r="B24" s="37" t="s">
        <v>418</v>
      </c>
      <c r="C24" s="29" t="s">
        <v>419</v>
      </c>
    </row>
    <row r="25" customFormat="false" ht="45.75" hidden="false" customHeight="true" outlineLevel="0" collapsed="false">
      <c r="B25" s="37" t="s">
        <v>420</v>
      </c>
      <c r="C25" s="29" t="s">
        <v>421</v>
      </c>
    </row>
    <row r="26" customFormat="false" ht="15" hidden="false" customHeight="true" outlineLevel="0" collapsed="false">
      <c r="B26" s="37" t="s">
        <v>422</v>
      </c>
      <c r="C26" s="29" t="s">
        <v>423</v>
      </c>
    </row>
    <row r="28" customFormat="false" ht="45.75" hidden="false" customHeight="true" outlineLevel="0" collapsed="false">
      <c r="B28" s="29" t="s">
        <v>424</v>
      </c>
    </row>
  </sheetData>
  <mergeCells count="4">
    <mergeCell ref="B3:D3"/>
    <mergeCell ref="B4:D4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9" min="3" style="1" width="26"/>
  </cols>
  <sheetData>
    <row r="1" customFormat="false" ht="157.5" hidden="false" customHeight="true" outlineLevel="0" collapsed="false">
      <c r="A1" s="38" t="s">
        <v>425</v>
      </c>
    </row>
    <row r="2" customFormat="false" ht="23.25" hidden="false" customHeight="true" outlineLevel="0" collapsed="false">
      <c r="A2" s="39" t="s">
        <v>20</v>
      </c>
      <c r="B2" s="39" t="s">
        <v>426</v>
      </c>
      <c r="C2" s="10" t="s">
        <v>427</v>
      </c>
      <c r="D2" s="10" t="s">
        <v>428</v>
      </c>
      <c r="E2" s="10" t="s">
        <v>429</v>
      </c>
      <c r="F2" s="10" t="s">
        <v>430</v>
      </c>
      <c r="G2" s="10" t="s">
        <v>431</v>
      </c>
      <c r="H2" s="10" t="s">
        <v>432</v>
      </c>
      <c r="I2" s="10" t="s">
        <v>433</v>
      </c>
    </row>
    <row r="3" customFormat="false" ht="30" hidden="false" customHeight="true" outlineLevel="0" collapsed="false">
      <c r="A3" s="11" t="s">
        <v>434</v>
      </c>
      <c r="B3" s="4" t="s">
        <v>435</v>
      </c>
      <c r="C3" s="29" t="s">
        <v>436</v>
      </c>
      <c r="D3" s="29" t="s">
        <v>436</v>
      </c>
      <c r="E3" s="29" t="s">
        <v>436</v>
      </c>
      <c r="F3" s="29" t="s">
        <v>436</v>
      </c>
      <c r="G3" s="29" t="s">
        <v>436</v>
      </c>
      <c r="H3" s="29" t="s">
        <v>436</v>
      </c>
      <c r="I3" s="29" t="s">
        <v>437</v>
      </c>
    </row>
    <row r="4" customFormat="false" ht="30" hidden="false" customHeight="true" outlineLevel="0" collapsed="false">
      <c r="A4" s="11" t="s">
        <v>438</v>
      </c>
      <c r="B4" s="4" t="s">
        <v>435</v>
      </c>
      <c r="C4" s="29" t="s">
        <v>439</v>
      </c>
      <c r="D4" s="29" t="s">
        <v>439</v>
      </c>
      <c r="E4" s="29" t="s">
        <v>439</v>
      </c>
      <c r="F4" s="29" t="s">
        <v>440</v>
      </c>
      <c r="G4" s="29" t="s">
        <v>439</v>
      </c>
      <c r="H4" s="29" t="s">
        <v>439</v>
      </c>
      <c r="I4" s="29" t="s">
        <v>441</v>
      </c>
    </row>
    <row r="5" customFormat="false" ht="30" hidden="false" customHeight="true" outlineLevel="0" collapsed="false">
      <c r="A5" s="11" t="s">
        <v>442</v>
      </c>
      <c r="B5" s="4" t="s">
        <v>435</v>
      </c>
      <c r="C5" s="29" t="s">
        <v>443</v>
      </c>
      <c r="D5" s="29" t="s">
        <v>443</v>
      </c>
      <c r="E5" s="29" t="s">
        <v>443</v>
      </c>
      <c r="F5" s="29" t="s">
        <v>443</v>
      </c>
      <c r="G5" s="29" t="s">
        <v>443</v>
      </c>
      <c r="H5" s="29" t="s">
        <v>443</v>
      </c>
      <c r="I5" s="29" t="s">
        <v>444</v>
      </c>
    </row>
    <row r="6" customFormat="false" ht="30" hidden="false" customHeight="true" outlineLevel="0" collapsed="false">
      <c r="A6" s="11" t="s">
        <v>445</v>
      </c>
      <c r="B6" s="4" t="s">
        <v>446</v>
      </c>
      <c r="C6" s="29" t="s">
        <v>216</v>
      </c>
      <c r="D6" s="29" t="s">
        <v>216</v>
      </c>
      <c r="E6" s="29" t="s">
        <v>216</v>
      </c>
      <c r="F6" s="29" t="s">
        <v>216</v>
      </c>
      <c r="G6" s="29" t="s">
        <v>216</v>
      </c>
      <c r="H6" s="29" t="s">
        <v>216</v>
      </c>
      <c r="I6" s="29" t="s">
        <v>447</v>
      </c>
    </row>
    <row r="7" customFormat="false" ht="30" hidden="false" customHeight="true" outlineLevel="0" collapsed="false">
      <c r="A7" s="11" t="s">
        <v>448</v>
      </c>
      <c r="B7" s="4" t="s">
        <v>446</v>
      </c>
      <c r="C7" s="29" t="s">
        <v>449</v>
      </c>
      <c r="D7" s="29" t="s">
        <v>450</v>
      </c>
      <c r="E7" s="29" t="s">
        <v>450</v>
      </c>
      <c r="F7" s="29" t="s">
        <v>451</v>
      </c>
      <c r="G7" s="29" t="s">
        <v>451</v>
      </c>
      <c r="H7" s="29" t="s">
        <v>451</v>
      </c>
      <c r="I7" s="29" t="s">
        <v>452</v>
      </c>
    </row>
    <row r="8" customFormat="false" ht="30" hidden="false" customHeight="true" outlineLevel="0" collapsed="false">
      <c r="A8" s="11" t="s">
        <v>453</v>
      </c>
      <c r="B8" s="4" t="s">
        <v>454</v>
      </c>
      <c r="C8" s="29" t="s">
        <v>455</v>
      </c>
      <c r="D8" s="29" t="s">
        <v>455</v>
      </c>
      <c r="E8" s="29" t="s">
        <v>455</v>
      </c>
      <c r="F8" s="29" t="s">
        <v>456</v>
      </c>
      <c r="G8" s="29" t="s">
        <v>456</v>
      </c>
      <c r="H8" s="29" t="s">
        <v>456</v>
      </c>
      <c r="I8" s="29" t="s">
        <v>456</v>
      </c>
    </row>
    <row r="9" customFormat="false" ht="30" hidden="false" customHeight="true" outlineLevel="0" collapsed="false">
      <c r="A9" s="11" t="s">
        <v>457</v>
      </c>
      <c r="B9" s="4" t="s">
        <v>446</v>
      </c>
      <c r="C9" s="29" t="s">
        <v>458</v>
      </c>
      <c r="D9" s="29" t="s">
        <v>458</v>
      </c>
      <c r="E9" s="29" t="s">
        <v>458</v>
      </c>
      <c r="F9" s="40" t="s">
        <v>459</v>
      </c>
      <c r="G9" s="40" t="s">
        <v>459</v>
      </c>
      <c r="H9" s="40" t="s">
        <v>459</v>
      </c>
      <c r="I9" s="40" t="s">
        <v>459</v>
      </c>
    </row>
    <row r="10" customFormat="false" ht="30" hidden="false" customHeight="true" outlineLevel="0" collapsed="false">
      <c r="A10" s="11" t="s">
        <v>460</v>
      </c>
      <c r="B10" s="4" t="s">
        <v>454</v>
      </c>
      <c r="C10" s="29" t="s">
        <v>456</v>
      </c>
      <c r="D10" s="29" t="s">
        <v>456</v>
      </c>
      <c r="E10" s="29" t="s">
        <v>456</v>
      </c>
      <c r="F10" s="40" t="s">
        <v>459</v>
      </c>
      <c r="G10" s="40" t="s">
        <v>459</v>
      </c>
      <c r="H10" s="40" t="s">
        <v>459</v>
      </c>
      <c r="I10" s="40" t="s">
        <v>459</v>
      </c>
    </row>
    <row r="11" customFormat="false" ht="30" hidden="false" customHeight="true" outlineLevel="0" collapsed="false">
      <c r="A11" s="11" t="s">
        <v>461</v>
      </c>
      <c r="B11" s="4" t="s">
        <v>462</v>
      </c>
      <c r="C11" s="29" t="s">
        <v>463</v>
      </c>
      <c r="D11" s="29" t="s">
        <v>463</v>
      </c>
      <c r="E11" s="29" t="s">
        <v>463</v>
      </c>
      <c r="F11" s="29" t="s">
        <v>463</v>
      </c>
      <c r="G11" s="29" t="s">
        <v>463</v>
      </c>
      <c r="H11" s="29" t="s">
        <v>463</v>
      </c>
      <c r="I11" s="29" t="s">
        <v>463</v>
      </c>
    </row>
    <row r="12" customFormat="false" ht="30" hidden="false" customHeight="true" outlineLevel="0" collapsed="false">
      <c r="A12" s="11" t="s">
        <v>464</v>
      </c>
      <c r="B12" s="4" t="s">
        <v>462</v>
      </c>
      <c r="C12" s="29" t="s">
        <v>465</v>
      </c>
      <c r="D12" s="29" t="s">
        <v>466</v>
      </c>
      <c r="E12" s="29" t="s">
        <v>466</v>
      </c>
      <c r="F12" s="29" t="s">
        <v>466</v>
      </c>
      <c r="G12" s="29" t="s">
        <v>467</v>
      </c>
      <c r="H12" s="29" t="s">
        <v>468</v>
      </c>
      <c r="I12" s="29" t="s">
        <v>469</v>
      </c>
    </row>
    <row r="13" customFormat="false" ht="30" hidden="false" customHeight="true" outlineLevel="0" collapsed="false">
      <c r="A13" s="11" t="s">
        <v>470</v>
      </c>
      <c r="B13" s="4" t="s">
        <v>462</v>
      </c>
      <c r="C13" s="29" t="s">
        <v>471</v>
      </c>
      <c r="D13" s="29" t="s">
        <v>471</v>
      </c>
      <c r="E13" s="29" t="s">
        <v>471</v>
      </c>
      <c r="F13" s="29" t="s">
        <v>471</v>
      </c>
      <c r="G13" s="29" t="s">
        <v>472</v>
      </c>
      <c r="H13" s="29" t="s">
        <v>472</v>
      </c>
      <c r="I13" s="29" t="s">
        <v>473</v>
      </c>
    </row>
    <row r="14" customFormat="false" ht="30" hidden="false" customHeight="true" outlineLevel="0" collapsed="false">
      <c r="A14" s="11" t="s">
        <v>474</v>
      </c>
      <c r="B14" s="4" t="s">
        <v>462</v>
      </c>
      <c r="C14" s="29" t="s">
        <v>475</v>
      </c>
      <c r="D14" s="29" t="s">
        <v>475</v>
      </c>
      <c r="E14" s="29" t="s">
        <v>476</v>
      </c>
      <c r="F14" s="29" t="s">
        <v>476</v>
      </c>
      <c r="G14" s="29" t="s">
        <v>471</v>
      </c>
      <c r="H14" s="29" t="s">
        <v>471</v>
      </c>
      <c r="I14" s="29" t="s">
        <v>477</v>
      </c>
    </row>
    <row r="15" customFormat="false" ht="30" hidden="false" customHeight="true" outlineLevel="0" collapsed="false">
      <c r="A15" s="11" t="s">
        <v>478</v>
      </c>
      <c r="B15" s="4" t="s">
        <v>462</v>
      </c>
      <c r="C15" s="29" t="s">
        <v>479</v>
      </c>
      <c r="D15" s="29" t="s">
        <v>479</v>
      </c>
      <c r="E15" s="29" t="s">
        <v>480</v>
      </c>
      <c r="F15" s="29" t="s">
        <v>480</v>
      </c>
      <c r="G15" s="29" t="s">
        <v>481</v>
      </c>
      <c r="H15" s="29" t="s">
        <v>481</v>
      </c>
      <c r="I15" s="29" t="s">
        <v>482</v>
      </c>
    </row>
    <row r="16" customFormat="false" ht="30" hidden="false" customHeight="true" outlineLevel="0" collapsed="false">
      <c r="A16" s="11" t="s">
        <v>483</v>
      </c>
      <c r="B16" s="4" t="s">
        <v>462</v>
      </c>
      <c r="C16" s="40" t="s">
        <v>459</v>
      </c>
      <c r="D16" s="29" t="s">
        <v>484</v>
      </c>
      <c r="E16" s="40" t="s">
        <v>459</v>
      </c>
      <c r="F16" s="29" t="s">
        <v>481</v>
      </c>
      <c r="G16" s="29" t="s">
        <v>485</v>
      </c>
      <c r="H16" s="29" t="s">
        <v>485</v>
      </c>
      <c r="I16" s="29" t="s">
        <v>486</v>
      </c>
    </row>
    <row r="17" customFormat="false" ht="30" hidden="false" customHeight="true" outlineLevel="0" collapsed="false">
      <c r="A17" s="11" t="s">
        <v>487</v>
      </c>
      <c r="B17" s="4" t="s">
        <v>462</v>
      </c>
      <c r="C17" s="40" t="s">
        <v>459</v>
      </c>
      <c r="D17" s="40" t="s">
        <v>459</v>
      </c>
      <c r="E17" s="40" t="s">
        <v>459</v>
      </c>
      <c r="F17" s="40" t="s">
        <v>459</v>
      </c>
      <c r="G17" s="29" t="s">
        <v>488</v>
      </c>
      <c r="H17" s="29" t="s">
        <v>488</v>
      </c>
      <c r="I17" s="40" t="s">
        <v>459</v>
      </c>
    </row>
    <row r="18" customFormat="false" ht="30" hidden="false" customHeight="true" outlineLevel="0" collapsed="false">
      <c r="A18" s="11" t="s">
        <v>489</v>
      </c>
      <c r="B18" s="4" t="s">
        <v>462</v>
      </c>
      <c r="C18" s="40" t="s">
        <v>459</v>
      </c>
      <c r="D18" s="40" t="s">
        <v>459</v>
      </c>
      <c r="E18" s="40" t="s">
        <v>459</v>
      </c>
      <c r="F18" s="40" t="s">
        <v>459</v>
      </c>
      <c r="G18" s="29" t="s">
        <v>456</v>
      </c>
      <c r="H18" s="29" t="s">
        <v>456</v>
      </c>
      <c r="I18" s="40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85"/>
  </cols>
  <sheetData>
    <row r="1" customFormat="false" ht="214.15" hidden="false" customHeight="false" outlineLevel="0" collapsed="false">
      <c r="A1" s="8" t="s">
        <v>490</v>
      </c>
    </row>
    <row r="2" customFormat="false" ht="15" hidden="false" customHeight="false" outlineLevel="0" collapsed="false">
      <c r="A2" s="10" t="s">
        <v>20</v>
      </c>
      <c r="B2" s="10" t="s">
        <v>361</v>
      </c>
      <c r="C2" s="10" t="s">
        <v>491</v>
      </c>
      <c r="D2" s="10" t="s">
        <v>492</v>
      </c>
    </row>
    <row r="3" customFormat="false" ht="30" hidden="false" customHeight="true" outlineLevel="0" collapsed="false">
      <c r="A3" s="22" t="s">
        <v>493</v>
      </c>
      <c r="B3" s="41" t="s">
        <v>494</v>
      </c>
      <c r="C3" s="14" t="s">
        <v>495</v>
      </c>
      <c r="D3" s="41" t="s">
        <v>496</v>
      </c>
    </row>
    <row r="4" customFormat="false" ht="30" hidden="false" customHeight="true" outlineLevel="0" collapsed="false">
      <c r="A4" s="22" t="s">
        <v>497</v>
      </c>
      <c r="B4" s="41" t="s">
        <v>494</v>
      </c>
      <c r="C4" s="14" t="s">
        <v>498</v>
      </c>
      <c r="D4" s="41" t="s">
        <v>499</v>
      </c>
    </row>
    <row r="5" customFormat="false" ht="30" hidden="false" customHeight="true" outlineLevel="0" collapsed="false">
      <c r="A5" s="22" t="s">
        <v>500</v>
      </c>
      <c r="B5" s="41" t="s">
        <v>494</v>
      </c>
      <c r="C5" s="14" t="s">
        <v>443</v>
      </c>
      <c r="D5" s="41" t="s">
        <v>501</v>
      </c>
    </row>
    <row r="6" customFormat="false" ht="30" hidden="false" customHeight="true" outlineLevel="0" collapsed="false">
      <c r="A6" s="22" t="s">
        <v>502</v>
      </c>
      <c r="B6" s="41" t="s">
        <v>494</v>
      </c>
      <c r="C6" s="14" t="s">
        <v>216</v>
      </c>
      <c r="D6" s="41" t="s">
        <v>503</v>
      </c>
    </row>
    <row r="7" customFormat="false" ht="30" hidden="false" customHeight="true" outlineLevel="0" collapsed="false">
      <c r="A7" s="22" t="s">
        <v>504</v>
      </c>
      <c r="B7" s="41" t="s">
        <v>494</v>
      </c>
      <c r="C7" s="14" t="s">
        <v>449</v>
      </c>
      <c r="D7" s="41" t="s">
        <v>505</v>
      </c>
    </row>
    <row r="8" customFormat="false" ht="30" hidden="false" customHeight="true" outlineLevel="0" collapsed="false">
      <c r="A8" s="22" t="s">
        <v>506</v>
      </c>
      <c r="B8" s="41" t="s">
        <v>494</v>
      </c>
      <c r="C8" s="14" t="s">
        <v>455</v>
      </c>
      <c r="D8" s="41" t="s">
        <v>507</v>
      </c>
    </row>
    <row r="9" customFormat="false" ht="30" hidden="false" customHeight="true" outlineLevel="0" collapsed="false">
      <c r="A9" s="22" t="s">
        <v>508</v>
      </c>
      <c r="B9" s="41" t="s">
        <v>494</v>
      </c>
      <c r="C9" s="14" t="s">
        <v>509</v>
      </c>
      <c r="D9" s="41" t="s">
        <v>510</v>
      </c>
    </row>
    <row r="10" customFormat="false" ht="30" hidden="false" customHeight="true" outlineLevel="0" collapsed="false">
      <c r="A10" s="22" t="s">
        <v>511</v>
      </c>
      <c r="B10" s="41" t="s">
        <v>494</v>
      </c>
      <c r="C10" s="14" t="s">
        <v>512</v>
      </c>
      <c r="D10" s="41" t="s">
        <v>513</v>
      </c>
    </row>
    <row r="11" customFormat="false" ht="30" hidden="false" customHeight="true" outlineLevel="0" collapsed="false">
      <c r="A11" s="22" t="s">
        <v>514</v>
      </c>
      <c r="B11" s="41" t="s">
        <v>494</v>
      </c>
      <c r="C11" s="14" t="s">
        <v>463</v>
      </c>
      <c r="D11" s="41" t="s">
        <v>515</v>
      </c>
    </row>
    <row r="12" customFormat="false" ht="30" hidden="false" customHeight="true" outlineLevel="0" collapsed="false">
      <c r="A12" s="22" t="s">
        <v>516</v>
      </c>
      <c r="B12" s="41" t="s">
        <v>494</v>
      </c>
      <c r="C12" s="14" t="s">
        <v>517</v>
      </c>
      <c r="D12" s="41" t="s">
        <v>518</v>
      </c>
    </row>
    <row r="13" customFormat="false" ht="30" hidden="false" customHeight="true" outlineLevel="0" collapsed="false">
      <c r="A13" s="22" t="s">
        <v>519</v>
      </c>
      <c r="B13" s="41" t="s">
        <v>494</v>
      </c>
      <c r="C13" s="14" t="s">
        <v>517</v>
      </c>
      <c r="D13" s="41" t="s">
        <v>518</v>
      </c>
    </row>
    <row r="14" customFormat="false" ht="30" hidden="false" customHeight="true" outlineLevel="0" collapsed="false">
      <c r="A14" s="22" t="s">
        <v>520</v>
      </c>
      <c r="B14" s="41" t="s">
        <v>494</v>
      </c>
      <c r="C14" s="14" t="s">
        <v>475</v>
      </c>
      <c r="D14" s="41" t="s">
        <v>521</v>
      </c>
    </row>
    <row r="15" customFormat="false" ht="30" hidden="false" customHeight="true" outlineLevel="0" collapsed="false">
      <c r="A15" s="22" t="s">
        <v>522</v>
      </c>
      <c r="B15" s="41" t="s">
        <v>494</v>
      </c>
      <c r="C15" s="14" t="s">
        <v>523</v>
      </c>
      <c r="D15" s="41" t="s">
        <v>524</v>
      </c>
    </row>
    <row r="16" customFormat="false" ht="30" hidden="false" customHeight="true" outlineLevel="0" collapsed="false">
      <c r="A16" s="22" t="s">
        <v>525</v>
      </c>
      <c r="B16" s="41" t="s">
        <v>526</v>
      </c>
      <c r="C16" s="14" t="s">
        <v>495</v>
      </c>
      <c r="D16" s="41" t="s">
        <v>527</v>
      </c>
    </row>
    <row r="17" customFormat="false" ht="30" hidden="false" customHeight="true" outlineLevel="0" collapsed="false">
      <c r="A17" s="22" t="s">
        <v>528</v>
      </c>
      <c r="B17" s="41" t="s">
        <v>526</v>
      </c>
      <c r="C17" s="14" t="s">
        <v>529</v>
      </c>
      <c r="D17" s="41" t="s">
        <v>530</v>
      </c>
    </row>
    <row r="18" customFormat="false" ht="30" hidden="false" customHeight="true" outlineLevel="0" collapsed="false">
      <c r="A18" s="22" t="s">
        <v>531</v>
      </c>
      <c r="B18" s="41" t="s">
        <v>526</v>
      </c>
      <c r="C18" s="14" t="s">
        <v>443</v>
      </c>
      <c r="D18" s="41" t="s">
        <v>532</v>
      </c>
    </row>
    <row r="19" customFormat="false" ht="30" hidden="false" customHeight="true" outlineLevel="0" collapsed="false">
      <c r="A19" s="22" t="s">
        <v>533</v>
      </c>
      <c r="B19" s="41" t="s">
        <v>526</v>
      </c>
      <c r="C19" s="14" t="s">
        <v>216</v>
      </c>
      <c r="D19" s="41" t="s">
        <v>534</v>
      </c>
    </row>
    <row r="20" customFormat="false" ht="30" hidden="false" customHeight="true" outlineLevel="0" collapsed="false">
      <c r="A20" s="22" t="s">
        <v>535</v>
      </c>
      <c r="B20" s="41" t="s">
        <v>526</v>
      </c>
      <c r="C20" s="14" t="s">
        <v>450</v>
      </c>
      <c r="D20" s="41" t="s">
        <v>536</v>
      </c>
    </row>
    <row r="21" customFormat="false" ht="30" hidden="false" customHeight="true" outlineLevel="0" collapsed="false">
      <c r="A21" s="22" t="s">
        <v>537</v>
      </c>
      <c r="B21" s="41" t="s">
        <v>526</v>
      </c>
      <c r="C21" s="14" t="s">
        <v>455</v>
      </c>
      <c r="D21" s="41" t="s">
        <v>538</v>
      </c>
    </row>
    <row r="22" customFormat="false" ht="30" hidden="false" customHeight="true" outlineLevel="0" collapsed="false">
      <c r="A22" s="22" t="s">
        <v>539</v>
      </c>
      <c r="B22" s="41" t="s">
        <v>526</v>
      </c>
      <c r="C22" s="14" t="s">
        <v>509</v>
      </c>
      <c r="D22" s="41" t="s">
        <v>540</v>
      </c>
    </row>
    <row r="23" customFormat="false" ht="30" hidden="false" customHeight="true" outlineLevel="0" collapsed="false">
      <c r="A23" s="22" t="s">
        <v>541</v>
      </c>
      <c r="B23" s="41" t="s">
        <v>526</v>
      </c>
      <c r="C23" s="14" t="s">
        <v>512</v>
      </c>
      <c r="D23" s="41" t="s">
        <v>542</v>
      </c>
    </row>
    <row r="24" customFormat="false" ht="30" hidden="false" customHeight="true" outlineLevel="0" collapsed="false">
      <c r="A24" s="22" t="s">
        <v>543</v>
      </c>
      <c r="B24" s="41" t="s">
        <v>526</v>
      </c>
      <c r="C24" s="14" t="s">
        <v>463</v>
      </c>
      <c r="D24" s="41" t="s">
        <v>544</v>
      </c>
    </row>
    <row r="25" customFormat="false" ht="30" hidden="false" customHeight="true" outlineLevel="0" collapsed="false">
      <c r="A25" s="22" t="s">
        <v>545</v>
      </c>
      <c r="B25" s="41" t="s">
        <v>526</v>
      </c>
      <c r="C25" s="14" t="s">
        <v>546</v>
      </c>
      <c r="D25" s="41" t="s">
        <v>547</v>
      </c>
    </row>
    <row r="26" customFormat="false" ht="30" hidden="false" customHeight="true" outlineLevel="0" collapsed="false">
      <c r="A26" s="22" t="s">
        <v>548</v>
      </c>
      <c r="B26" s="41" t="s">
        <v>526</v>
      </c>
      <c r="C26" s="14" t="s">
        <v>549</v>
      </c>
      <c r="D26" s="41" t="s">
        <v>550</v>
      </c>
    </row>
    <row r="27" customFormat="false" ht="30" hidden="false" customHeight="true" outlineLevel="0" collapsed="false">
      <c r="A27" s="22" t="s">
        <v>551</v>
      </c>
      <c r="B27" s="41" t="s">
        <v>526</v>
      </c>
      <c r="C27" s="14" t="s">
        <v>549</v>
      </c>
      <c r="D27" s="41" t="s">
        <v>550</v>
      </c>
    </row>
    <row r="28" customFormat="false" ht="30" hidden="false" customHeight="true" outlineLevel="0" collapsed="false">
      <c r="A28" s="22" t="s">
        <v>552</v>
      </c>
      <c r="B28" s="41" t="s">
        <v>526</v>
      </c>
      <c r="C28" s="14" t="s">
        <v>553</v>
      </c>
      <c r="D28" s="41" t="s">
        <v>554</v>
      </c>
    </row>
    <row r="29" customFormat="false" ht="30" hidden="false" customHeight="true" outlineLevel="0" collapsed="false">
      <c r="A29" s="22" t="s">
        <v>555</v>
      </c>
      <c r="B29" s="41" t="s">
        <v>526</v>
      </c>
      <c r="C29" s="14" t="s">
        <v>484</v>
      </c>
      <c r="D29" s="41" t="s">
        <v>556</v>
      </c>
    </row>
    <row r="30" customFormat="false" ht="30" hidden="false" customHeight="true" outlineLevel="0" collapsed="false">
      <c r="A30" s="22" t="s">
        <v>557</v>
      </c>
      <c r="B30" s="41" t="s">
        <v>558</v>
      </c>
      <c r="C30" s="14" t="s">
        <v>495</v>
      </c>
      <c r="D30" s="41" t="s">
        <v>559</v>
      </c>
    </row>
    <row r="31" customFormat="false" ht="30" hidden="false" customHeight="true" outlineLevel="0" collapsed="false">
      <c r="A31" s="22" t="s">
        <v>560</v>
      </c>
      <c r="B31" s="41" t="s">
        <v>558</v>
      </c>
      <c r="C31" s="14" t="s">
        <v>561</v>
      </c>
      <c r="D31" s="41" t="s">
        <v>562</v>
      </c>
    </row>
    <row r="32" customFormat="false" ht="30" hidden="false" customHeight="true" outlineLevel="0" collapsed="false">
      <c r="A32" s="22" t="s">
        <v>563</v>
      </c>
      <c r="B32" s="41" t="s">
        <v>558</v>
      </c>
      <c r="C32" s="14" t="s">
        <v>443</v>
      </c>
      <c r="D32" s="41" t="s">
        <v>564</v>
      </c>
    </row>
    <row r="33" customFormat="false" ht="30" hidden="false" customHeight="true" outlineLevel="0" collapsed="false">
      <c r="A33" s="22" t="s">
        <v>565</v>
      </c>
      <c r="B33" s="41" t="s">
        <v>558</v>
      </c>
      <c r="C33" s="14" t="s">
        <v>216</v>
      </c>
      <c r="D33" s="41" t="s">
        <v>566</v>
      </c>
    </row>
    <row r="34" customFormat="false" ht="30" hidden="false" customHeight="true" outlineLevel="0" collapsed="false">
      <c r="A34" s="22" t="s">
        <v>567</v>
      </c>
      <c r="B34" s="41" t="s">
        <v>558</v>
      </c>
      <c r="C34" s="14" t="s">
        <v>568</v>
      </c>
      <c r="D34" s="41" t="s">
        <v>569</v>
      </c>
    </row>
    <row r="35" customFormat="false" ht="30" hidden="false" customHeight="true" outlineLevel="0" collapsed="false">
      <c r="A35" s="22" t="s">
        <v>570</v>
      </c>
      <c r="B35" s="41" t="s">
        <v>558</v>
      </c>
      <c r="C35" s="14" t="s">
        <v>568</v>
      </c>
      <c r="D35" s="41" t="s">
        <v>569</v>
      </c>
    </row>
    <row r="36" customFormat="false" ht="30" hidden="false" customHeight="true" outlineLevel="0" collapsed="false">
      <c r="A36" s="22" t="s">
        <v>571</v>
      </c>
      <c r="B36" s="41" t="s">
        <v>558</v>
      </c>
      <c r="C36" s="14" t="s">
        <v>458</v>
      </c>
      <c r="D36" s="41" t="s">
        <v>572</v>
      </c>
    </row>
    <row r="37" customFormat="false" ht="30" hidden="false" customHeight="true" outlineLevel="0" collapsed="false">
      <c r="A37" s="22" t="s">
        <v>573</v>
      </c>
      <c r="B37" s="41" t="s">
        <v>558</v>
      </c>
      <c r="C37" s="14" t="s">
        <v>574</v>
      </c>
      <c r="D37" s="41" t="s">
        <v>575</v>
      </c>
    </row>
    <row r="38" customFormat="false" ht="30" hidden="false" customHeight="true" outlineLevel="0" collapsed="false">
      <c r="A38" s="22" t="s">
        <v>576</v>
      </c>
      <c r="B38" s="41" t="s">
        <v>558</v>
      </c>
      <c r="C38" s="14" t="s">
        <v>463</v>
      </c>
      <c r="D38" s="41" t="s">
        <v>577</v>
      </c>
    </row>
    <row r="39" customFormat="false" ht="30" hidden="false" customHeight="true" outlineLevel="0" collapsed="false">
      <c r="A39" s="22" t="s">
        <v>578</v>
      </c>
      <c r="B39" s="41" t="s">
        <v>558</v>
      </c>
      <c r="C39" s="14" t="s">
        <v>546</v>
      </c>
      <c r="D39" s="41" t="s">
        <v>579</v>
      </c>
    </row>
    <row r="40" customFormat="false" ht="30" hidden="false" customHeight="true" outlineLevel="0" collapsed="false">
      <c r="A40" s="22" t="s">
        <v>580</v>
      </c>
      <c r="B40" s="41" t="s">
        <v>558</v>
      </c>
      <c r="C40" s="14" t="s">
        <v>471</v>
      </c>
      <c r="D40" s="41" t="s">
        <v>581</v>
      </c>
    </row>
    <row r="41" customFormat="false" ht="30" hidden="false" customHeight="true" outlineLevel="0" collapsed="false">
      <c r="A41" s="22" t="s">
        <v>582</v>
      </c>
      <c r="B41" s="41" t="s">
        <v>558</v>
      </c>
      <c r="C41" s="14" t="s">
        <v>476</v>
      </c>
      <c r="D41" s="41" t="s">
        <v>583</v>
      </c>
    </row>
    <row r="42" customFormat="false" ht="30" hidden="false" customHeight="true" outlineLevel="0" collapsed="false">
      <c r="A42" s="22" t="s">
        <v>584</v>
      </c>
      <c r="B42" s="41" t="s">
        <v>558</v>
      </c>
      <c r="C42" s="14" t="s">
        <v>480</v>
      </c>
      <c r="D42" s="41" t="s">
        <v>585</v>
      </c>
    </row>
    <row r="43" customFormat="false" ht="30" hidden="false" customHeight="true" outlineLevel="0" collapsed="false">
      <c r="A43" s="22" t="s">
        <v>586</v>
      </c>
      <c r="B43" s="41" t="s">
        <v>587</v>
      </c>
      <c r="C43" s="14" t="s">
        <v>495</v>
      </c>
      <c r="D43" s="41" t="s">
        <v>588</v>
      </c>
    </row>
    <row r="44" customFormat="false" ht="30" hidden="false" customHeight="true" outlineLevel="0" collapsed="false">
      <c r="A44" s="22" t="s">
        <v>589</v>
      </c>
      <c r="B44" s="41" t="s">
        <v>587</v>
      </c>
      <c r="C44" s="14" t="s">
        <v>590</v>
      </c>
      <c r="D44" s="41" t="s">
        <v>591</v>
      </c>
    </row>
    <row r="45" customFormat="false" ht="30" hidden="false" customHeight="true" outlineLevel="0" collapsed="false">
      <c r="A45" s="22" t="s">
        <v>592</v>
      </c>
      <c r="B45" s="41" t="s">
        <v>587</v>
      </c>
      <c r="C45" s="14" t="s">
        <v>443</v>
      </c>
      <c r="D45" s="41" t="s">
        <v>593</v>
      </c>
    </row>
    <row r="46" customFormat="false" ht="30" hidden="false" customHeight="true" outlineLevel="0" collapsed="false">
      <c r="A46" s="22" t="s">
        <v>594</v>
      </c>
      <c r="B46" s="41" t="s">
        <v>587</v>
      </c>
      <c r="C46" s="14" t="s">
        <v>595</v>
      </c>
      <c r="D46" s="41" t="s">
        <v>596</v>
      </c>
    </row>
    <row r="47" customFormat="false" ht="30" hidden="false" customHeight="true" outlineLevel="0" collapsed="false">
      <c r="A47" s="22" t="s">
        <v>597</v>
      </c>
      <c r="B47" s="41" t="s">
        <v>587</v>
      </c>
      <c r="C47" s="14" t="s">
        <v>451</v>
      </c>
      <c r="D47" s="41" t="s">
        <v>598</v>
      </c>
    </row>
    <row r="48" customFormat="false" ht="30" hidden="false" customHeight="true" outlineLevel="0" collapsed="false">
      <c r="A48" s="22" t="s">
        <v>599</v>
      </c>
      <c r="B48" s="41" t="s">
        <v>587</v>
      </c>
      <c r="C48" s="14" t="s">
        <v>456</v>
      </c>
      <c r="D48" s="41" t="s">
        <v>600</v>
      </c>
    </row>
    <row r="49" customFormat="false" ht="30" hidden="false" customHeight="true" outlineLevel="0" collapsed="false">
      <c r="A49" s="22" t="s">
        <v>601</v>
      </c>
      <c r="B49" s="41" t="s">
        <v>587</v>
      </c>
      <c r="C49" s="14" t="s">
        <v>463</v>
      </c>
      <c r="D49" s="41" t="s">
        <v>602</v>
      </c>
    </row>
    <row r="50" customFormat="false" ht="30" hidden="false" customHeight="true" outlineLevel="0" collapsed="false">
      <c r="A50" s="22" t="s">
        <v>603</v>
      </c>
      <c r="B50" s="41" t="s">
        <v>587</v>
      </c>
      <c r="C50" s="14" t="s">
        <v>546</v>
      </c>
      <c r="D50" s="41" t="s">
        <v>604</v>
      </c>
    </row>
    <row r="51" customFormat="false" ht="30" hidden="false" customHeight="true" outlineLevel="0" collapsed="false">
      <c r="A51" s="22" t="s">
        <v>605</v>
      </c>
      <c r="B51" s="41" t="s">
        <v>587</v>
      </c>
      <c r="C51" s="14" t="s">
        <v>606</v>
      </c>
      <c r="D51" s="41" t="s">
        <v>607</v>
      </c>
    </row>
    <row r="52" customFormat="false" ht="30" hidden="false" customHeight="true" outlineLevel="0" collapsed="false">
      <c r="A52" s="22" t="s">
        <v>608</v>
      </c>
      <c r="B52" s="41" t="s">
        <v>587</v>
      </c>
      <c r="C52" s="14" t="s">
        <v>476</v>
      </c>
      <c r="D52" s="41" t="s">
        <v>609</v>
      </c>
    </row>
    <row r="53" customFormat="false" ht="30" hidden="false" customHeight="true" outlineLevel="0" collapsed="false">
      <c r="A53" s="22" t="s">
        <v>610</v>
      </c>
      <c r="B53" s="41" t="s">
        <v>587</v>
      </c>
      <c r="C53" s="14" t="s">
        <v>480</v>
      </c>
      <c r="D53" s="41" t="s">
        <v>611</v>
      </c>
    </row>
    <row r="54" customFormat="false" ht="30" hidden="false" customHeight="true" outlineLevel="0" collapsed="false">
      <c r="A54" s="22" t="s">
        <v>612</v>
      </c>
      <c r="B54" s="41" t="s">
        <v>587</v>
      </c>
      <c r="C54" s="14" t="s">
        <v>481</v>
      </c>
      <c r="D54" s="41" t="s">
        <v>613</v>
      </c>
    </row>
    <row r="55" customFormat="false" ht="30" hidden="false" customHeight="true" outlineLevel="0" collapsed="false">
      <c r="A55" s="22" t="s">
        <v>614</v>
      </c>
      <c r="B55" s="41" t="s">
        <v>615</v>
      </c>
      <c r="C55" s="14" t="s">
        <v>495</v>
      </c>
      <c r="D55" s="41" t="s">
        <v>616</v>
      </c>
    </row>
    <row r="56" customFormat="false" ht="30" hidden="false" customHeight="true" outlineLevel="0" collapsed="false">
      <c r="A56" s="22" t="s">
        <v>617</v>
      </c>
      <c r="B56" s="41" t="s">
        <v>615</v>
      </c>
      <c r="C56" s="14" t="s">
        <v>618</v>
      </c>
      <c r="D56" s="41" t="s">
        <v>619</v>
      </c>
    </row>
    <row r="57" customFormat="false" ht="30" hidden="false" customHeight="true" outlineLevel="0" collapsed="false">
      <c r="A57" s="22" t="s">
        <v>620</v>
      </c>
      <c r="B57" s="41" t="s">
        <v>615</v>
      </c>
      <c r="C57" s="14" t="s">
        <v>443</v>
      </c>
      <c r="D57" s="41" t="s">
        <v>621</v>
      </c>
    </row>
    <row r="58" customFormat="false" ht="30" hidden="false" customHeight="true" outlineLevel="0" collapsed="false">
      <c r="A58" s="22" t="s">
        <v>622</v>
      </c>
      <c r="B58" s="41" t="s">
        <v>615</v>
      </c>
      <c r="C58" s="14" t="s">
        <v>595</v>
      </c>
      <c r="D58" s="41" t="s">
        <v>623</v>
      </c>
    </row>
    <row r="59" customFormat="false" ht="30" hidden="false" customHeight="true" outlineLevel="0" collapsed="false">
      <c r="A59" s="22" t="s">
        <v>624</v>
      </c>
      <c r="B59" s="41" t="s">
        <v>615</v>
      </c>
      <c r="C59" s="14" t="s">
        <v>451</v>
      </c>
      <c r="D59" s="41" t="s">
        <v>625</v>
      </c>
    </row>
    <row r="60" customFormat="false" ht="30" hidden="false" customHeight="true" outlineLevel="0" collapsed="false">
      <c r="A60" s="22" t="s">
        <v>626</v>
      </c>
      <c r="B60" s="41" t="s">
        <v>615</v>
      </c>
      <c r="C60" s="14" t="s">
        <v>627</v>
      </c>
      <c r="D60" s="41" t="s">
        <v>628</v>
      </c>
    </row>
    <row r="61" customFormat="false" ht="30" hidden="false" customHeight="true" outlineLevel="0" collapsed="false">
      <c r="A61" s="22" t="s">
        <v>629</v>
      </c>
      <c r="B61" s="41" t="s">
        <v>615</v>
      </c>
      <c r="C61" s="14" t="s">
        <v>463</v>
      </c>
      <c r="D61" s="41" t="s">
        <v>630</v>
      </c>
    </row>
    <row r="62" customFormat="false" ht="30" hidden="false" customHeight="true" outlineLevel="0" collapsed="false">
      <c r="A62" s="22" t="s">
        <v>631</v>
      </c>
      <c r="B62" s="41" t="s">
        <v>615</v>
      </c>
      <c r="C62" s="14" t="s">
        <v>632</v>
      </c>
      <c r="D62" s="41" t="s">
        <v>633</v>
      </c>
    </row>
    <row r="63" customFormat="false" ht="30" hidden="false" customHeight="true" outlineLevel="0" collapsed="false">
      <c r="A63" s="22" t="s">
        <v>634</v>
      </c>
      <c r="B63" s="41" t="s">
        <v>615</v>
      </c>
      <c r="C63" s="14" t="s">
        <v>472</v>
      </c>
      <c r="D63" s="41" t="s">
        <v>635</v>
      </c>
    </row>
    <row r="64" customFormat="false" ht="30" hidden="false" customHeight="true" outlineLevel="0" collapsed="false">
      <c r="A64" s="22" t="s">
        <v>636</v>
      </c>
      <c r="B64" s="41" t="s">
        <v>615</v>
      </c>
      <c r="C64" s="14" t="s">
        <v>471</v>
      </c>
      <c r="D64" s="41" t="s">
        <v>637</v>
      </c>
    </row>
    <row r="65" customFormat="false" ht="30" hidden="false" customHeight="true" outlineLevel="0" collapsed="false">
      <c r="A65" s="22" t="s">
        <v>638</v>
      </c>
      <c r="B65" s="41" t="s">
        <v>615</v>
      </c>
      <c r="C65" s="14" t="s">
        <v>481</v>
      </c>
      <c r="D65" s="41" t="s">
        <v>639</v>
      </c>
    </row>
    <row r="66" customFormat="false" ht="30" hidden="false" customHeight="true" outlineLevel="0" collapsed="false">
      <c r="A66" s="22" t="s">
        <v>640</v>
      </c>
      <c r="B66" s="41" t="s">
        <v>615</v>
      </c>
      <c r="C66" s="14" t="s">
        <v>485</v>
      </c>
      <c r="D66" s="41" t="s">
        <v>641</v>
      </c>
    </row>
    <row r="67" customFormat="false" ht="30" hidden="false" customHeight="true" outlineLevel="0" collapsed="false">
      <c r="A67" s="22" t="s">
        <v>642</v>
      </c>
      <c r="B67" s="41" t="s">
        <v>615</v>
      </c>
      <c r="C67" s="14" t="s">
        <v>643</v>
      </c>
      <c r="D67" s="41" t="s">
        <v>644</v>
      </c>
    </row>
    <row r="68" customFormat="false" ht="30" hidden="false" customHeight="true" outlineLevel="0" collapsed="false">
      <c r="A68" s="22" t="s">
        <v>645</v>
      </c>
      <c r="B68" s="41" t="s">
        <v>615</v>
      </c>
      <c r="C68" s="14" t="s">
        <v>646</v>
      </c>
      <c r="D68" s="41" t="s">
        <v>647</v>
      </c>
    </row>
    <row r="69" customFormat="false" ht="30" hidden="false" customHeight="true" outlineLevel="0" collapsed="false">
      <c r="A69" s="22" t="s">
        <v>648</v>
      </c>
      <c r="B69" s="41" t="s">
        <v>649</v>
      </c>
      <c r="C69" s="14" t="s">
        <v>495</v>
      </c>
      <c r="D69" s="41" t="s">
        <v>650</v>
      </c>
    </row>
    <row r="70" customFormat="false" ht="30" hidden="false" customHeight="true" outlineLevel="0" collapsed="false">
      <c r="A70" s="22" t="s">
        <v>651</v>
      </c>
      <c r="B70" s="41" t="s">
        <v>649</v>
      </c>
      <c r="C70" s="14" t="s">
        <v>652</v>
      </c>
      <c r="D70" s="41" t="s">
        <v>653</v>
      </c>
    </row>
    <row r="71" customFormat="false" ht="30" hidden="false" customHeight="true" outlineLevel="0" collapsed="false">
      <c r="A71" s="22" t="s">
        <v>654</v>
      </c>
      <c r="B71" s="41" t="s">
        <v>649</v>
      </c>
      <c r="C71" s="14" t="s">
        <v>443</v>
      </c>
      <c r="D71" s="41" t="s">
        <v>655</v>
      </c>
    </row>
    <row r="72" customFormat="false" ht="30" hidden="false" customHeight="true" outlineLevel="0" collapsed="false">
      <c r="A72" s="22" t="s">
        <v>656</v>
      </c>
      <c r="B72" s="41" t="s">
        <v>649</v>
      </c>
      <c r="C72" s="14" t="s">
        <v>595</v>
      </c>
      <c r="D72" s="41" t="s">
        <v>657</v>
      </c>
    </row>
    <row r="73" customFormat="false" ht="30" hidden="false" customHeight="true" outlineLevel="0" collapsed="false">
      <c r="A73" s="22" t="s">
        <v>658</v>
      </c>
      <c r="B73" s="41" t="s">
        <v>649</v>
      </c>
      <c r="C73" s="14" t="s">
        <v>659</v>
      </c>
      <c r="D73" s="41" t="s">
        <v>660</v>
      </c>
    </row>
    <row r="74" customFormat="false" ht="30" hidden="false" customHeight="true" outlineLevel="0" collapsed="false">
      <c r="A74" s="22" t="s">
        <v>661</v>
      </c>
      <c r="B74" s="41" t="s">
        <v>649</v>
      </c>
      <c r="C74" s="14" t="s">
        <v>627</v>
      </c>
      <c r="D74" s="41" t="s">
        <v>662</v>
      </c>
    </row>
    <row r="75" customFormat="false" ht="30" hidden="false" customHeight="true" outlineLevel="0" collapsed="false">
      <c r="A75" s="22" t="s">
        <v>663</v>
      </c>
      <c r="B75" s="41" t="s">
        <v>649</v>
      </c>
      <c r="C75" s="14" t="s">
        <v>463</v>
      </c>
      <c r="D75" s="41" t="s">
        <v>664</v>
      </c>
    </row>
    <row r="76" customFormat="false" ht="30" hidden="false" customHeight="true" outlineLevel="0" collapsed="false">
      <c r="A76" s="22" t="s">
        <v>665</v>
      </c>
      <c r="B76" s="41" t="s">
        <v>649</v>
      </c>
      <c r="C76" s="14" t="s">
        <v>468</v>
      </c>
      <c r="D76" s="41" t="s">
        <v>666</v>
      </c>
    </row>
    <row r="77" customFormat="false" ht="30" hidden="false" customHeight="true" outlineLevel="0" collapsed="false">
      <c r="A77" s="22" t="s">
        <v>667</v>
      </c>
      <c r="B77" s="41" t="s">
        <v>649</v>
      </c>
      <c r="C77" s="14" t="s">
        <v>472</v>
      </c>
      <c r="D77" s="41" t="s">
        <v>668</v>
      </c>
    </row>
    <row r="78" customFormat="false" ht="30" hidden="false" customHeight="true" outlineLevel="0" collapsed="false">
      <c r="A78" s="22" t="s">
        <v>669</v>
      </c>
      <c r="B78" s="41" t="s">
        <v>649</v>
      </c>
      <c r="C78" s="14" t="s">
        <v>471</v>
      </c>
      <c r="D78" s="41" t="s">
        <v>670</v>
      </c>
    </row>
    <row r="79" customFormat="false" ht="30" hidden="false" customHeight="true" outlineLevel="0" collapsed="false">
      <c r="A79" s="22" t="s">
        <v>671</v>
      </c>
      <c r="B79" s="41" t="s">
        <v>649</v>
      </c>
      <c r="C79" s="14" t="s">
        <v>481</v>
      </c>
      <c r="D79" s="41" t="s">
        <v>672</v>
      </c>
    </row>
    <row r="80" customFormat="false" ht="30" hidden="false" customHeight="true" outlineLevel="0" collapsed="false">
      <c r="A80" s="22" t="s">
        <v>673</v>
      </c>
      <c r="B80" s="41" t="s">
        <v>649</v>
      </c>
      <c r="C80" s="14" t="s">
        <v>485</v>
      </c>
      <c r="D80" s="41" t="s">
        <v>674</v>
      </c>
    </row>
    <row r="81" customFormat="false" ht="30" hidden="false" customHeight="true" outlineLevel="0" collapsed="false">
      <c r="A81" s="22" t="s">
        <v>675</v>
      </c>
      <c r="B81" s="41" t="s">
        <v>649</v>
      </c>
      <c r="C81" s="14" t="s">
        <v>676</v>
      </c>
      <c r="D81" s="41" t="s">
        <v>677</v>
      </c>
    </row>
    <row r="82" customFormat="false" ht="30" hidden="false" customHeight="true" outlineLevel="0" collapsed="false">
      <c r="A82" s="22" t="s">
        <v>678</v>
      </c>
      <c r="B82" s="41" t="s">
        <v>649</v>
      </c>
      <c r="C82" s="14" t="s">
        <v>646</v>
      </c>
      <c r="D82" s="41" t="s">
        <v>679</v>
      </c>
    </row>
    <row r="83" customFormat="false" ht="30" hidden="false" customHeight="true" outlineLevel="0" collapsed="false">
      <c r="A83" s="22" t="s">
        <v>680</v>
      </c>
      <c r="B83" s="41" t="s">
        <v>681</v>
      </c>
      <c r="C83" s="14" t="s">
        <v>682</v>
      </c>
      <c r="D83" s="41" t="s">
        <v>683</v>
      </c>
    </row>
    <row r="84" customFormat="false" ht="30" hidden="false" customHeight="true" outlineLevel="0" collapsed="false">
      <c r="A84" s="22" t="s">
        <v>684</v>
      </c>
      <c r="B84" s="41" t="s">
        <v>681</v>
      </c>
      <c r="C84" s="14" t="s">
        <v>685</v>
      </c>
      <c r="D84" s="41" t="s">
        <v>686</v>
      </c>
    </row>
    <row r="85" customFormat="false" ht="30" hidden="false" customHeight="true" outlineLevel="0" collapsed="false">
      <c r="A85" s="22" t="s">
        <v>687</v>
      </c>
      <c r="B85" s="41" t="s">
        <v>681</v>
      </c>
      <c r="C85" s="14" t="s">
        <v>688</v>
      </c>
      <c r="D85" s="41" t="s">
        <v>689</v>
      </c>
    </row>
    <row r="86" customFormat="false" ht="30" hidden="false" customHeight="true" outlineLevel="0" collapsed="false">
      <c r="A86" s="22" t="s">
        <v>690</v>
      </c>
      <c r="B86" s="41" t="s">
        <v>681</v>
      </c>
      <c r="C86" s="14" t="s">
        <v>691</v>
      </c>
      <c r="D86" s="41" t="s">
        <v>692</v>
      </c>
    </row>
    <row r="87" customFormat="false" ht="30" hidden="false" customHeight="true" outlineLevel="0" collapsed="false">
      <c r="A87" s="22" t="s">
        <v>693</v>
      </c>
      <c r="B87" s="41" t="s">
        <v>681</v>
      </c>
      <c r="C87" s="14" t="s">
        <v>694</v>
      </c>
      <c r="D87" s="41" t="s">
        <v>695</v>
      </c>
    </row>
    <row r="88" customFormat="false" ht="30" hidden="false" customHeight="true" outlineLevel="0" collapsed="false">
      <c r="A88" s="22" t="s">
        <v>696</v>
      </c>
      <c r="B88" s="41" t="s">
        <v>681</v>
      </c>
      <c r="C88" s="14" t="s">
        <v>456</v>
      </c>
      <c r="D88" s="41" t="s">
        <v>697</v>
      </c>
    </row>
    <row r="89" customFormat="false" ht="30" hidden="false" customHeight="true" outlineLevel="0" collapsed="false">
      <c r="A89" s="22" t="s">
        <v>698</v>
      </c>
      <c r="B89" s="41" t="s">
        <v>681</v>
      </c>
      <c r="C89" s="14" t="s">
        <v>463</v>
      </c>
      <c r="D89" s="41" t="s">
        <v>699</v>
      </c>
    </row>
    <row r="90" customFormat="false" ht="30" hidden="false" customHeight="true" outlineLevel="0" collapsed="false">
      <c r="A90" s="22" t="s">
        <v>700</v>
      </c>
      <c r="B90" s="41" t="s">
        <v>681</v>
      </c>
      <c r="C90" s="14" t="s">
        <v>469</v>
      </c>
      <c r="D90" s="41" t="s">
        <v>701</v>
      </c>
    </row>
    <row r="91" customFormat="false" ht="30" hidden="false" customHeight="true" outlineLevel="0" collapsed="false">
      <c r="A91" s="22" t="s">
        <v>702</v>
      </c>
      <c r="B91" s="41" t="s">
        <v>681</v>
      </c>
      <c r="C91" s="14" t="s">
        <v>471</v>
      </c>
      <c r="D91" s="41" t="s">
        <v>703</v>
      </c>
    </row>
    <row r="92" customFormat="false" ht="30" hidden="false" customHeight="true" outlineLevel="0" collapsed="false">
      <c r="A92" s="22" t="s">
        <v>704</v>
      </c>
      <c r="B92" s="41" t="s">
        <v>681</v>
      </c>
      <c r="C92" s="14" t="s">
        <v>705</v>
      </c>
      <c r="D92" s="41" t="s">
        <v>706</v>
      </c>
    </row>
    <row r="93" customFormat="false" ht="30" hidden="false" customHeight="true" outlineLevel="0" collapsed="false">
      <c r="A93" s="22" t="s">
        <v>707</v>
      </c>
      <c r="B93" s="41" t="s">
        <v>681</v>
      </c>
      <c r="C93" s="14" t="s">
        <v>482</v>
      </c>
      <c r="D93" s="41" t="s">
        <v>708</v>
      </c>
    </row>
    <row r="94" customFormat="false" ht="30" hidden="false" customHeight="true" outlineLevel="0" collapsed="false">
      <c r="A94" s="22" t="s">
        <v>709</v>
      </c>
      <c r="B94" s="41" t="s">
        <v>681</v>
      </c>
      <c r="C94" s="14" t="s">
        <v>710</v>
      </c>
      <c r="D94" s="41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95"/>
  </cols>
  <sheetData>
    <row r="1" customFormat="false" ht="72.35" hidden="false" customHeight="false" outlineLevel="0" collapsed="false">
      <c r="A1" s="8" t="s">
        <v>712</v>
      </c>
    </row>
    <row r="2" customFormat="false" ht="15" hidden="false" customHeight="false" outlineLevel="0" collapsed="false">
      <c r="A2" s="10" t="s">
        <v>361</v>
      </c>
      <c r="B2" s="10" t="s">
        <v>713</v>
      </c>
      <c r="C2" s="10" t="s">
        <v>714</v>
      </c>
    </row>
    <row r="3" customFormat="false" ht="30" hidden="false" customHeight="true" outlineLevel="0" collapsed="false">
      <c r="A3" s="25" t="s">
        <v>364</v>
      </c>
      <c r="B3" s="42" t="s">
        <v>463</v>
      </c>
      <c r="C3" s="41" t="s">
        <v>715</v>
      </c>
    </row>
    <row r="4" customFormat="false" ht="30" hidden="false" customHeight="true" outlineLevel="0" collapsed="false">
      <c r="A4" s="14"/>
      <c r="B4" s="42" t="s">
        <v>716</v>
      </c>
      <c r="C4" s="41" t="s">
        <v>717</v>
      </c>
    </row>
    <row r="5" customFormat="false" ht="30" hidden="false" customHeight="true" outlineLevel="0" collapsed="false">
      <c r="A5" s="14"/>
      <c r="B5" s="42" t="s">
        <v>718</v>
      </c>
      <c r="C5" s="41" t="s">
        <v>719</v>
      </c>
    </row>
    <row r="6" customFormat="false" ht="30" hidden="false" customHeight="true" outlineLevel="0" collapsed="false">
      <c r="A6" s="14"/>
      <c r="B6" s="42" t="s">
        <v>720</v>
      </c>
      <c r="C6" s="41" t="s">
        <v>721</v>
      </c>
    </row>
    <row r="7" customFormat="false" ht="30" hidden="false" customHeight="true" outlineLevel="0" collapsed="false">
      <c r="A7" s="14"/>
      <c r="B7" s="42" t="s">
        <v>722</v>
      </c>
      <c r="C7" s="41" t="s">
        <v>723</v>
      </c>
    </row>
    <row r="8" customFormat="false" ht="30" hidden="false" customHeight="true" outlineLevel="0" collapsed="false">
      <c r="A8" s="14"/>
      <c r="B8" s="42" t="s">
        <v>724</v>
      </c>
      <c r="C8" s="41" t="s">
        <v>725</v>
      </c>
    </row>
    <row r="9" customFormat="false" ht="30" hidden="false" customHeight="true" outlineLevel="0" collapsed="false">
      <c r="A9" s="14"/>
      <c r="B9" s="42" t="s">
        <v>726</v>
      </c>
      <c r="C9" s="41" t="s">
        <v>727</v>
      </c>
    </row>
    <row r="10" customFormat="false" ht="30" hidden="false" customHeight="true" outlineLevel="0" collapsed="false">
      <c r="A10" s="14"/>
      <c r="B10" s="42" t="s">
        <v>456</v>
      </c>
      <c r="C10" s="41" t="s">
        <v>728</v>
      </c>
    </row>
    <row r="11" customFormat="false" ht="30" hidden="false" customHeight="true" outlineLevel="0" collapsed="false">
      <c r="A11" s="14"/>
      <c r="B11" s="42" t="s">
        <v>729</v>
      </c>
      <c r="C11" s="41" t="s">
        <v>730</v>
      </c>
    </row>
    <row r="12" customFormat="false" ht="30" hidden="false" customHeight="true" outlineLevel="0" collapsed="false">
      <c r="A12" s="25" t="s">
        <v>367</v>
      </c>
      <c r="B12" s="42" t="s">
        <v>463</v>
      </c>
      <c r="C12" s="41" t="s">
        <v>731</v>
      </c>
    </row>
    <row r="13" customFormat="false" ht="30" hidden="false" customHeight="true" outlineLevel="0" collapsed="false">
      <c r="A13" s="14"/>
      <c r="B13" s="42" t="s">
        <v>732</v>
      </c>
      <c r="C13" s="41" t="s">
        <v>733</v>
      </c>
    </row>
    <row r="14" customFormat="false" ht="30" hidden="false" customHeight="true" outlineLevel="0" collapsed="false">
      <c r="A14" s="14"/>
      <c r="B14" s="42" t="s">
        <v>734</v>
      </c>
      <c r="C14" s="41" t="s">
        <v>735</v>
      </c>
    </row>
    <row r="15" customFormat="false" ht="30" hidden="false" customHeight="true" outlineLevel="0" collapsed="false">
      <c r="A15" s="14"/>
      <c r="B15" s="42" t="s">
        <v>736</v>
      </c>
      <c r="C15" s="41" t="s">
        <v>737</v>
      </c>
    </row>
    <row r="16" customFormat="false" ht="30" hidden="false" customHeight="true" outlineLevel="0" collapsed="false">
      <c r="A16" s="14"/>
      <c r="B16" s="42" t="s">
        <v>738</v>
      </c>
      <c r="C16" s="41" t="s">
        <v>739</v>
      </c>
    </row>
    <row r="17" customFormat="false" ht="30" hidden="false" customHeight="true" outlineLevel="0" collapsed="false">
      <c r="A17" s="14"/>
      <c r="B17" s="42" t="s">
        <v>450</v>
      </c>
      <c r="C17" s="41" t="s">
        <v>740</v>
      </c>
    </row>
    <row r="18" customFormat="false" ht="30" hidden="false" customHeight="true" outlineLevel="0" collapsed="false">
      <c r="A18" s="14"/>
      <c r="B18" s="42" t="s">
        <v>456</v>
      </c>
      <c r="C18" s="41" t="s">
        <v>741</v>
      </c>
    </row>
    <row r="19" customFormat="false" ht="30" hidden="false" customHeight="true" outlineLevel="0" collapsed="false">
      <c r="A19" s="14"/>
      <c r="B19" s="42" t="s">
        <v>742</v>
      </c>
      <c r="C19" s="41" t="s">
        <v>743</v>
      </c>
    </row>
    <row r="20" customFormat="false" ht="30" hidden="false" customHeight="true" outlineLevel="0" collapsed="false">
      <c r="A20" s="25" t="s">
        <v>744</v>
      </c>
      <c r="B20" s="42" t="s">
        <v>463</v>
      </c>
      <c r="C20" s="41" t="s">
        <v>745</v>
      </c>
    </row>
    <row r="21" customFormat="false" ht="30" hidden="false" customHeight="true" outlineLevel="0" collapsed="false">
      <c r="A21" s="14"/>
      <c r="B21" s="42" t="s">
        <v>746</v>
      </c>
      <c r="C21" s="41" t="s">
        <v>747</v>
      </c>
    </row>
    <row r="22" customFormat="false" ht="30" hidden="false" customHeight="true" outlineLevel="0" collapsed="false">
      <c r="A22" s="14"/>
      <c r="B22" s="42" t="s">
        <v>748</v>
      </c>
      <c r="C22" s="41" t="s">
        <v>749</v>
      </c>
    </row>
    <row r="23" customFormat="false" ht="30" hidden="false" customHeight="true" outlineLevel="0" collapsed="false">
      <c r="A23" s="14"/>
      <c r="B23" s="42" t="s">
        <v>750</v>
      </c>
      <c r="C23" s="41" t="s">
        <v>751</v>
      </c>
    </row>
    <row r="24" customFormat="false" ht="30" hidden="false" customHeight="true" outlineLevel="0" collapsed="false">
      <c r="A24" s="14"/>
      <c r="B24" s="42" t="s">
        <v>752</v>
      </c>
      <c r="C24" s="41" t="s">
        <v>753</v>
      </c>
    </row>
    <row r="25" customFormat="false" ht="30" hidden="false" customHeight="true" outlineLevel="0" collapsed="false">
      <c r="A25" s="14"/>
      <c r="B25" s="42" t="s">
        <v>476</v>
      </c>
      <c r="C25" s="41" t="s">
        <v>754</v>
      </c>
    </row>
    <row r="26" customFormat="false" ht="30" hidden="false" customHeight="true" outlineLevel="0" collapsed="false">
      <c r="A26" s="14"/>
      <c r="B26" s="42" t="s">
        <v>480</v>
      </c>
      <c r="C26" s="41" t="s">
        <v>755</v>
      </c>
    </row>
    <row r="27" customFormat="false" ht="30" hidden="false" customHeight="true" outlineLevel="0" collapsed="false">
      <c r="A27" s="14"/>
      <c r="B27" s="42" t="s">
        <v>756</v>
      </c>
      <c r="C27" s="41" t="s">
        <v>757</v>
      </c>
    </row>
    <row r="28" customFormat="false" ht="30" hidden="false" customHeight="true" outlineLevel="0" collapsed="false">
      <c r="A28" s="25" t="s">
        <v>758</v>
      </c>
      <c r="B28" s="42" t="s">
        <v>463</v>
      </c>
      <c r="C28" s="41" t="s">
        <v>759</v>
      </c>
    </row>
    <row r="29" customFormat="false" ht="30" hidden="false" customHeight="true" outlineLevel="0" collapsed="false">
      <c r="A29" s="14"/>
      <c r="B29" s="42" t="s">
        <v>760</v>
      </c>
      <c r="C29" s="41" t="s">
        <v>761</v>
      </c>
    </row>
    <row r="30" customFormat="false" ht="30" hidden="false" customHeight="true" outlineLevel="0" collapsed="false">
      <c r="A30" s="14"/>
      <c r="B30" s="42" t="s">
        <v>762</v>
      </c>
      <c r="C30" s="41" t="s">
        <v>763</v>
      </c>
    </row>
    <row r="31" customFormat="false" ht="30" hidden="false" customHeight="true" outlineLevel="0" collapsed="false">
      <c r="A31" s="14"/>
      <c r="B31" s="42" t="s">
        <v>764</v>
      </c>
      <c r="C31" s="41" t="s">
        <v>765</v>
      </c>
    </row>
    <row r="32" customFormat="false" ht="30" hidden="false" customHeight="true" outlineLevel="0" collapsed="false">
      <c r="A32" s="14"/>
      <c r="B32" s="42" t="s">
        <v>766</v>
      </c>
      <c r="C32" s="41" t="s">
        <v>767</v>
      </c>
    </row>
    <row r="33" customFormat="false" ht="30" hidden="false" customHeight="true" outlineLevel="0" collapsed="false">
      <c r="A33" s="14"/>
      <c r="B33" s="42" t="s">
        <v>768</v>
      </c>
      <c r="C33" s="41" t="s">
        <v>769</v>
      </c>
    </row>
    <row r="34" customFormat="false" ht="30" hidden="false" customHeight="true" outlineLevel="0" collapsed="false">
      <c r="A34" s="14"/>
      <c r="B34" s="42" t="s">
        <v>770</v>
      </c>
      <c r="C34" s="41" t="s">
        <v>771</v>
      </c>
    </row>
    <row r="35" customFormat="false" ht="30" hidden="false" customHeight="true" outlineLevel="0" collapsed="false">
      <c r="A35" s="14"/>
      <c r="B35" s="42" t="s">
        <v>772</v>
      </c>
      <c r="C35" s="41" t="s">
        <v>773</v>
      </c>
    </row>
    <row r="36" customFormat="false" ht="30" hidden="false" customHeight="true" outlineLevel="0" collapsed="false">
      <c r="A36" s="25" t="s">
        <v>376</v>
      </c>
      <c r="B36" s="42" t="s">
        <v>463</v>
      </c>
      <c r="C36" s="41" t="s">
        <v>774</v>
      </c>
    </row>
    <row r="37" customFormat="false" ht="30" hidden="false" customHeight="true" outlineLevel="0" collapsed="false">
      <c r="A37" s="14"/>
      <c r="B37" s="42" t="s">
        <v>775</v>
      </c>
      <c r="C37" s="41" t="s">
        <v>776</v>
      </c>
    </row>
    <row r="38" customFormat="false" ht="30" hidden="false" customHeight="true" outlineLevel="0" collapsed="false">
      <c r="A38" s="14"/>
      <c r="B38" s="42" t="s">
        <v>777</v>
      </c>
      <c r="C38" s="41" t="s">
        <v>778</v>
      </c>
    </row>
    <row r="39" customFormat="false" ht="30" hidden="false" customHeight="true" outlineLevel="0" collapsed="false">
      <c r="A39" s="14"/>
      <c r="B39" s="42" t="s">
        <v>779</v>
      </c>
      <c r="C39" s="41" t="s">
        <v>780</v>
      </c>
    </row>
    <row r="40" customFormat="false" ht="30" hidden="false" customHeight="true" outlineLevel="0" collapsed="false">
      <c r="A40" s="14"/>
      <c r="B40" s="42" t="s">
        <v>781</v>
      </c>
      <c r="C40" s="41" t="s">
        <v>782</v>
      </c>
    </row>
    <row r="41" customFormat="false" ht="30" hidden="false" customHeight="true" outlineLevel="0" collapsed="false">
      <c r="A41" s="14"/>
      <c r="B41" s="42" t="s">
        <v>783</v>
      </c>
      <c r="C41" s="41" t="s">
        <v>784</v>
      </c>
    </row>
    <row r="42" customFormat="false" ht="30" hidden="false" customHeight="true" outlineLevel="0" collapsed="false">
      <c r="A42" s="14"/>
      <c r="B42" s="42" t="s">
        <v>785</v>
      </c>
      <c r="C42" s="41" t="s">
        <v>786</v>
      </c>
    </row>
    <row r="43" customFormat="false" ht="30" hidden="false" customHeight="true" outlineLevel="0" collapsed="false">
      <c r="A43" s="14"/>
      <c r="B43" s="42" t="s">
        <v>787</v>
      </c>
      <c r="C43" s="41" t="s">
        <v>788</v>
      </c>
    </row>
    <row r="44" customFormat="false" ht="30" hidden="false" customHeight="true" outlineLevel="0" collapsed="false">
      <c r="A44" s="25" t="s">
        <v>379</v>
      </c>
      <c r="B44" s="42" t="s">
        <v>463</v>
      </c>
      <c r="C44" s="41" t="s">
        <v>789</v>
      </c>
    </row>
    <row r="45" customFormat="false" ht="30" hidden="false" customHeight="true" outlineLevel="0" collapsed="false">
      <c r="A45" s="14"/>
      <c r="B45" s="42" t="s">
        <v>468</v>
      </c>
      <c r="C45" s="41" t="s">
        <v>790</v>
      </c>
    </row>
    <row r="46" customFormat="false" ht="30" hidden="false" customHeight="true" outlineLevel="0" collapsed="false">
      <c r="A46" s="14"/>
      <c r="B46" s="42" t="s">
        <v>791</v>
      </c>
      <c r="C46" s="41" t="s">
        <v>792</v>
      </c>
    </row>
    <row r="47" customFormat="false" ht="30" hidden="false" customHeight="true" outlineLevel="0" collapsed="false">
      <c r="A47" s="14"/>
      <c r="B47" s="42" t="s">
        <v>777</v>
      </c>
      <c r="C47" s="41" t="s">
        <v>793</v>
      </c>
    </row>
    <row r="48" customFormat="false" ht="30" hidden="false" customHeight="true" outlineLevel="0" collapsed="false">
      <c r="A48" s="14"/>
      <c r="B48" s="42" t="s">
        <v>794</v>
      </c>
      <c r="C48" s="41" t="s">
        <v>795</v>
      </c>
    </row>
    <row r="49" customFormat="false" ht="30" hidden="false" customHeight="true" outlineLevel="0" collapsed="false">
      <c r="A49" s="14"/>
      <c r="B49" s="42" t="s">
        <v>796</v>
      </c>
      <c r="C49" s="41" t="s">
        <v>797</v>
      </c>
    </row>
    <row r="50" customFormat="false" ht="30" hidden="false" customHeight="true" outlineLevel="0" collapsed="false">
      <c r="A50" s="14"/>
      <c r="B50" s="42" t="s">
        <v>798</v>
      </c>
      <c r="C50" s="41" t="s">
        <v>799</v>
      </c>
    </row>
    <row r="51" customFormat="false" ht="30" hidden="false" customHeight="true" outlineLevel="0" collapsed="false">
      <c r="A51" s="14"/>
      <c r="B51" s="42" t="s">
        <v>646</v>
      </c>
      <c r="C51" s="41" t="s">
        <v>800</v>
      </c>
    </row>
    <row r="52" customFormat="false" ht="30" hidden="false" customHeight="true" outlineLevel="0" collapsed="false">
      <c r="A52" s="25" t="s">
        <v>382</v>
      </c>
      <c r="B52" s="42" t="s">
        <v>463</v>
      </c>
      <c r="C52" s="41" t="s">
        <v>801</v>
      </c>
    </row>
    <row r="53" customFormat="false" ht="30" hidden="false" customHeight="true" outlineLevel="0" collapsed="false">
      <c r="A53" s="14"/>
      <c r="B53" s="42" t="s">
        <v>802</v>
      </c>
      <c r="C53" s="41" t="s">
        <v>803</v>
      </c>
    </row>
    <row r="54" customFormat="false" ht="30" hidden="false" customHeight="true" outlineLevel="0" collapsed="false">
      <c r="A54" s="14"/>
      <c r="B54" s="42" t="s">
        <v>804</v>
      </c>
      <c r="C54" s="41" t="s">
        <v>805</v>
      </c>
    </row>
    <row r="55" customFormat="false" ht="30" hidden="false" customHeight="true" outlineLevel="0" collapsed="false">
      <c r="A55" s="14"/>
      <c r="B55" s="42" t="s">
        <v>806</v>
      </c>
      <c r="C55" s="41" t="s">
        <v>807</v>
      </c>
    </row>
    <row r="56" customFormat="false" ht="30" hidden="false" customHeight="true" outlineLevel="0" collapsed="false">
      <c r="A56" s="14"/>
      <c r="B56" s="42" t="s">
        <v>808</v>
      </c>
      <c r="C56" s="41" t="s">
        <v>809</v>
      </c>
    </row>
    <row r="57" customFormat="false" ht="30" hidden="false" customHeight="true" outlineLevel="0" collapsed="false">
      <c r="A57" s="14"/>
      <c r="B57" s="42" t="s">
        <v>810</v>
      </c>
      <c r="C57" s="41" t="s">
        <v>811</v>
      </c>
    </row>
    <row r="58" customFormat="false" ht="30" hidden="false" customHeight="true" outlineLevel="0" collapsed="false">
      <c r="A58" s="14"/>
      <c r="B58" s="42" t="s">
        <v>812</v>
      </c>
      <c r="C58" s="41" t="s">
        <v>813</v>
      </c>
    </row>
    <row r="59" customFormat="false" ht="30" hidden="false" customHeight="true" outlineLevel="0" collapsed="false">
      <c r="A59" s="14"/>
      <c r="B59" s="42" t="s">
        <v>814</v>
      </c>
      <c r="C59" s="4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71.6" hidden="false" customHeight="false" outlineLevel="0" collapsed="false">
      <c r="A1" s="8" t="s">
        <v>816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493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824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825</v>
      </c>
      <c r="B4" s="46"/>
      <c r="C4" s="14" t="s">
        <v>826</v>
      </c>
      <c r="D4" s="46"/>
      <c r="E4" s="46"/>
      <c r="F4" s="46"/>
      <c r="G4" s="46"/>
      <c r="H4" s="46"/>
      <c r="I4" s="46"/>
    </row>
    <row r="5" customFormat="false" ht="15" hidden="false" customHeight="false" outlineLevel="0" collapsed="false">
      <c r="A5" s="45" t="s">
        <v>827</v>
      </c>
      <c r="B5" s="46"/>
      <c r="C5" s="14" t="s">
        <v>828</v>
      </c>
      <c r="D5" s="46"/>
      <c r="E5" s="46"/>
      <c r="F5" s="46"/>
      <c r="G5" s="46"/>
      <c r="H5" s="46"/>
      <c r="I5" s="46"/>
    </row>
    <row r="6" customFormat="false" ht="15" hidden="false" customHeight="false" outlineLevel="0" collapsed="false">
      <c r="A6" s="45" t="s">
        <v>829</v>
      </c>
      <c r="B6" s="46"/>
      <c r="C6" s="14" t="s">
        <v>830</v>
      </c>
      <c r="D6" s="46"/>
      <c r="E6" s="46"/>
      <c r="F6" s="46"/>
      <c r="G6" s="46"/>
      <c r="H6" s="46"/>
      <c r="I6" s="46"/>
    </row>
    <row r="7" customFormat="false" ht="15" hidden="false" customHeight="false" outlineLevel="0" collapsed="false">
      <c r="A7" s="45" t="s">
        <v>831</v>
      </c>
      <c r="B7" s="46"/>
      <c r="C7" s="14" t="s">
        <v>832</v>
      </c>
      <c r="D7" s="46"/>
      <c r="E7" s="46"/>
      <c r="F7" s="46"/>
      <c r="G7" s="46"/>
      <c r="H7" s="46"/>
      <c r="I7" s="46"/>
    </row>
    <row r="8" customFormat="false" ht="61.5" hidden="false" customHeight="true" outlineLevel="0" collapsed="false">
      <c r="A8" s="17" t="s">
        <v>497</v>
      </c>
      <c r="B8" s="18" t="s">
        <v>435</v>
      </c>
      <c r="C8" s="18" t="s">
        <v>833</v>
      </c>
      <c r="D8" s="18"/>
      <c r="E8" s="18"/>
      <c r="F8" s="18" t="str">
        <f aca="false">IF(AND(D8&lt;&gt;"",E8&lt;&gt;""),D8-E8,"")</f>
        <v/>
      </c>
      <c r="G8" s="43" t="s">
        <v>834</v>
      </c>
      <c r="H8" s="44" t="str">
        <f aca="false">IF(OR(D8="1",D8="2",E8="1",E8="2",D8=1,D8=2,E8=1,E8=2),IFERROR(VLOOKUP(A8,Harjoitepankki!$A:$D,4,FALSE()),""),"")</f>
        <v/>
      </c>
      <c r="I8" s="19"/>
    </row>
    <row r="9" customFormat="false" ht="35.05" hidden="false" customHeight="false" outlineLevel="0" collapsed="false">
      <c r="A9" s="45" t="s">
        <v>835</v>
      </c>
      <c r="B9" s="46"/>
      <c r="C9" s="14" t="s">
        <v>836</v>
      </c>
      <c r="D9" s="46"/>
      <c r="E9" s="46"/>
      <c r="F9" s="46"/>
      <c r="G9" s="46"/>
      <c r="H9" s="46"/>
      <c r="I9" s="46"/>
    </row>
    <row r="10" customFormat="false" ht="15" hidden="false" customHeight="false" outlineLevel="0" collapsed="false">
      <c r="A10" s="45" t="s">
        <v>837</v>
      </c>
      <c r="B10" s="46"/>
      <c r="C10" s="14" t="s">
        <v>838</v>
      </c>
      <c r="D10" s="46"/>
      <c r="E10" s="46"/>
      <c r="F10" s="46"/>
      <c r="G10" s="46"/>
      <c r="H10" s="46"/>
      <c r="I10" s="46"/>
    </row>
    <row r="11" customFormat="false" ht="23.85" hidden="false" customHeight="false" outlineLevel="0" collapsed="false">
      <c r="A11" s="45" t="s">
        <v>839</v>
      </c>
      <c r="B11" s="46"/>
      <c r="C11" s="14" t="s">
        <v>840</v>
      </c>
      <c r="D11" s="46"/>
      <c r="E11" s="46"/>
      <c r="F11" s="46"/>
      <c r="G11" s="46"/>
      <c r="H11" s="46"/>
      <c r="I11" s="46"/>
    </row>
    <row r="12" customFormat="false" ht="15" hidden="false" customHeight="false" outlineLevel="0" collapsed="false">
      <c r="A12" s="45" t="s">
        <v>841</v>
      </c>
      <c r="B12" s="46"/>
      <c r="C12" s="14" t="s">
        <v>842</v>
      </c>
      <c r="D12" s="46"/>
      <c r="E12" s="46"/>
      <c r="F12" s="46"/>
      <c r="G12" s="46"/>
      <c r="H12" s="46"/>
      <c r="I12" s="46"/>
    </row>
    <row r="13" customFormat="false" ht="61.5" hidden="false" customHeight="true" outlineLevel="0" collapsed="false">
      <c r="A13" s="17" t="s">
        <v>500</v>
      </c>
      <c r="B13" s="18" t="s">
        <v>435</v>
      </c>
      <c r="C13" s="18" t="s">
        <v>843</v>
      </c>
      <c r="D13" s="18"/>
      <c r="E13" s="18"/>
      <c r="F13" s="18" t="str">
        <f aca="false">IF(AND(D13&lt;&gt;"",E13&lt;&gt;""),D13-E13,"")</f>
        <v/>
      </c>
      <c r="G13" s="43" t="s">
        <v>844</v>
      </c>
      <c r="H13" s="44" t="str">
        <f aca="false">IF(OR(D13="1",D13="2",E13="1",E13="2",D13=1,D13=2,E13=1,E13=2),IFERROR(VLOOKUP(A13,Harjoitepankki!$A:$D,4,FALSE()),""),"")</f>
        <v/>
      </c>
      <c r="I13" s="19"/>
    </row>
    <row r="14" customFormat="false" ht="15" hidden="false" customHeight="false" outlineLevel="0" collapsed="false">
      <c r="A14" s="45" t="s">
        <v>845</v>
      </c>
      <c r="B14" s="46"/>
      <c r="C14" s="14" t="s">
        <v>846</v>
      </c>
      <c r="D14" s="46"/>
      <c r="E14" s="46"/>
      <c r="F14" s="46"/>
      <c r="G14" s="46"/>
      <c r="H14" s="46"/>
      <c r="I14" s="46"/>
    </row>
    <row r="15" customFormat="false" ht="23.85" hidden="false" customHeight="false" outlineLevel="0" collapsed="false">
      <c r="A15" s="45" t="s">
        <v>847</v>
      </c>
      <c r="B15" s="46"/>
      <c r="C15" s="14" t="s">
        <v>848</v>
      </c>
      <c r="D15" s="46"/>
      <c r="E15" s="46"/>
      <c r="F15" s="46"/>
      <c r="G15" s="46"/>
      <c r="H15" s="46"/>
      <c r="I15" s="46"/>
    </row>
    <row r="16" customFormat="false" ht="23.85" hidden="false" customHeight="false" outlineLevel="0" collapsed="false">
      <c r="A16" s="45" t="s">
        <v>849</v>
      </c>
      <c r="B16" s="46"/>
      <c r="C16" s="14" t="s">
        <v>850</v>
      </c>
      <c r="D16" s="46"/>
      <c r="E16" s="46"/>
      <c r="F16" s="46"/>
      <c r="G16" s="46"/>
      <c r="H16" s="46"/>
      <c r="I16" s="46"/>
    </row>
    <row r="17" customFormat="false" ht="35.05" hidden="false" customHeight="false" outlineLevel="0" collapsed="false">
      <c r="A17" s="45" t="s">
        <v>851</v>
      </c>
      <c r="B17" s="46"/>
      <c r="C17" s="14" t="s">
        <v>852</v>
      </c>
      <c r="D17" s="46"/>
      <c r="E17" s="46"/>
      <c r="F17" s="46"/>
      <c r="G17" s="46"/>
      <c r="H17" s="46"/>
      <c r="I17" s="46"/>
    </row>
    <row r="18" customFormat="false" ht="15" hidden="false" customHeight="false" outlineLevel="0" collapsed="false">
      <c r="A18" s="45" t="s">
        <v>853</v>
      </c>
      <c r="B18" s="46"/>
      <c r="C18" s="14" t="s">
        <v>854</v>
      </c>
      <c r="D18" s="46"/>
      <c r="E18" s="46"/>
      <c r="F18" s="46"/>
      <c r="G18" s="46"/>
      <c r="H18" s="46"/>
      <c r="I18" s="46"/>
    </row>
    <row r="19" customFormat="false" ht="61.5" hidden="false" customHeight="true" outlineLevel="0" collapsed="false">
      <c r="A19" s="17" t="s">
        <v>502</v>
      </c>
      <c r="B19" s="18" t="s">
        <v>435</v>
      </c>
      <c r="C19" s="18" t="s">
        <v>855</v>
      </c>
      <c r="D19" s="18"/>
      <c r="E19" s="18"/>
      <c r="F19" s="18" t="str">
        <f aca="false">IF(AND(D19&lt;&gt;"",E19&lt;&gt;""),D19-E19,"")</f>
        <v/>
      </c>
      <c r="G19" s="43" t="s">
        <v>856</v>
      </c>
      <c r="H19" s="44" t="str">
        <f aca="false">IF(OR(D19="1",D19="2",E19="1",E19="2",D19=1,D19=2,E19=1,E19=2),IFERROR(VLOOKUP(A19,Harjoitepankki!$A:$D,4,FALSE()),""),"")</f>
        <v/>
      </c>
      <c r="I19" s="19"/>
    </row>
    <row r="20" customFormat="false" ht="23.85" hidden="false" customHeight="false" outlineLevel="0" collapsed="false">
      <c r="A20" s="45" t="s">
        <v>857</v>
      </c>
      <c r="B20" s="46"/>
      <c r="C20" s="14" t="s">
        <v>858</v>
      </c>
      <c r="D20" s="46"/>
      <c r="E20" s="46"/>
      <c r="F20" s="46"/>
      <c r="G20" s="46"/>
      <c r="H20" s="46"/>
      <c r="I20" s="46"/>
    </row>
    <row r="21" customFormat="false" ht="35.05" hidden="false" customHeight="false" outlineLevel="0" collapsed="false">
      <c r="A21" s="45" t="s">
        <v>859</v>
      </c>
      <c r="B21" s="46"/>
      <c r="C21" s="14" t="s">
        <v>860</v>
      </c>
      <c r="D21" s="46"/>
      <c r="E21" s="46"/>
      <c r="F21" s="46"/>
      <c r="G21" s="46"/>
      <c r="H21" s="46"/>
      <c r="I21" s="46"/>
    </row>
    <row r="22" customFormat="false" ht="61.5" hidden="false" customHeight="true" outlineLevel="0" collapsed="false">
      <c r="A22" s="17" t="s">
        <v>504</v>
      </c>
      <c r="B22" s="18" t="s">
        <v>446</v>
      </c>
      <c r="C22" s="18" t="s">
        <v>861</v>
      </c>
      <c r="D22" s="18"/>
      <c r="E22" s="18"/>
      <c r="F22" s="18" t="str">
        <f aca="false">IF(AND(D22&lt;&gt;"",E22&lt;&gt;""),D22-E22,"")</f>
        <v/>
      </c>
      <c r="G22" s="43" t="s">
        <v>862</v>
      </c>
      <c r="H22" s="44" t="str">
        <f aca="false">IF(OR(D22="1",D22="2",E22="1",E22="2",D22=1,D22=2,E22=1,E22=2),IFERROR(VLOOKUP(A22,Harjoitepankki!$A:$D,4,FALSE()),""),"")</f>
        <v/>
      </c>
      <c r="I22" s="19"/>
    </row>
    <row r="23" customFormat="false" ht="23.85" hidden="false" customHeight="false" outlineLevel="0" collapsed="false">
      <c r="A23" s="45" t="s">
        <v>863</v>
      </c>
      <c r="B23" s="46"/>
      <c r="C23" s="14" t="s">
        <v>864</v>
      </c>
      <c r="D23" s="46"/>
      <c r="E23" s="46"/>
      <c r="F23" s="46"/>
      <c r="G23" s="46"/>
      <c r="H23" s="46"/>
      <c r="I23" s="46"/>
    </row>
    <row r="24" customFormat="false" ht="15" hidden="false" customHeight="false" outlineLevel="0" collapsed="false">
      <c r="A24" s="45" t="s">
        <v>865</v>
      </c>
      <c r="B24" s="46"/>
      <c r="C24" s="14" t="s">
        <v>866</v>
      </c>
      <c r="D24" s="46"/>
      <c r="E24" s="46"/>
      <c r="F24" s="46"/>
      <c r="G24" s="46"/>
      <c r="H24" s="46"/>
      <c r="I24" s="46"/>
    </row>
    <row r="25" customFormat="false" ht="15" hidden="false" customHeight="false" outlineLevel="0" collapsed="false">
      <c r="A25" s="45" t="s">
        <v>867</v>
      </c>
      <c r="B25" s="46"/>
      <c r="C25" s="14" t="s">
        <v>868</v>
      </c>
      <c r="D25" s="46"/>
      <c r="E25" s="46"/>
      <c r="F25" s="46"/>
      <c r="G25" s="46"/>
      <c r="H25" s="46"/>
      <c r="I25" s="46"/>
    </row>
    <row r="26" customFormat="false" ht="61.5" hidden="false" customHeight="true" outlineLevel="0" collapsed="false">
      <c r="A26" s="17" t="s">
        <v>506</v>
      </c>
      <c r="B26" s="18" t="s">
        <v>446</v>
      </c>
      <c r="C26" s="18" t="s">
        <v>869</v>
      </c>
      <c r="D26" s="18"/>
      <c r="E26" s="18"/>
      <c r="F26" s="18" t="str">
        <f aca="false">IF(AND(D26&lt;&gt;"",E26&lt;&gt;""),D26-E26,"")</f>
        <v/>
      </c>
      <c r="G26" s="43" t="s">
        <v>870</v>
      </c>
      <c r="H26" s="44" t="str">
        <f aca="false">IF(OR(D26="1",D26="2",E26="1",E26="2",D26=1,D26=2,E26=1,E26=2),IFERROR(VLOOKUP(A26,Harjoitepankki!$A:$D,4,FALSE()),""),"")</f>
        <v/>
      </c>
      <c r="I26" s="19"/>
    </row>
    <row r="27" customFormat="false" ht="23.85" hidden="false" customHeight="false" outlineLevel="0" collapsed="false">
      <c r="A27" s="45" t="s">
        <v>871</v>
      </c>
      <c r="B27" s="46"/>
      <c r="C27" s="14" t="s">
        <v>872</v>
      </c>
      <c r="D27" s="46"/>
      <c r="E27" s="46"/>
      <c r="F27" s="46"/>
      <c r="G27" s="46"/>
      <c r="H27" s="46"/>
      <c r="I27" s="46"/>
    </row>
    <row r="28" customFormat="false" ht="15" hidden="false" customHeight="false" outlineLevel="0" collapsed="false">
      <c r="A28" s="45" t="s">
        <v>873</v>
      </c>
      <c r="B28" s="46"/>
      <c r="C28" s="14" t="s">
        <v>874</v>
      </c>
      <c r="D28" s="46"/>
      <c r="E28" s="46"/>
      <c r="F28" s="46"/>
      <c r="G28" s="46"/>
      <c r="H28" s="46"/>
      <c r="I28" s="46"/>
    </row>
    <row r="29" customFormat="false" ht="15" hidden="false" customHeight="false" outlineLevel="0" collapsed="false">
      <c r="A29" s="45" t="s">
        <v>875</v>
      </c>
      <c r="B29" s="46"/>
      <c r="C29" s="14" t="s">
        <v>876</v>
      </c>
      <c r="D29" s="46"/>
      <c r="E29" s="46"/>
      <c r="F29" s="46"/>
      <c r="G29" s="46"/>
      <c r="H29" s="46"/>
      <c r="I29" s="46"/>
    </row>
    <row r="30" customFormat="false" ht="61.5" hidden="false" customHeight="true" outlineLevel="0" collapsed="false">
      <c r="A30" s="17" t="s">
        <v>508</v>
      </c>
      <c r="B30" s="18" t="s">
        <v>446</v>
      </c>
      <c r="C30" s="18" t="s">
        <v>877</v>
      </c>
      <c r="D30" s="18"/>
      <c r="E30" s="18"/>
      <c r="F30" s="18" t="str">
        <f aca="false">IF(AND(D30&lt;&gt;"",E30&lt;&gt;""),D30-E30,"")</f>
        <v/>
      </c>
      <c r="G30" s="43" t="s">
        <v>878</v>
      </c>
      <c r="H30" s="44" t="str">
        <f aca="false">IF(OR(D30="1",D30="2",E30="1",E30="2",D30=1,D30=2,E30=1,E30=2),IFERROR(VLOOKUP(A30,Harjoitepankki!$A:$D,4,FALSE()),""),"")</f>
        <v/>
      </c>
      <c r="I30" s="19"/>
    </row>
    <row r="31" customFormat="false" ht="15" hidden="false" customHeight="false" outlineLevel="0" collapsed="false">
      <c r="A31" s="45" t="s">
        <v>879</v>
      </c>
      <c r="B31" s="46"/>
      <c r="C31" s="14" t="s">
        <v>880</v>
      </c>
      <c r="D31" s="46"/>
      <c r="E31" s="46"/>
      <c r="F31" s="46"/>
      <c r="G31" s="46"/>
      <c r="H31" s="46"/>
      <c r="I31" s="46"/>
    </row>
    <row r="32" customFormat="false" ht="15" hidden="false" customHeight="false" outlineLevel="0" collapsed="false">
      <c r="A32" s="45" t="s">
        <v>881</v>
      </c>
      <c r="B32" s="46"/>
      <c r="C32" s="14" t="s">
        <v>882</v>
      </c>
      <c r="D32" s="46"/>
      <c r="E32" s="46"/>
      <c r="F32" s="46"/>
      <c r="G32" s="46"/>
      <c r="H32" s="46"/>
      <c r="I32" s="46"/>
    </row>
    <row r="33" customFormat="false" ht="15" hidden="false" customHeight="false" outlineLevel="0" collapsed="false">
      <c r="A33" s="45" t="s">
        <v>883</v>
      </c>
      <c r="B33" s="46"/>
      <c r="C33" s="14" t="s">
        <v>884</v>
      </c>
      <c r="D33" s="46"/>
      <c r="E33" s="46"/>
      <c r="F33" s="46"/>
      <c r="G33" s="46"/>
      <c r="H33" s="46"/>
      <c r="I33" s="46"/>
    </row>
    <row r="34" customFormat="false" ht="23.85" hidden="false" customHeight="false" outlineLevel="0" collapsed="false">
      <c r="A34" s="45" t="s">
        <v>885</v>
      </c>
      <c r="B34" s="46"/>
      <c r="C34" s="14" t="s">
        <v>886</v>
      </c>
      <c r="D34" s="46"/>
      <c r="E34" s="46"/>
      <c r="F34" s="46"/>
      <c r="G34" s="46"/>
      <c r="H34" s="46"/>
      <c r="I34" s="46"/>
    </row>
    <row r="35" customFormat="false" ht="61.5" hidden="false" customHeight="true" outlineLevel="0" collapsed="false">
      <c r="A35" s="17" t="s">
        <v>511</v>
      </c>
      <c r="B35" s="18" t="s">
        <v>454</v>
      </c>
      <c r="C35" s="18" t="s">
        <v>887</v>
      </c>
      <c r="D35" s="18"/>
      <c r="E35" s="18"/>
      <c r="F35" s="18" t="str">
        <f aca="false">IF(AND(D35&lt;&gt;"",E35&lt;&gt;""),D35-E35,"")</f>
        <v/>
      </c>
      <c r="G35" s="43" t="s">
        <v>888</v>
      </c>
      <c r="H35" s="44" t="str">
        <f aca="false">IF(OR(D35="1",D35="2",E35="1",E35="2",D35=1,D35=2,E35=1,E35=2),IFERROR(VLOOKUP(A35,Harjoitepankki!$A:$D,4,FALSE()),""),"")</f>
        <v/>
      </c>
      <c r="I35" s="19"/>
    </row>
    <row r="36" customFormat="false" ht="15" hidden="false" customHeight="false" outlineLevel="0" collapsed="false">
      <c r="A36" s="45" t="s">
        <v>889</v>
      </c>
      <c r="B36" s="46"/>
      <c r="C36" s="14" t="s">
        <v>890</v>
      </c>
      <c r="D36" s="46"/>
      <c r="E36" s="46"/>
      <c r="F36" s="46"/>
      <c r="G36" s="46"/>
      <c r="H36" s="46"/>
      <c r="I36" s="46"/>
    </row>
    <row r="37" customFormat="false" ht="35.05" hidden="false" customHeight="false" outlineLevel="0" collapsed="false">
      <c r="A37" s="45" t="s">
        <v>891</v>
      </c>
      <c r="B37" s="46"/>
      <c r="C37" s="14" t="s">
        <v>892</v>
      </c>
      <c r="D37" s="46"/>
      <c r="E37" s="46"/>
      <c r="F37" s="46"/>
      <c r="G37" s="46"/>
      <c r="H37" s="46"/>
      <c r="I37" s="46"/>
    </row>
    <row r="38" customFormat="false" ht="61.5" hidden="false" customHeight="true" outlineLevel="0" collapsed="false">
      <c r="A38" s="11" t="s">
        <v>514</v>
      </c>
      <c r="B38" s="12" t="s">
        <v>462</v>
      </c>
      <c r="C38" s="12" t="s">
        <v>893</v>
      </c>
      <c r="D38" s="12"/>
      <c r="E38" s="12"/>
      <c r="F38" s="12" t="str">
        <f aca="false">IF(AND(D38&lt;&gt;"",E38&lt;&gt;""),D38-E38,"")</f>
        <v/>
      </c>
      <c r="G38" s="47" t="s">
        <v>894</v>
      </c>
      <c r="H38" s="48" t="str">
        <f aca="false">IF(OR(D38="1",D38="2",E38="1",E38="2",D38=1,D38=2,E38=1,E38=2),IFERROR(VLOOKUP(A38,Harjoitepankki!$A:$D,4,FALSE()),""),"")</f>
        <v/>
      </c>
      <c r="I38" s="4"/>
    </row>
    <row r="39" customFormat="false" ht="15" hidden="false" customHeight="false" outlineLevel="0" collapsed="false">
      <c r="A39" s="45" t="s">
        <v>895</v>
      </c>
      <c r="B39" s="46"/>
      <c r="C39" s="14" t="s">
        <v>896</v>
      </c>
      <c r="D39" s="46"/>
      <c r="E39" s="46"/>
      <c r="F39" s="46"/>
      <c r="G39" s="46"/>
      <c r="H39" s="46"/>
      <c r="I39" s="46"/>
    </row>
    <row r="40" customFormat="false" ht="23.85" hidden="false" customHeight="false" outlineLevel="0" collapsed="false">
      <c r="A40" s="45" t="s">
        <v>897</v>
      </c>
      <c r="B40" s="46"/>
      <c r="C40" s="14" t="s">
        <v>898</v>
      </c>
      <c r="D40" s="46"/>
      <c r="E40" s="46"/>
      <c r="F40" s="46"/>
      <c r="G40" s="46"/>
      <c r="H40" s="46"/>
      <c r="I40" s="46"/>
    </row>
    <row r="41" customFormat="false" ht="23.85" hidden="false" customHeight="false" outlineLevel="0" collapsed="false">
      <c r="A41" s="45" t="s">
        <v>899</v>
      </c>
      <c r="B41" s="46"/>
      <c r="C41" s="14" t="s">
        <v>900</v>
      </c>
      <c r="D41" s="46"/>
      <c r="E41" s="46"/>
      <c r="F41" s="46"/>
      <c r="G41" s="46"/>
      <c r="H41" s="46"/>
      <c r="I41" s="46"/>
    </row>
    <row r="42" customFormat="false" ht="61.5" hidden="false" customHeight="true" outlineLevel="0" collapsed="false">
      <c r="A42" s="11" t="s">
        <v>516</v>
      </c>
      <c r="B42" s="12" t="s">
        <v>462</v>
      </c>
      <c r="C42" s="12" t="s">
        <v>901</v>
      </c>
      <c r="D42" s="12"/>
      <c r="E42" s="12"/>
      <c r="F42" s="12" t="str">
        <f aca="false">IF(AND(D42&lt;&gt;"",E42&lt;&gt;""),D42-E42,"")</f>
        <v/>
      </c>
      <c r="G42" s="47" t="s">
        <v>902</v>
      </c>
      <c r="H42" s="48" t="str">
        <f aca="false">IF(OR(D42="1",D42="2",E42="1",E42="2",D42=1,D42=2,E42=1,E42=2),IFERROR(VLOOKUP(A42,Harjoitepankki!$A:$D,4,FALSE()),""),"")</f>
        <v/>
      </c>
      <c r="I42" s="4"/>
    </row>
    <row r="43" customFormat="false" ht="15" hidden="false" customHeight="false" outlineLevel="0" collapsed="false">
      <c r="A43" s="45" t="s">
        <v>903</v>
      </c>
      <c r="B43" s="46"/>
      <c r="C43" s="14" t="s">
        <v>904</v>
      </c>
      <c r="D43" s="46"/>
      <c r="E43" s="46"/>
      <c r="F43" s="46"/>
      <c r="G43" s="46"/>
      <c r="H43" s="46"/>
      <c r="I43" s="46"/>
    </row>
    <row r="44" customFormat="false" ht="15" hidden="false" customHeight="false" outlineLevel="0" collapsed="false">
      <c r="A44" s="45" t="s">
        <v>905</v>
      </c>
      <c r="B44" s="46"/>
      <c r="C44" s="14" t="s">
        <v>906</v>
      </c>
      <c r="D44" s="46"/>
      <c r="E44" s="46"/>
      <c r="F44" s="46"/>
      <c r="G44" s="46"/>
      <c r="H44" s="46"/>
      <c r="I44" s="46"/>
    </row>
    <row r="45" customFormat="false" ht="61.5" hidden="false" customHeight="true" outlineLevel="0" collapsed="false">
      <c r="A45" s="11" t="s">
        <v>519</v>
      </c>
      <c r="B45" s="12" t="s">
        <v>462</v>
      </c>
      <c r="C45" s="12" t="s">
        <v>907</v>
      </c>
      <c r="D45" s="12"/>
      <c r="E45" s="12"/>
      <c r="F45" s="12" t="str">
        <f aca="false">IF(AND(D45&lt;&gt;"",E45&lt;&gt;""),D45-E45,"")</f>
        <v/>
      </c>
      <c r="G45" s="47" t="s">
        <v>908</v>
      </c>
      <c r="H45" s="48" t="str">
        <f aca="false">IF(OR(D45="1",D45="2",E45="1",E45="2",D45=1,D45=2,E45=1,E45=2),IFERROR(VLOOKUP(A45,Harjoitepankki!$A:$D,4,FALSE()),""),"")</f>
        <v/>
      </c>
      <c r="I45" s="4"/>
    </row>
    <row r="46" customFormat="false" ht="15" hidden="false" customHeight="false" outlineLevel="0" collapsed="false">
      <c r="A46" s="45" t="s">
        <v>909</v>
      </c>
      <c r="B46" s="46"/>
      <c r="C46" s="14" t="s">
        <v>910</v>
      </c>
      <c r="D46" s="46"/>
      <c r="E46" s="46"/>
      <c r="F46" s="46"/>
      <c r="G46" s="46"/>
      <c r="H46" s="46"/>
      <c r="I46" s="46"/>
    </row>
    <row r="47" customFormat="false" ht="23.85" hidden="false" customHeight="false" outlineLevel="0" collapsed="false">
      <c r="A47" s="45" t="s">
        <v>911</v>
      </c>
      <c r="B47" s="46"/>
      <c r="C47" s="14" t="s">
        <v>912</v>
      </c>
      <c r="D47" s="46"/>
      <c r="E47" s="46"/>
      <c r="F47" s="46"/>
      <c r="G47" s="46"/>
      <c r="H47" s="46"/>
      <c r="I47" s="46"/>
    </row>
    <row r="48" customFormat="false" ht="61.5" hidden="false" customHeight="true" outlineLevel="0" collapsed="false">
      <c r="A48" s="11" t="s">
        <v>520</v>
      </c>
      <c r="B48" s="12" t="s">
        <v>462</v>
      </c>
      <c r="C48" s="12" t="s">
        <v>913</v>
      </c>
      <c r="D48" s="12"/>
      <c r="E48" s="12"/>
      <c r="F48" s="12" t="str">
        <f aca="false">IF(AND(D48&lt;&gt;"",E48&lt;&gt;""),D48-E48,"")</f>
        <v/>
      </c>
      <c r="G48" s="47" t="s">
        <v>914</v>
      </c>
      <c r="H48" s="48" t="str">
        <f aca="false">IF(OR(D48="1",D48="2",E48="1",E48="2",D48=1,D48=2,E48=1,E48=2),IFERROR(VLOOKUP(A48,Harjoitepankki!$A:$D,4,FALSE()),""),"")</f>
        <v/>
      </c>
      <c r="I48" s="4"/>
    </row>
    <row r="49" customFormat="false" ht="23.85" hidden="false" customHeight="false" outlineLevel="0" collapsed="false">
      <c r="A49" s="45" t="s">
        <v>915</v>
      </c>
      <c r="B49" s="46"/>
      <c r="C49" s="14" t="s">
        <v>916</v>
      </c>
      <c r="D49" s="46"/>
      <c r="E49" s="46"/>
      <c r="F49" s="46"/>
      <c r="G49" s="46"/>
      <c r="H49" s="46"/>
      <c r="I49" s="46"/>
    </row>
    <row r="50" customFormat="false" ht="15" hidden="false" customHeight="false" outlineLevel="0" collapsed="false">
      <c r="A50" s="45" t="s">
        <v>917</v>
      </c>
      <c r="B50" s="46"/>
      <c r="C50" s="14" t="s">
        <v>918</v>
      </c>
      <c r="D50" s="46"/>
      <c r="E50" s="46"/>
      <c r="F50" s="46"/>
      <c r="G50" s="46"/>
      <c r="H50" s="46"/>
      <c r="I50" s="46"/>
    </row>
    <row r="51" customFormat="false" ht="61.5" hidden="false" customHeight="true" outlineLevel="0" collapsed="false">
      <c r="A51" s="11" t="s">
        <v>522</v>
      </c>
      <c r="B51" s="12" t="s">
        <v>462</v>
      </c>
      <c r="C51" s="12" t="s">
        <v>919</v>
      </c>
      <c r="D51" s="12"/>
      <c r="E51" s="12"/>
      <c r="F51" s="12" t="str">
        <f aca="false">IF(AND(D51&lt;&gt;"",E51&lt;&gt;""),D51-E51,"")</f>
        <v/>
      </c>
      <c r="G51" s="47" t="s">
        <v>920</v>
      </c>
      <c r="H51" s="48" t="str">
        <f aca="false">IF(OR(D51="1",D51="2",E51="1",E51="2",D51=1,D51=2,E51=1,E51=2),IFERROR(VLOOKUP(A51,Harjoitepankki!$A:$D,4,FALSE()),""),"")</f>
        <v/>
      </c>
      <c r="I51" s="4"/>
    </row>
    <row r="52" customFormat="false" ht="15" hidden="false" customHeight="false" outlineLevel="0" collapsed="false">
      <c r="A52" s="45" t="s">
        <v>921</v>
      </c>
      <c r="B52" s="46"/>
      <c r="C52" s="14" t="s">
        <v>922</v>
      </c>
      <c r="D52" s="46"/>
      <c r="E52" s="46"/>
      <c r="F52" s="46"/>
      <c r="G52" s="46"/>
      <c r="H52" s="46"/>
      <c r="I52" s="46"/>
    </row>
    <row r="53" customFormat="false" ht="15" hidden="false" customHeight="false" outlineLevel="0" collapsed="false">
      <c r="A53" s="45" t="s">
        <v>923</v>
      </c>
      <c r="B53" s="46"/>
      <c r="C53" s="14" t="s">
        <v>924</v>
      </c>
      <c r="D53" s="46"/>
      <c r="E53" s="46"/>
      <c r="F53" s="46"/>
      <c r="G53" s="46"/>
      <c r="H53" s="46"/>
      <c r="I53" s="46"/>
    </row>
    <row r="54" customFormat="false" ht="15" hidden="false" customHeight="false" outlineLevel="0" collapsed="false">
      <c r="A54" s="45" t="s">
        <v>925</v>
      </c>
      <c r="B54" s="46"/>
      <c r="C54" s="14" t="s">
        <v>926</v>
      </c>
      <c r="D54" s="46"/>
      <c r="E54" s="46"/>
      <c r="F54" s="46"/>
      <c r="G54" s="46"/>
      <c r="H54" s="46"/>
      <c r="I54" s="46"/>
    </row>
    <row r="55" customFormat="false" ht="15" hidden="false" customHeight="false" outlineLevel="0" collapsed="false">
      <c r="A55" s="45" t="s">
        <v>927</v>
      </c>
      <c r="B55" s="46"/>
      <c r="C55" s="14" t="s">
        <v>928</v>
      </c>
      <c r="D55" s="46"/>
      <c r="E55" s="46"/>
      <c r="F55" s="46"/>
      <c r="G55" s="46"/>
      <c r="H55" s="46"/>
      <c r="I55" s="46"/>
    </row>
    <row r="57" customFormat="false" ht="22.35" hidden="false" customHeight="false" outlineLevel="0" collapsed="false">
      <c r="C57" s="28" t="s">
        <v>929</v>
      </c>
      <c r="D57" s="49" t="n">
        <f aca="false">IF(D3="",0,D3)+IF(D8="",0,D8)+IF(D13="",0,D13)+IF(D19="",0,D19)+IF(D22="",0,D22)+IF(D26="",0,D26)+IF(D30="",0,D30)+IF(D35="",0,D35)+IF(D38="",0,D38)+IF(D42="",0,D42)+IF(D45="",0,D45)+IF(D48="",0,D48)+IF(D51="",0,D51)</f>
        <v>0</v>
      </c>
      <c r="E57" s="49" t="n">
        <f aca="false">IF(E3="",0,E3)+IF(E8="",0,E8)+IF(E13="",0,E13)+IF(E19="",0,E19)+IF(E22="",0,E22)+IF(E26="",0,E26)+IF(E30="",0,E30)+IF(E35="",0,E35)+IF(E38="",0,E38)+IF(E42="",0,E42)+IF(E45="",0,E45)+IF(E48="",0,E48)+IF(E51="",0,E51)</f>
        <v>0</v>
      </c>
      <c r="G57" s="50" t="s">
        <v>930</v>
      </c>
    </row>
    <row r="59" customFormat="false" ht="15" hidden="false" customHeight="true" outlineLevel="0" collapsed="false">
      <c r="A59" s="21" t="s">
        <v>931</v>
      </c>
      <c r="B59" s="21"/>
      <c r="C59" s="21"/>
      <c r="D59" s="21"/>
      <c r="E59" s="21"/>
      <c r="F59" s="21"/>
      <c r="G59" s="21"/>
      <c r="H59" s="21"/>
      <c r="I59" s="21"/>
    </row>
    <row r="60" customFormat="false" ht="30" hidden="false" customHeight="true" outlineLevel="0" collapsed="false">
      <c r="A60" s="37" t="s">
        <v>932</v>
      </c>
      <c r="B60" s="7" t="s">
        <v>933</v>
      </c>
      <c r="C60" s="7"/>
      <c r="D60" s="7"/>
      <c r="E60" s="7"/>
      <c r="F60" s="51"/>
      <c r="G60" s="51"/>
      <c r="H60" s="51"/>
      <c r="I60" s="51"/>
    </row>
    <row r="61" customFormat="false" ht="30" hidden="false" customHeight="true" outlineLevel="0" collapsed="false">
      <c r="A61" s="37" t="s">
        <v>934</v>
      </c>
      <c r="B61" s="7" t="s">
        <v>935</v>
      </c>
      <c r="C61" s="7"/>
      <c r="D61" s="7"/>
      <c r="E61" s="7"/>
      <c r="F61" s="51"/>
      <c r="G61" s="51"/>
      <c r="H61" s="51"/>
      <c r="I61" s="51"/>
    </row>
    <row r="62" customFormat="false" ht="30" hidden="false" customHeight="true" outlineLevel="0" collapsed="false">
      <c r="A62" s="37" t="s">
        <v>936</v>
      </c>
      <c r="B62" s="7" t="s">
        <v>937</v>
      </c>
      <c r="C62" s="7"/>
      <c r="D62" s="7"/>
      <c r="E62" s="7"/>
      <c r="F62" s="51"/>
      <c r="G62" s="51"/>
      <c r="H62" s="51"/>
      <c r="I62" s="51"/>
    </row>
    <row r="63" customFormat="false" ht="30" hidden="false" customHeight="true" outlineLevel="0" collapsed="false">
      <c r="A63" s="37" t="s">
        <v>938</v>
      </c>
      <c r="B63" s="7" t="s">
        <v>939</v>
      </c>
      <c r="C63" s="7"/>
      <c r="D63" s="7"/>
      <c r="E63" s="7"/>
      <c r="F63" s="51"/>
      <c r="G63" s="51"/>
      <c r="H63" s="51"/>
      <c r="I63" s="51"/>
    </row>
    <row r="64" customFormat="false" ht="30" hidden="false" customHeight="true" outlineLevel="0" collapsed="false">
      <c r="A64" s="37" t="s">
        <v>940</v>
      </c>
      <c r="B64" s="7" t="s">
        <v>941</v>
      </c>
      <c r="C64" s="7"/>
      <c r="D64" s="7"/>
      <c r="E64" s="7"/>
      <c r="F64" s="51"/>
      <c r="G64" s="51"/>
      <c r="H64" s="51"/>
      <c r="I64" s="51"/>
    </row>
    <row r="66" customFormat="false" ht="15" hidden="false" customHeight="true" outlineLevel="0" collapsed="false">
      <c r="A66" s="21" t="s">
        <v>942</v>
      </c>
      <c r="B66" s="21"/>
      <c r="C66" s="21"/>
      <c r="D66" s="21"/>
      <c r="E66" s="21"/>
      <c r="F66" s="21"/>
      <c r="G66" s="21"/>
      <c r="H66" s="21"/>
      <c r="I66" s="21"/>
    </row>
    <row r="67" customFormat="false" ht="25.5" hidden="false" customHeight="true" outlineLevel="0" collapsed="false">
      <c r="A67" s="23" t="s">
        <v>943</v>
      </c>
      <c r="B67" s="23"/>
      <c r="C67" s="23"/>
      <c r="D67" s="51"/>
      <c r="E67" s="51"/>
      <c r="F67" s="51"/>
      <c r="G67" s="51"/>
      <c r="H67" s="51"/>
      <c r="I67" s="51"/>
    </row>
    <row r="68" customFormat="false" ht="25.5" hidden="false" customHeight="true" outlineLevel="0" collapsed="false">
      <c r="A68" s="23" t="s">
        <v>944</v>
      </c>
      <c r="B68" s="23"/>
      <c r="C68" s="23"/>
      <c r="D68" s="51"/>
      <c r="E68" s="51"/>
      <c r="F68" s="51"/>
      <c r="G68" s="51"/>
      <c r="H68" s="51"/>
      <c r="I68" s="51"/>
    </row>
    <row r="69" customFormat="false" ht="25.5" hidden="false" customHeight="true" outlineLevel="0" collapsed="false">
      <c r="A69" s="23" t="s">
        <v>945</v>
      </c>
      <c r="B69" s="23"/>
      <c r="C69" s="23"/>
      <c r="D69" s="51"/>
      <c r="E69" s="51"/>
      <c r="F69" s="51"/>
      <c r="G69" s="51"/>
      <c r="H69" s="51"/>
      <c r="I69" s="51"/>
    </row>
    <row r="70" customFormat="false" ht="25.5" hidden="false" customHeight="true" outlineLevel="0" collapsed="false">
      <c r="A70" s="23" t="s">
        <v>946</v>
      </c>
      <c r="B70" s="23"/>
      <c r="C70" s="23"/>
      <c r="D70" s="51"/>
      <c r="E70" s="51"/>
      <c r="F70" s="51"/>
      <c r="G70" s="51"/>
      <c r="H70" s="51"/>
      <c r="I70" s="51"/>
    </row>
    <row r="71" customFormat="false" ht="25.5" hidden="false" customHeight="true" outlineLevel="0" collapsed="false">
      <c r="A71" s="23" t="s">
        <v>947</v>
      </c>
      <c r="B71" s="23"/>
      <c r="C71" s="23"/>
      <c r="D71" s="51"/>
      <c r="E71" s="51"/>
      <c r="F71" s="51"/>
      <c r="G71" s="51"/>
      <c r="H71" s="51"/>
      <c r="I71" s="51"/>
    </row>
    <row r="72" customFormat="false" ht="25.5" hidden="false" customHeight="true" outlineLevel="0" collapsed="false">
      <c r="A72" s="23" t="s">
        <v>948</v>
      </c>
      <c r="B72" s="23"/>
      <c r="C72" s="23"/>
      <c r="D72" s="51"/>
      <c r="E72" s="51"/>
      <c r="F72" s="51"/>
      <c r="G72" s="51"/>
      <c r="H72" s="51"/>
      <c r="I72" s="51"/>
    </row>
    <row r="73" customFormat="false" ht="25.5" hidden="false" customHeight="true" outlineLevel="0" collapsed="false">
      <c r="A73" s="23" t="s">
        <v>949</v>
      </c>
      <c r="B73" s="23"/>
      <c r="C73" s="23"/>
      <c r="D73" s="51"/>
      <c r="E73" s="51"/>
      <c r="F73" s="51"/>
      <c r="G73" s="51"/>
      <c r="H73" s="51"/>
      <c r="I73" s="51"/>
    </row>
  </sheetData>
  <mergeCells count="26">
    <mergeCell ref="A59:I59"/>
    <mergeCell ref="B60:E60"/>
    <mergeCell ref="F60:I60"/>
    <mergeCell ref="B61:E61"/>
    <mergeCell ref="F61:I61"/>
    <mergeCell ref="B62:E62"/>
    <mergeCell ref="F62:I62"/>
    <mergeCell ref="B63:E63"/>
    <mergeCell ref="F63:I63"/>
    <mergeCell ref="B64:E64"/>
    <mergeCell ref="F64:I64"/>
    <mergeCell ref="A66:I66"/>
    <mergeCell ref="A67:C67"/>
    <mergeCell ref="D67:I67"/>
    <mergeCell ref="A68:C68"/>
    <mergeCell ref="D68:I68"/>
    <mergeCell ref="A69:C69"/>
    <mergeCell ref="D69:I69"/>
    <mergeCell ref="A70:C70"/>
    <mergeCell ref="D70:I70"/>
    <mergeCell ref="A71:C71"/>
    <mergeCell ref="D71:I71"/>
    <mergeCell ref="A72:C72"/>
    <mergeCell ref="D72:I72"/>
    <mergeCell ref="A73:C73"/>
    <mergeCell ref="D73:I73"/>
  </mergeCells>
  <dataValidations count="1">
    <dataValidation allowBlank="true" errorStyle="stop" operator="between" showDropDown="false" showErrorMessage="false" showInputMessage="false" sqref="D3:E3 D8:E8 D13:E13 D19:E19 D22:E22 D26:E26 D30:E30 D35:E35 D38:E38 D42:E42 D45:E45 D48:E48 D51:E5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85.8" hidden="false" customHeight="false" outlineLevel="0" collapsed="false">
      <c r="A1" s="8" t="s">
        <v>950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525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951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952</v>
      </c>
      <c r="B4" s="46"/>
      <c r="C4" s="14" t="s">
        <v>953</v>
      </c>
      <c r="D4" s="46"/>
      <c r="E4" s="46"/>
      <c r="F4" s="46"/>
      <c r="G4" s="46"/>
      <c r="H4" s="46"/>
      <c r="I4" s="46"/>
    </row>
    <row r="5" customFormat="false" ht="15" hidden="false" customHeight="false" outlineLevel="0" collapsed="false">
      <c r="A5" s="45" t="s">
        <v>954</v>
      </c>
      <c r="B5" s="46"/>
      <c r="C5" s="14" t="s">
        <v>955</v>
      </c>
      <c r="D5" s="46"/>
      <c r="E5" s="46"/>
      <c r="F5" s="46"/>
      <c r="G5" s="46"/>
      <c r="H5" s="46"/>
      <c r="I5" s="46"/>
    </row>
    <row r="6" customFormat="false" ht="15" hidden="false" customHeight="false" outlineLevel="0" collapsed="false">
      <c r="A6" s="45" t="s">
        <v>956</v>
      </c>
      <c r="B6" s="46"/>
      <c r="C6" s="14" t="s">
        <v>957</v>
      </c>
      <c r="D6" s="46"/>
      <c r="E6" s="46"/>
      <c r="F6" s="46"/>
      <c r="G6" s="46"/>
      <c r="H6" s="46"/>
      <c r="I6" s="46"/>
    </row>
    <row r="7" customFormat="false" ht="61.5" hidden="false" customHeight="true" outlineLevel="0" collapsed="false">
      <c r="A7" s="17" t="s">
        <v>528</v>
      </c>
      <c r="B7" s="18" t="s">
        <v>435</v>
      </c>
      <c r="C7" s="18" t="s">
        <v>833</v>
      </c>
      <c r="D7" s="18"/>
      <c r="E7" s="18"/>
      <c r="F7" s="18" t="str">
        <f aca="false">IF(AND(D7&lt;&gt;"",E7&lt;&gt;""),D7-E7,"")</f>
        <v/>
      </c>
      <c r="G7" s="43" t="s">
        <v>958</v>
      </c>
      <c r="H7" s="44" t="str">
        <f aca="false">IF(OR(D7="1",D7="2",E7="1",E7="2",D7=1,D7=2,E7=1,E7=2),IFERROR(VLOOKUP(A7,Harjoitepankki!$A:$D,4,FALSE()),""),"")</f>
        <v/>
      </c>
      <c r="I7" s="19"/>
    </row>
    <row r="8" customFormat="false" ht="35.05" hidden="false" customHeight="false" outlineLevel="0" collapsed="false">
      <c r="A8" s="45" t="s">
        <v>959</v>
      </c>
      <c r="B8" s="46"/>
      <c r="C8" s="14" t="s">
        <v>960</v>
      </c>
      <c r="D8" s="46"/>
      <c r="E8" s="46"/>
      <c r="F8" s="46"/>
      <c r="G8" s="46"/>
      <c r="H8" s="46"/>
      <c r="I8" s="46"/>
    </row>
    <row r="9" customFormat="false" ht="23.85" hidden="false" customHeight="false" outlineLevel="0" collapsed="false">
      <c r="A9" s="45" t="s">
        <v>961</v>
      </c>
      <c r="B9" s="46"/>
      <c r="C9" s="14" t="s">
        <v>962</v>
      </c>
      <c r="D9" s="46"/>
      <c r="E9" s="46"/>
      <c r="F9" s="46"/>
      <c r="G9" s="46"/>
      <c r="H9" s="46"/>
      <c r="I9" s="46"/>
    </row>
    <row r="10" customFormat="false" ht="23.85" hidden="false" customHeight="false" outlineLevel="0" collapsed="false">
      <c r="A10" s="45" t="s">
        <v>963</v>
      </c>
      <c r="B10" s="46"/>
      <c r="C10" s="14" t="s">
        <v>964</v>
      </c>
      <c r="D10" s="46"/>
      <c r="E10" s="46"/>
      <c r="F10" s="46"/>
      <c r="G10" s="46"/>
      <c r="H10" s="46"/>
      <c r="I10" s="46"/>
    </row>
    <row r="11" customFormat="false" ht="23.85" hidden="false" customHeight="false" outlineLevel="0" collapsed="false">
      <c r="A11" s="45" t="s">
        <v>965</v>
      </c>
      <c r="B11" s="46"/>
      <c r="C11" s="14" t="s">
        <v>966</v>
      </c>
      <c r="D11" s="46"/>
      <c r="E11" s="46"/>
      <c r="F11" s="46"/>
      <c r="G11" s="46"/>
      <c r="H11" s="46"/>
      <c r="I11" s="46"/>
    </row>
    <row r="12" customFormat="false" ht="61.5" hidden="false" customHeight="true" outlineLevel="0" collapsed="false">
      <c r="A12" s="17" t="s">
        <v>531</v>
      </c>
      <c r="B12" s="18" t="s">
        <v>435</v>
      </c>
      <c r="C12" s="18" t="s">
        <v>843</v>
      </c>
      <c r="D12" s="18"/>
      <c r="E12" s="18"/>
      <c r="F12" s="18" t="str">
        <f aca="false">IF(AND(D12&lt;&gt;"",E12&lt;&gt;""),D12-E12,"")</f>
        <v/>
      </c>
      <c r="G12" s="43" t="s">
        <v>967</v>
      </c>
      <c r="H12" s="44" t="str">
        <f aca="false">IF(OR(D12="1",D12="2",E12="1",E12="2",D12=1,D12=2,E12=1,E12=2),IFERROR(VLOOKUP(A12,Harjoitepankki!$A:$D,4,FALSE()),""),"")</f>
        <v/>
      </c>
      <c r="I12" s="19"/>
    </row>
    <row r="13" customFormat="false" ht="15" hidden="false" customHeight="false" outlineLevel="0" collapsed="false">
      <c r="A13" s="45" t="s">
        <v>968</v>
      </c>
      <c r="B13" s="46"/>
      <c r="C13" s="14" t="s">
        <v>969</v>
      </c>
      <c r="D13" s="46"/>
      <c r="E13" s="46"/>
      <c r="F13" s="46"/>
      <c r="G13" s="46"/>
      <c r="H13" s="46"/>
      <c r="I13" s="46"/>
    </row>
    <row r="14" customFormat="false" ht="15" hidden="false" customHeight="false" outlineLevel="0" collapsed="false">
      <c r="A14" s="45" t="s">
        <v>970</v>
      </c>
      <c r="B14" s="46"/>
      <c r="C14" s="14" t="s">
        <v>971</v>
      </c>
      <c r="D14" s="46"/>
      <c r="E14" s="46"/>
      <c r="F14" s="46"/>
      <c r="G14" s="46"/>
      <c r="H14" s="46"/>
      <c r="I14" s="46"/>
    </row>
    <row r="15" customFormat="false" ht="23.85" hidden="false" customHeight="false" outlineLevel="0" collapsed="false">
      <c r="A15" s="45" t="s">
        <v>972</v>
      </c>
      <c r="B15" s="46"/>
      <c r="C15" s="14" t="s">
        <v>973</v>
      </c>
      <c r="D15" s="46"/>
      <c r="E15" s="46"/>
      <c r="F15" s="46"/>
      <c r="G15" s="46"/>
      <c r="H15" s="46"/>
      <c r="I15" s="46"/>
    </row>
    <row r="16" customFormat="false" ht="61.5" hidden="false" customHeight="true" outlineLevel="0" collapsed="false">
      <c r="A16" s="17" t="s">
        <v>533</v>
      </c>
      <c r="B16" s="18" t="s">
        <v>435</v>
      </c>
      <c r="C16" s="18" t="s">
        <v>855</v>
      </c>
      <c r="D16" s="18"/>
      <c r="E16" s="18"/>
      <c r="F16" s="18" t="str">
        <f aca="false">IF(AND(D16&lt;&gt;"",E16&lt;&gt;""),D16-E16,"")</f>
        <v/>
      </c>
      <c r="G16" s="43" t="s">
        <v>974</v>
      </c>
      <c r="H16" s="44" t="str">
        <f aca="false">IF(OR(D16="1",D16="2",E16="1",E16="2",D16=1,D16=2,E16=1,E16=2),IFERROR(VLOOKUP(A16,Harjoitepankki!$A:$D,4,FALSE()),""),"")</f>
        <v/>
      </c>
      <c r="I16" s="19"/>
    </row>
    <row r="17" customFormat="false" ht="23.85" hidden="false" customHeight="false" outlineLevel="0" collapsed="false">
      <c r="A17" s="45" t="s">
        <v>975</v>
      </c>
      <c r="B17" s="46"/>
      <c r="C17" s="14" t="s">
        <v>858</v>
      </c>
      <c r="D17" s="46"/>
      <c r="E17" s="46"/>
      <c r="F17" s="46"/>
      <c r="G17" s="46"/>
      <c r="H17" s="46"/>
      <c r="I17" s="46"/>
    </row>
    <row r="18" customFormat="false" ht="15" hidden="false" customHeight="false" outlineLevel="0" collapsed="false">
      <c r="A18" s="45" t="s">
        <v>976</v>
      </c>
      <c r="B18" s="46"/>
      <c r="C18" s="14" t="s">
        <v>977</v>
      </c>
      <c r="D18" s="46"/>
      <c r="E18" s="46"/>
      <c r="F18" s="46"/>
      <c r="G18" s="46"/>
      <c r="H18" s="46"/>
      <c r="I18" s="46"/>
    </row>
    <row r="19" customFormat="false" ht="23.85" hidden="false" customHeight="false" outlineLevel="0" collapsed="false">
      <c r="A19" s="45" t="s">
        <v>978</v>
      </c>
      <c r="B19" s="46"/>
      <c r="C19" s="14" t="s">
        <v>979</v>
      </c>
      <c r="D19" s="46"/>
      <c r="E19" s="46"/>
      <c r="F19" s="46"/>
      <c r="G19" s="46"/>
      <c r="H19" s="46"/>
      <c r="I19" s="46"/>
    </row>
    <row r="20" customFormat="false" ht="61.5" hidden="false" customHeight="true" outlineLevel="0" collapsed="false">
      <c r="A20" s="17" t="s">
        <v>535</v>
      </c>
      <c r="B20" s="18" t="s">
        <v>446</v>
      </c>
      <c r="C20" s="18" t="s">
        <v>980</v>
      </c>
      <c r="D20" s="18"/>
      <c r="E20" s="18"/>
      <c r="F20" s="18" t="str">
        <f aca="false">IF(AND(D20&lt;&gt;"",E20&lt;&gt;""),D20-E20,"")</f>
        <v/>
      </c>
      <c r="G20" s="43" t="s">
        <v>981</v>
      </c>
      <c r="H20" s="44" t="str">
        <f aca="false">IF(OR(D20="1",D20="2",E20="1",E20="2",D20=1,D20=2,E20=1,E20=2),IFERROR(VLOOKUP(A20,Harjoitepankki!$A:$D,4,FALSE()),""),"")</f>
        <v/>
      </c>
      <c r="I20" s="19"/>
    </row>
    <row r="21" customFormat="false" ht="23.85" hidden="false" customHeight="false" outlineLevel="0" collapsed="false">
      <c r="A21" s="45" t="s">
        <v>982</v>
      </c>
      <c r="B21" s="46"/>
      <c r="C21" s="14" t="s">
        <v>983</v>
      </c>
      <c r="D21" s="46"/>
      <c r="E21" s="46"/>
      <c r="F21" s="46"/>
      <c r="G21" s="46"/>
      <c r="H21" s="46"/>
      <c r="I21" s="46"/>
    </row>
    <row r="22" customFormat="false" ht="23.85" hidden="false" customHeight="false" outlineLevel="0" collapsed="false">
      <c r="A22" s="45" t="s">
        <v>984</v>
      </c>
      <c r="B22" s="46"/>
      <c r="C22" s="14" t="s">
        <v>985</v>
      </c>
      <c r="D22" s="46"/>
      <c r="E22" s="46"/>
      <c r="F22" s="46"/>
      <c r="G22" s="46"/>
      <c r="H22" s="46"/>
      <c r="I22" s="46"/>
    </row>
    <row r="23" customFormat="false" ht="61.5" hidden="false" customHeight="true" outlineLevel="0" collapsed="false">
      <c r="A23" s="17" t="s">
        <v>537</v>
      </c>
      <c r="B23" s="18" t="s">
        <v>446</v>
      </c>
      <c r="C23" s="18" t="s">
        <v>869</v>
      </c>
      <c r="D23" s="18"/>
      <c r="E23" s="18"/>
      <c r="F23" s="18" t="str">
        <f aca="false">IF(AND(D23&lt;&gt;"",E23&lt;&gt;""),D23-E23,"")</f>
        <v/>
      </c>
      <c r="G23" s="43" t="s">
        <v>986</v>
      </c>
      <c r="H23" s="44" t="str">
        <f aca="false">IF(OR(D23="1",D23="2",E23="1",E23="2",D23=1,D23=2,E23=1,E23=2),IFERROR(VLOOKUP(A23,Harjoitepankki!$A:$D,4,FALSE()),""),"")</f>
        <v/>
      </c>
      <c r="I23" s="19"/>
    </row>
    <row r="24" customFormat="false" ht="35.05" hidden="false" customHeight="false" outlineLevel="0" collapsed="false">
      <c r="A24" s="45" t="s">
        <v>987</v>
      </c>
      <c r="B24" s="46"/>
      <c r="C24" s="14" t="s">
        <v>988</v>
      </c>
      <c r="D24" s="46"/>
      <c r="E24" s="46"/>
      <c r="F24" s="46"/>
      <c r="G24" s="46"/>
      <c r="H24" s="46"/>
      <c r="I24" s="46"/>
    </row>
    <row r="25" customFormat="false" ht="15" hidden="false" customHeight="false" outlineLevel="0" collapsed="false">
      <c r="A25" s="45" t="s">
        <v>989</v>
      </c>
      <c r="B25" s="46"/>
      <c r="C25" s="14" t="s">
        <v>990</v>
      </c>
      <c r="D25" s="46"/>
      <c r="E25" s="46"/>
      <c r="F25" s="46"/>
      <c r="G25" s="46"/>
      <c r="H25" s="46"/>
      <c r="I25" s="46"/>
    </row>
    <row r="26" customFormat="false" ht="23.85" hidden="false" customHeight="false" outlineLevel="0" collapsed="false">
      <c r="A26" s="45" t="s">
        <v>991</v>
      </c>
      <c r="B26" s="46"/>
      <c r="C26" s="14" t="s">
        <v>992</v>
      </c>
      <c r="D26" s="46"/>
      <c r="E26" s="46"/>
      <c r="F26" s="46"/>
      <c r="G26" s="46"/>
      <c r="H26" s="46"/>
      <c r="I26" s="46"/>
    </row>
    <row r="27" customFormat="false" ht="23.85" hidden="false" customHeight="false" outlineLevel="0" collapsed="false">
      <c r="A27" s="45" t="s">
        <v>993</v>
      </c>
      <c r="B27" s="46"/>
      <c r="C27" s="14" t="s">
        <v>994</v>
      </c>
      <c r="D27" s="46"/>
      <c r="E27" s="46"/>
      <c r="F27" s="46"/>
      <c r="G27" s="46"/>
      <c r="H27" s="46"/>
      <c r="I27" s="46"/>
    </row>
    <row r="28" customFormat="false" ht="61.5" hidden="false" customHeight="true" outlineLevel="0" collapsed="false">
      <c r="A28" s="17" t="s">
        <v>539</v>
      </c>
      <c r="B28" s="18" t="s">
        <v>446</v>
      </c>
      <c r="C28" s="18" t="s">
        <v>877</v>
      </c>
      <c r="D28" s="18"/>
      <c r="E28" s="18"/>
      <c r="F28" s="18" t="str">
        <f aca="false">IF(AND(D28&lt;&gt;"",E28&lt;&gt;""),D28-E28,"")</f>
        <v/>
      </c>
      <c r="G28" s="43" t="s">
        <v>995</v>
      </c>
      <c r="H28" s="44" t="str">
        <f aca="false">IF(OR(D28="1",D28="2",E28="1",E28="2",D28=1,D28=2,E28=1,E28=2),IFERROR(VLOOKUP(A28,Harjoitepankki!$A:$D,4,FALSE()),""),"")</f>
        <v/>
      </c>
      <c r="I28" s="19"/>
    </row>
    <row r="29" customFormat="false" ht="15" hidden="false" customHeight="false" outlineLevel="0" collapsed="false">
      <c r="A29" s="45" t="s">
        <v>996</v>
      </c>
      <c r="B29" s="46"/>
      <c r="C29" s="14" t="s">
        <v>997</v>
      </c>
      <c r="D29" s="46"/>
      <c r="E29" s="46"/>
      <c r="F29" s="46"/>
      <c r="G29" s="46"/>
      <c r="H29" s="46"/>
      <c r="I29" s="46"/>
    </row>
    <row r="30" customFormat="false" ht="23.85" hidden="false" customHeight="false" outlineLevel="0" collapsed="false">
      <c r="A30" s="45" t="s">
        <v>998</v>
      </c>
      <c r="B30" s="46"/>
      <c r="C30" s="14" t="s">
        <v>999</v>
      </c>
      <c r="D30" s="46"/>
      <c r="E30" s="46"/>
      <c r="F30" s="46"/>
      <c r="G30" s="46"/>
      <c r="H30" s="46"/>
      <c r="I30" s="46"/>
    </row>
    <row r="31" customFormat="false" ht="61.5" hidden="false" customHeight="true" outlineLevel="0" collapsed="false">
      <c r="A31" s="17" t="s">
        <v>541</v>
      </c>
      <c r="B31" s="18" t="s">
        <v>454</v>
      </c>
      <c r="C31" s="18" t="s">
        <v>887</v>
      </c>
      <c r="D31" s="18"/>
      <c r="E31" s="18"/>
      <c r="F31" s="18" t="str">
        <f aca="false">IF(AND(D31&lt;&gt;"",E31&lt;&gt;""),D31-E31,"")</f>
        <v/>
      </c>
      <c r="G31" s="43" t="s">
        <v>1000</v>
      </c>
      <c r="H31" s="44" t="str">
        <f aca="false">IF(OR(D31="1",D31="2",E31="1",E31="2",D31=1,D31=2,E31=1,E31=2),IFERROR(VLOOKUP(A31,Harjoitepankki!$A:$D,4,FALSE()),""),"")</f>
        <v/>
      </c>
      <c r="I31" s="19"/>
    </row>
    <row r="32" customFormat="false" ht="23.85" hidden="false" customHeight="false" outlineLevel="0" collapsed="false">
      <c r="A32" s="45" t="s">
        <v>1001</v>
      </c>
      <c r="B32" s="46"/>
      <c r="C32" s="14" t="s">
        <v>1002</v>
      </c>
      <c r="D32" s="46"/>
      <c r="E32" s="46"/>
      <c r="F32" s="46"/>
      <c r="G32" s="46"/>
      <c r="H32" s="46"/>
      <c r="I32" s="46"/>
    </row>
    <row r="33" customFormat="false" ht="35.05" hidden="false" customHeight="false" outlineLevel="0" collapsed="false">
      <c r="A33" s="45" t="s">
        <v>1003</v>
      </c>
      <c r="B33" s="46"/>
      <c r="C33" s="14" t="s">
        <v>1004</v>
      </c>
      <c r="D33" s="46"/>
      <c r="E33" s="46"/>
      <c r="F33" s="46"/>
      <c r="G33" s="46"/>
      <c r="H33" s="46"/>
      <c r="I33" s="46"/>
    </row>
    <row r="34" customFormat="false" ht="61.5" hidden="false" customHeight="true" outlineLevel="0" collapsed="false">
      <c r="A34" s="11" t="s">
        <v>543</v>
      </c>
      <c r="B34" s="12" t="s">
        <v>462</v>
      </c>
      <c r="C34" s="12" t="s">
        <v>893</v>
      </c>
      <c r="D34" s="12"/>
      <c r="E34" s="12"/>
      <c r="F34" s="12" t="str">
        <f aca="false">IF(AND(D34&lt;&gt;"",E34&lt;&gt;""),D34-E34,"")</f>
        <v/>
      </c>
      <c r="G34" s="47" t="s">
        <v>1005</v>
      </c>
      <c r="H34" s="48" t="str">
        <f aca="false">IF(OR(D34="1",D34="2",E34="1",E34="2",D34=1,D34=2,E34=1,E34=2),IFERROR(VLOOKUP(A34,Harjoitepankki!$A:$D,4,FALSE()),""),"")</f>
        <v/>
      </c>
      <c r="I34" s="4"/>
    </row>
    <row r="35" customFormat="false" ht="15" hidden="false" customHeight="false" outlineLevel="0" collapsed="false">
      <c r="A35" s="45" t="s">
        <v>1006</v>
      </c>
      <c r="B35" s="46"/>
      <c r="C35" s="14" t="s">
        <v>896</v>
      </c>
      <c r="D35" s="46"/>
      <c r="E35" s="46"/>
      <c r="F35" s="46"/>
      <c r="G35" s="46"/>
      <c r="H35" s="46"/>
      <c r="I35" s="46"/>
    </row>
    <row r="36" customFormat="false" ht="23.85" hidden="false" customHeight="false" outlineLevel="0" collapsed="false">
      <c r="A36" s="45" t="s">
        <v>1007</v>
      </c>
      <c r="B36" s="46"/>
      <c r="C36" s="14" t="s">
        <v>898</v>
      </c>
      <c r="D36" s="46"/>
      <c r="E36" s="46"/>
      <c r="F36" s="46"/>
      <c r="G36" s="46"/>
      <c r="H36" s="46"/>
      <c r="I36" s="46"/>
    </row>
    <row r="37" customFormat="false" ht="23.85" hidden="false" customHeight="false" outlineLevel="0" collapsed="false">
      <c r="A37" s="45" t="s">
        <v>1008</v>
      </c>
      <c r="B37" s="46"/>
      <c r="C37" s="14" t="s">
        <v>900</v>
      </c>
      <c r="D37" s="46"/>
      <c r="E37" s="46"/>
      <c r="F37" s="46"/>
      <c r="G37" s="46"/>
      <c r="H37" s="46"/>
      <c r="I37" s="46"/>
    </row>
    <row r="38" customFormat="false" ht="61.5" hidden="false" customHeight="true" outlineLevel="0" collapsed="false">
      <c r="A38" s="11" t="s">
        <v>545</v>
      </c>
      <c r="B38" s="12" t="s">
        <v>462</v>
      </c>
      <c r="C38" s="12" t="s">
        <v>1009</v>
      </c>
      <c r="D38" s="12"/>
      <c r="E38" s="12"/>
      <c r="F38" s="12" t="str">
        <f aca="false">IF(AND(D38&lt;&gt;"",E38&lt;&gt;""),D38-E38,"")</f>
        <v/>
      </c>
      <c r="G38" s="47" t="s">
        <v>1010</v>
      </c>
      <c r="H38" s="48" t="str">
        <f aca="false">IF(OR(D38="1",D38="2",E38="1",E38="2",D38=1,D38=2,E38=1,E38=2),IFERROR(VLOOKUP(A38,Harjoitepankki!$A:$D,4,FALSE()),""),"")</f>
        <v/>
      </c>
      <c r="I38" s="4"/>
    </row>
    <row r="39" customFormat="false" ht="15" hidden="false" customHeight="false" outlineLevel="0" collapsed="false">
      <c r="A39" s="45" t="s">
        <v>1011</v>
      </c>
      <c r="B39" s="46"/>
      <c r="C39" s="14" t="s">
        <v>904</v>
      </c>
      <c r="D39" s="46"/>
      <c r="E39" s="46"/>
      <c r="F39" s="46"/>
      <c r="G39" s="46"/>
      <c r="H39" s="46"/>
      <c r="I39" s="46"/>
    </row>
    <row r="40" customFormat="false" ht="15" hidden="false" customHeight="false" outlineLevel="0" collapsed="false">
      <c r="A40" s="45" t="s">
        <v>1012</v>
      </c>
      <c r="B40" s="46"/>
      <c r="C40" s="14" t="s">
        <v>1013</v>
      </c>
      <c r="D40" s="46"/>
      <c r="E40" s="46"/>
      <c r="F40" s="46"/>
      <c r="G40" s="46"/>
      <c r="H40" s="46"/>
      <c r="I40" s="46"/>
    </row>
    <row r="41" customFormat="false" ht="61.5" hidden="false" customHeight="true" outlineLevel="0" collapsed="false">
      <c r="A41" s="11" t="s">
        <v>548</v>
      </c>
      <c r="B41" s="12" t="s">
        <v>462</v>
      </c>
      <c r="C41" s="12" t="s">
        <v>907</v>
      </c>
      <c r="D41" s="12"/>
      <c r="E41" s="12"/>
      <c r="F41" s="12" t="str">
        <f aca="false">IF(AND(D41&lt;&gt;"",E41&lt;&gt;""),D41-E41,"")</f>
        <v/>
      </c>
      <c r="G41" s="47" t="s">
        <v>1014</v>
      </c>
      <c r="H41" s="48" t="str">
        <f aca="false">IF(OR(D41="1",D41="2",E41="1",E41="2",D41=1,D41=2,E41=1,E41=2),IFERROR(VLOOKUP(A41,Harjoitepankki!$A:$D,4,FALSE()),""),"")</f>
        <v/>
      </c>
      <c r="I41" s="4"/>
    </row>
    <row r="42" customFormat="false" ht="15" hidden="false" customHeight="false" outlineLevel="0" collapsed="false">
      <c r="A42" s="45" t="s">
        <v>1015</v>
      </c>
      <c r="B42" s="46"/>
      <c r="C42" s="14" t="s">
        <v>1016</v>
      </c>
      <c r="D42" s="46"/>
      <c r="E42" s="46"/>
      <c r="F42" s="46"/>
      <c r="G42" s="46"/>
      <c r="H42" s="46"/>
      <c r="I42" s="46"/>
    </row>
    <row r="43" customFormat="false" ht="23.85" hidden="false" customHeight="false" outlineLevel="0" collapsed="false">
      <c r="A43" s="45" t="s">
        <v>1017</v>
      </c>
      <c r="B43" s="46"/>
      <c r="C43" s="14" t="s">
        <v>1018</v>
      </c>
      <c r="D43" s="46"/>
      <c r="E43" s="46"/>
      <c r="F43" s="46"/>
      <c r="G43" s="46"/>
      <c r="H43" s="46"/>
      <c r="I43" s="46"/>
    </row>
    <row r="44" customFormat="false" ht="61.5" hidden="false" customHeight="true" outlineLevel="0" collapsed="false">
      <c r="A44" s="11" t="s">
        <v>551</v>
      </c>
      <c r="B44" s="12" t="s">
        <v>462</v>
      </c>
      <c r="C44" s="12" t="s">
        <v>913</v>
      </c>
      <c r="D44" s="12"/>
      <c r="E44" s="12"/>
      <c r="F44" s="12" t="str">
        <f aca="false">IF(AND(D44&lt;&gt;"",E44&lt;&gt;""),D44-E44,"")</f>
        <v/>
      </c>
      <c r="G44" s="47" t="s">
        <v>1019</v>
      </c>
      <c r="H44" s="48" t="str">
        <f aca="false">IF(OR(D44="1",D44="2",E44="1",E44="2",D44=1,D44=2,E44=1,E44=2),IFERROR(VLOOKUP(A44,Harjoitepankki!$A:$D,4,FALSE()),""),"")</f>
        <v/>
      </c>
      <c r="I44" s="4"/>
    </row>
    <row r="45" customFormat="false" ht="15" hidden="false" customHeight="false" outlineLevel="0" collapsed="false">
      <c r="A45" s="45" t="s">
        <v>1020</v>
      </c>
      <c r="B45" s="46"/>
      <c r="C45" s="14" t="s">
        <v>1021</v>
      </c>
      <c r="D45" s="46"/>
      <c r="E45" s="46"/>
      <c r="F45" s="46"/>
      <c r="G45" s="46"/>
      <c r="H45" s="46"/>
      <c r="I45" s="46"/>
    </row>
    <row r="46" customFormat="false" ht="61.5" hidden="false" customHeight="true" outlineLevel="0" collapsed="false">
      <c r="A46" s="11" t="s">
        <v>552</v>
      </c>
      <c r="B46" s="12" t="s">
        <v>462</v>
      </c>
      <c r="C46" s="12" t="s">
        <v>919</v>
      </c>
      <c r="D46" s="12"/>
      <c r="E46" s="12"/>
      <c r="F46" s="12" t="str">
        <f aca="false">IF(AND(D46&lt;&gt;"",E46&lt;&gt;""),D46-E46,"")</f>
        <v/>
      </c>
      <c r="G46" s="47" t="s">
        <v>1022</v>
      </c>
      <c r="H46" s="48" t="str">
        <f aca="false">IF(OR(D46="1",D46="2",E46="1",E46="2",D46=1,D46=2,E46=1,E46=2),IFERROR(VLOOKUP(A46,Harjoitepankki!$A:$D,4,FALSE()),""),"")</f>
        <v/>
      </c>
      <c r="I46" s="4"/>
    </row>
    <row r="47" customFormat="false" ht="23.85" hidden="false" customHeight="false" outlineLevel="0" collapsed="false">
      <c r="A47" s="45" t="s">
        <v>1023</v>
      </c>
      <c r="B47" s="46"/>
      <c r="C47" s="14" t="s">
        <v>1024</v>
      </c>
      <c r="D47" s="46"/>
      <c r="E47" s="46"/>
      <c r="F47" s="46"/>
      <c r="G47" s="46"/>
      <c r="H47" s="46"/>
      <c r="I47" s="46"/>
    </row>
    <row r="48" customFormat="false" ht="15" hidden="false" customHeight="false" outlineLevel="0" collapsed="false">
      <c r="A48" s="45" t="s">
        <v>1025</v>
      </c>
      <c r="B48" s="46"/>
      <c r="C48" s="14" t="s">
        <v>1026</v>
      </c>
      <c r="D48" s="46"/>
      <c r="E48" s="46"/>
      <c r="F48" s="46"/>
      <c r="G48" s="46"/>
      <c r="H48" s="46"/>
      <c r="I48" s="46"/>
    </row>
    <row r="49" customFormat="false" ht="23.85" hidden="false" customHeight="false" outlineLevel="0" collapsed="false">
      <c r="A49" s="45" t="s">
        <v>1027</v>
      </c>
      <c r="B49" s="46"/>
      <c r="C49" s="14" t="s">
        <v>1028</v>
      </c>
      <c r="D49" s="46"/>
      <c r="E49" s="46"/>
      <c r="F49" s="46"/>
      <c r="G49" s="46"/>
      <c r="H49" s="46"/>
      <c r="I49" s="46"/>
    </row>
    <row r="50" customFormat="false" ht="61.5" hidden="false" customHeight="true" outlineLevel="0" collapsed="false">
      <c r="A50" s="11" t="s">
        <v>555</v>
      </c>
      <c r="B50" s="12" t="s">
        <v>462</v>
      </c>
      <c r="C50" s="12" t="s">
        <v>1029</v>
      </c>
      <c r="D50" s="12"/>
      <c r="E50" s="12"/>
      <c r="F50" s="12" t="str">
        <f aca="false">IF(AND(D50&lt;&gt;"",E50&lt;&gt;""),D50-E50,"")</f>
        <v/>
      </c>
      <c r="G50" s="47" t="s">
        <v>1030</v>
      </c>
      <c r="H50" s="48" t="str">
        <f aca="false">IF(OR(D50="1",D50="2",E50="1",E50="2",D50=1,D50=2,E50=1,E50=2),IFERROR(VLOOKUP(A50,Harjoitepankki!$A:$D,4,FALSE()),""),"")</f>
        <v/>
      </c>
      <c r="I50" s="4"/>
    </row>
    <row r="51" customFormat="false" ht="23.85" hidden="false" customHeight="false" outlineLevel="0" collapsed="false">
      <c r="A51" s="45" t="s">
        <v>1031</v>
      </c>
      <c r="B51" s="46"/>
      <c r="C51" s="14" t="s">
        <v>1032</v>
      </c>
      <c r="D51" s="46"/>
      <c r="E51" s="46"/>
      <c r="F51" s="46"/>
      <c r="G51" s="46"/>
      <c r="H51" s="46"/>
      <c r="I51" s="46"/>
    </row>
    <row r="52" customFormat="false" ht="15" hidden="false" customHeight="false" outlineLevel="0" collapsed="false">
      <c r="A52" s="45" t="s">
        <v>1033</v>
      </c>
      <c r="B52" s="46"/>
      <c r="C52" s="14" t="s">
        <v>1034</v>
      </c>
      <c r="D52" s="46"/>
      <c r="E52" s="46"/>
      <c r="F52" s="46"/>
      <c r="G52" s="46"/>
      <c r="H52" s="46"/>
      <c r="I52" s="46"/>
    </row>
    <row r="54" customFormat="false" ht="22.35" hidden="false" customHeight="false" outlineLevel="0" collapsed="false">
      <c r="C54" s="28" t="s">
        <v>929</v>
      </c>
      <c r="D54" s="49" t="n">
        <f aca="false">IF(D3="",0,D3)+IF(D7="",0,D7)+IF(D12="",0,D12)+IF(D16="",0,D16)+IF(D20="",0,D20)+IF(D23="",0,D23)+IF(D28="",0,D28)+IF(D31="",0,D31)+IF(D34="",0,D34)+IF(D38="",0,D38)+IF(D41="",0,D41)+IF(D44="",0,D44)+IF(D46="",0,D46)+IF(D50="",0,D50)</f>
        <v>0</v>
      </c>
      <c r="E54" s="49" t="n">
        <f aca="false">IF(E3="",0,E3)+IF(E7="",0,E7)+IF(E12="",0,E12)+IF(E16="",0,E16)+IF(E20="",0,E20)+IF(E23="",0,E23)+IF(E28="",0,E28)+IF(E31="",0,E31)+IF(E34="",0,E34)+IF(E38="",0,E38)+IF(E41="",0,E41)+IF(E44="",0,E44)+IF(E46="",0,E46)+IF(E50="",0,E50)</f>
        <v>0</v>
      </c>
      <c r="G54" s="50" t="s">
        <v>1035</v>
      </c>
    </row>
    <row r="56" customFormat="false" ht="15" hidden="false" customHeight="true" outlineLevel="0" collapsed="false">
      <c r="A56" s="21" t="s">
        <v>931</v>
      </c>
      <c r="B56" s="21"/>
      <c r="C56" s="21"/>
      <c r="D56" s="21"/>
      <c r="E56" s="21"/>
      <c r="F56" s="21"/>
      <c r="G56" s="21"/>
      <c r="H56" s="21"/>
      <c r="I56" s="21"/>
    </row>
    <row r="57" customFormat="false" ht="30" hidden="false" customHeight="true" outlineLevel="0" collapsed="false">
      <c r="A57" s="37" t="s">
        <v>932</v>
      </c>
      <c r="B57" s="7" t="s">
        <v>933</v>
      </c>
      <c r="C57" s="7"/>
      <c r="D57" s="7"/>
      <c r="E57" s="7"/>
      <c r="F57" s="51"/>
      <c r="G57" s="51"/>
      <c r="H57" s="51"/>
      <c r="I57" s="51"/>
    </row>
    <row r="58" customFormat="false" ht="30" hidden="false" customHeight="true" outlineLevel="0" collapsed="false">
      <c r="A58" s="37" t="s">
        <v>934</v>
      </c>
      <c r="B58" s="7" t="s">
        <v>1036</v>
      </c>
      <c r="C58" s="7"/>
      <c r="D58" s="7"/>
      <c r="E58" s="7"/>
      <c r="F58" s="51"/>
      <c r="G58" s="51"/>
      <c r="H58" s="51"/>
      <c r="I58" s="51"/>
    </row>
    <row r="59" customFormat="false" ht="30" hidden="false" customHeight="true" outlineLevel="0" collapsed="false">
      <c r="A59" s="37" t="s">
        <v>936</v>
      </c>
      <c r="B59" s="7" t="s">
        <v>1037</v>
      </c>
      <c r="C59" s="7"/>
      <c r="D59" s="7"/>
      <c r="E59" s="7"/>
      <c r="F59" s="51"/>
      <c r="G59" s="51"/>
      <c r="H59" s="51"/>
      <c r="I59" s="51"/>
    </row>
    <row r="60" customFormat="false" ht="30" hidden="false" customHeight="true" outlineLevel="0" collapsed="false">
      <c r="A60" s="37" t="s">
        <v>938</v>
      </c>
      <c r="B60" s="7" t="s">
        <v>939</v>
      </c>
      <c r="C60" s="7"/>
      <c r="D60" s="7"/>
      <c r="E60" s="7"/>
      <c r="F60" s="51"/>
      <c r="G60" s="51"/>
      <c r="H60" s="51"/>
      <c r="I60" s="51"/>
    </row>
    <row r="61" customFormat="false" ht="30" hidden="false" customHeight="true" outlineLevel="0" collapsed="false">
      <c r="A61" s="37" t="s">
        <v>940</v>
      </c>
      <c r="B61" s="7" t="s">
        <v>941</v>
      </c>
      <c r="C61" s="7"/>
      <c r="D61" s="7"/>
      <c r="E61" s="7"/>
      <c r="F61" s="51"/>
      <c r="G61" s="51"/>
      <c r="H61" s="51"/>
      <c r="I61" s="51"/>
    </row>
    <row r="63" customFormat="false" ht="15" hidden="false" customHeight="true" outlineLevel="0" collapsed="false">
      <c r="A63" s="21" t="s">
        <v>942</v>
      </c>
      <c r="B63" s="21"/>
      <c r="C63" s="21"/>
      <c r="D63" s="21"/>
      <c r="E63" s="21"/>
      <c r="F63" s="21"/>
      <c r="G63" s="21"/>
      <c r="H63" s="21"/>
      <c r="I63" s="21"/>
    </row>
    <row r="64" customFormat="false" ht="25.5" hidden="false" customHeight="true" outlineLevel="0" collapsed="false">
      <c r="A64" s="23" t="s">
        <v>943</v>
      </c>
      <c r="B64" s="23"/>
      <c r="C64" s="23"/>
      <c r="D64" s="51"/>
      <c r="E64" s="51"/>
      <c r="F64" s="51"/>
      <c r="G64" s="51"/>
      <c r="H64" s="51"/>
      <c r="I64" s="51"/>
    </row>
    <row r="65" customFormat="false" ht="25.5" hidden="false" customHeight="true" outlineLevel="0" collapsed="false">
      <c r="A65" s="23" t="s">
        <v>944</v>
      </c>
      <c r="B65" s="23"/>
      <c r="C65" s="23"/>
      <c r="D65" s="51"/>
      <c r="E65" s="51"/>
      <c r="F65" s="51"/>
      <c r="G65" s="51"/>
      <c r="H65" s="51"/>
      <c r="I65" s="51"/>
    </row>
    <row r="66" customFormat="false" ht="25.5" hidden="false" customHeight="true" outlineLevel="0" collapsed="false">
      <c r="A66" s="23" t="s">
        <v>945</v>
      </c>
      <c r="B66" s="23"/>
      <c r="C66" s="23"/>
      <c r="D66" s="51"/>
      <c r="E66" s="51"/>
      <c r="F66" s="51"/>
      <c r="G66" s="51"/>
      <c r="H66" s="51"/>
      <c r="I66" s="51"/>
    </row>
    <row r="67" customFormat="false" ht="25.5" hidden="false" customHeight="true" outlineLevel="0" collapsed="false">
      <c r="A67" s="23" t="s">
        <v>946</v>
      </c>
      <c r="B67" s="23"/>
      <c r="C67" s="23"/>
      <c r="D67" s="51"/>
      <c r="E67" s="51"/>
      <c r="F67" s="51"/>
      <c r="G67" s="51"/>
      <c r="H67" s="51"/>
      <c r="I67" s="51"/>
    </row>
    <row r="68" customFormat="false" ht="25.5" hidden="false" customHeight="true" outlineLevel="0" collapsed="false">
      <c r="A68" s="23" t="s">
        <v>947</v>
      </c>
      <c r="B68" s="23"/>
      <c r="C68" s="23"/>
      <c r="D68" s="51"/>
      <c r="E68" s="51"/>
      <c r="F68" s="51"/>
      <c r="G68" s="51"/>
      <c r="H68" s="51"/>
      <c r="I68" s="51"/>
    </row>
    <row r="69" customFormat="false" ht="25.5" hidden="false" customHeight="true" outlineLevel="0" collapsed="false">
      <c r="A69" s="23" t="s">
        <v>948</v>
      </c>
      <c r="B69" s="23"/>
      <c r="C69" s="23"/>
      <c r="D69" s="51"/>
      <c r="E69" s="51"/>
      <c r="F69" s="51"/>
      <c r="G69" s="51"/>
      <c r="H69" s="51"/>
      <c r="I69" s="51"/>
    </row>
    <row r="70" customFormat="false" ht="25.5" hidden="false" customHeight="true" outlineLevel="0" collapsed="false">
      <c r="A70" s="23" t="s">
        <v>949</v>
      </c>
      <c r="B70" s="23"/>
      <c r="C70" s="23"/>
      <c r="D70" s="51"/>
      <c r="E70" s="51"/>
      <c r="F70" s="51"/>
      <c r="G70" s="51"/>
      <c r="H70" s="51"/>
      <c r="I70" s="51"/>
    </row>
  </sheetData>
  <mergeCells count="26">
    <mergeCell ref="A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A63:I63"/>
    <mergeCell ref="A64:C64"/>
    <mergeCell ref="D64:I64"/>
    <mergeCell ref="A65:C65"/>
    <mergeCell ref="D65:I65"/>
    <mergeCell ref="A66:C66"/>
    <mergeCell ref="D66:I66"/>
    <mergeCell ref="A67:C67"/>
    <mergeCell ref="D67:I67"/>
    <mergeCell ref="A68:C68"/>
    <mergeCell ref="D68:I68"/>
    <mergeCell ref="A69:C69"/>
    <mergeCell ref="D69:I69"/>
    <mergeCell ref="A70:C70"/>
    <mergeCell ref="D70:I70"/>
  </mergeCells>
  <dataValidations count="1">
    <dataValidation allowBlank="true" errorStyle="stop" operator="between" showDropDown="false" showErrorMessage="false" showInputMessage="false" sqref="D3:E3 D7:E7 D12:E12 D16:E16 D20:E20 D23:E23 D28:E28 D31:E31 D34:E34 D38:E38 D41:E41 D44:E44 D46:E46 D50:E5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99.95" hidden="false" customHeight="false" outlineLevel="0" collapsed="false">
      <c r="A1" s="8" t="s">
        <v>1038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557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1039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1040</v>
      </c>
      <c r="B4" s="46"/>
      <c r="C4" s="14" t="s">
        <v>1041</v>
      </c>
      <c r="D4" s="46"/>
      <c r="E4" s="46"/>
      <c r="F4" s="46"/>
      <c r="G4" s="46"/>
      <c r="H4" s="46"/>
      <c r="I4" s="46"/>
    </row>
    <row r="5" customFormat="false" ht="23.85" hidden="false" customHeight="false" outlineLevel="0" collapsed="false">
      <c r="A5" s="45" t="s">
        <v>1042</v>
      </c>
      <c r="B5" s="46"/>
      <c r="C5" s="14" t="s">
        <v>1043</v>
      </c>
      <c r="D5" s="46"/>
      <c r="E5" s="46"/>
      <c r="F5" s="46"/>
      <c r="G5" s="46"/>
      <c r="H5" s="46"/>
      <c r="I5" s="46"/>
    </row>
    <row r="6" customFormat="false" ht="15" hidden="false" customHeight="false" outlineLevel="0" collapsed="false">
      <c r="A6" s="45" t="s">
        <v>1044</v>
      </c>
      <c r="B6" s="46"/>
      <c r="C6" s="14" t="s">
        <v>957</v>
      </c>
      <c r="D6" s="46"/>
      <c r="E6" s="46"/>
      <c r="F6" s="46"/>
      <c r="G6" s="46"/>
      <c r="H6" s="46"/>
      <c r="I6" s="46"/>
    </row>
    <row r="7" customFormat="false" ht="61.5" hidden="false" customHeight="true" outlineLevel="0" collapsed="false">
      <c r="A7" s="17" t="s">
        <v>560</v>
      </c>
      <c r="B7" s="18" t="s">
        <v>435</v>
      </c>
      <c r="C7" s="18" t="s">
        <v>833</v>
      </c>
      <c r="D7" s="18"/>
      <c r="E7" s="18"/>
      <c r="F7" s="18" t="str">
        <f aca="false">IF(AND(D7&lt;&gt;"",E7&lt;&gt;""),D7-E7,"")</f>
        <v/>
      </c>
      <c r="G7" s="43" t="s">
        <v>1045</v>
      </c>
      <c r="H7" s="44" t="str">
        <f aca="false">IF(OR(D7="1",D7="2",E7="1",E7="2",D7=1,D7=2,E7=1,E7=2),IFERROR(VLOOKUP(A7,Harjoitepankki!$A:$D,4,FALSE()),""),"")</f>
        <v/>
      </c>
      <c r="I7" s="19"/>
    </row>
    <row r="8" customFormat="false" ht="35.05" hidden="false" customHeight="false" outlineLevel="0" collapsed="false">
      <c r="A8" s="45" t="s">
        <v>1046</v>
      </c>
      <c r="B8" s="46"/>
      <c r="C8" s="14" t="s">
        <v>1047</v>
      </c>
      <c r="D8" s="46"/>
      <c r="E8" s="46"/>
      <c r="F8" s="46"/>
      <c r="G8" s="46"/>
      <c r="H8" s="46"/>
      <c r="I8" s="46"/>
    </row>
    <row r="9" customFormat="false" ht="15" hidden="false" customHeight="false" outlineLevel="0" collapsed="false">
      <c r="A9" s="45" t="s">
        <v>1048</v>
      </c>
      <c r="B9" s="46"/>
      <c r="C9" s="14" t="s">
        <v>1049</v>
      </c>
      <c r="D9" s="46"/>
      <c r="E9" s="46"/>
      <c r="F9" s="46"/>
      <c r="G9" s="46"/>
      <c r="H9" s="46"/>
      <c r="I9" s="46"/>
    </row>
    <row r="10" customFormat="false" ht="23.85" hidden="false" customHeight="false" outlineLevel="0" collapsed="false">
      <c r="A10" s="45" t="s">
        <v>1050</v>
      </c>
      <c r="B10" s="46"/>
      <c r="C10" s="14" t="s">
        <v>1051</v>
      </c>
      <c r="D10" s="46"/>
      <c r="E10" s="46"/>
      <c r="F10" s="46"/>
      <c r="G10" s="46"/>
      <c r="H10" s="46"/>
      <c r="I10" s="46"/>
    </row>
    <row r="11" customFormat="false" ht="61.5" hidden="false" customHeight="true" outlineLevel="0" collapsed="false">
      <c r="A11" s="17" t="s">
        <v>563</v>
      </c>
      <c r="B11" s="18" t="s">
        <v>435</v>
      </c>
      <c r="C11" s="18" t="s">
        <v>843</v>
      </c>
      <c r="D11" s="18"/>
      <c r="E11" s="18"/>
      <c r="F11" s="18" t="str">
        <f aca="false">IF(AND(D11&lt;&gt;"",E11&lt;&gt;""),D11-E11,"")</f>
        <v/>
      </c>
      <c r="G11" s="43" t="s">
        <v>1052</v>
      </c>
      <c r="H11" s="44" t="str">
        <f aca="false">IF(OR(D11="1",D11="2",E11="1",E11="2",D11=1,D11=2,E11=1,E11=2),IFERROR(VLOOKUP(A11,Harjoitepankki!$A:$D,4,FALSE()),""),"")</f>
        <v/>
      </c>
      <c r="I11" s="19"/>
    </row>
    <row r="12" customFormat="false" ht="23.85" hidden="false" customHeight="false" outlineLevel="0" collapsed="false">
      <c r="A12" s="45" t="s">
        <v>1053</v>
      </c>
      <c r="B12" s="46"/>
      <c r="C12" s="14" t="s">
        <v>1054</v>
      </c>
      <c r="D12" s="46"/>
      <c r="E12" s="46"/>
      <c r="F12" s="46"/>
      <c r="G12" s="46"/>
      <c r="H12" s="46"/>
      <c r="I12" s="46"/>
    </row>
    <row r="13" customFormat="false" ht="23.85" hidden="false" customHeight="false" outlineLevel="0" collapsed="false">
      <c r="A13" s="45" t="s">
        <v>1055</v>
      </c>
      <c r="B13" s="46"/>
      <c r="C13" s="14" t="s">
        <v>1056</v>
      </c>
      <c r="D13" s="46"/>
      <c r="E13" s="46"/>
      <c r="F13" s="46"/>
      <c r="G13" s="46"/>
      <c r="H13" s="46"/>
      <c r="I13" s="46"/>
    </row>
    <row r="14" customFormat="false" ht="23.85" hidden="false" customHeight="false" outlineLevel="0" collapsed="false">
      <c r="A14" s="45" t="s">
        <v>1057</v>
      </c>
      <c r="B14" s="46"/>
      <c r="C14" s="14" t="s">
        <v>1058</v>
      </c>
      <c r="D14" s="46"/>
      <c r="E14" s="46"/>
      <c r="F14" s="46"/>
      <c r="G14" s="46"/>
      <c r="H14" s="46"/>
      <c r="I14" s="46"/>
    </row>
    <row r="15" customFormat="false" ht="61.5" hidden="false" customHeight="true" outlineLevel="0" collapsed="false">
      <c r="A15" s="17" t="s">
        <v>565</v>
      </c>
      <c r="B15" s="18" t="s">
        <v>435</v>
      </c>
      <c r="C15" s="18" t="s">
        <v>855</v>
      </c>
      <c r="D15" s="18"/>
      <c r="E15" s="18"/>
      <c r="F15" s="18" t="str">
        <f aca="false">IF(AND(D15&lt;&gt;"",E15&lt;&gt;""),D15-E15,"")</f>
        <v/>
      </c>
      <c r="G15" s="43" t="s">
        <v>1059</v>
      </c>
      <c r="H15" s="44" t="str">
        <f aca="false">IF(OR(D15="1",D15="2",E15="1",E15="2",D15=1,D15=2,E15=1,E15=2),IFERROR(VLOOKUP(A15,Harjoitepankki!$A:$D,4,FALSE()),""),"")</f>
        <v/>
      </c>
      <c r="I15" s="19"/>
    </row>
    <row r="16" customFormat="false" ht="23.85" hidden="false" customHeight="false" outlineLevel="0" collapsed="false">
      <c r="A16" s="45" t="s">
        <v>1060</v>
      </c>
      <c r="B16" s="46"/>
      <c r="C16" s="14" t="s">
        <v>1061</v>
      </c>
      <c r="D16" s="46"/>
      <c r="E16" s="46"/>
      <c r="F16" s="46"/>
      <c r="G16" s="46"/>
      <c r="H16" s="46"/>
      <c r="I16" s="46"/>
    </row>
    <row r="17" customFormat="false" ht="15" hidden="false" customHeight="false" outlineLevel="0" collapsed="false">
      <c r="A17" s="45" t="s">
        <v>1062</v>
      </c>
      <c r="B17" s="46"/>
      <c r="C17" s="14" t="s">
        <v>1063</v>
      </c>
      <c r="D17" s="46"/>
      <c r="E17" s="46"/>
      <c r="F17" s="46"/>
      <c r="G17" s="46"/>
      <c r="H17" s="46"/>
      <c r="I17" s="46"/>
    </row>
    <row r="18" customFormat="false" ht="61.5" hidden="false" customHeight="true" outlineLevel="0" collapsed="false">
      <c r="A18" s="17" t="s">
        <v>567</v>
      </c>
      <c r="B18" s="18" t="s">
        <v>446</v>
      </c>
      <c r="C18" s="18" t="s">
        <v>980</v>
      </c>
      <c r="D18" s="18"/>
      <c r="E18" s="18"/>
      <c r="F18" s="18" t="str">
        <f aca="false">IF(AND(D18&lt;&gt;"",E18&lt;&gt;""),D18-E18,"")</f>
        <v/>
      </c>
      <c r="G18" s="43" t="s">
        <v>1064</v>
      </c>
      <c r="H18" s="44" t="str">
        <f aca="false">IF(OR(D18="1",D18="2",E18="1",E18="2",D18=1,D18=2,E18=1,E18=2),IFERROR(VLOOKUP(A18,Harjoitepankki!$A:$D,4,FALSE()),""),"")</f>
        <v/>
      </c>
      <c r="I18" s="19"/>
    </row>
    <row r="19" customFormat="false" ht="23.85" hidden="false" customHeight="false" outlineLevel="0" collapsed="false">
      <c r="A19" s="45" t="s">
        <v>1065</v>
      </c>
      <c r="B19" s="46"/>
      <c r="C19" s="14" t="s">
        <v>1066</v>
      </c>
      <c r="D19" s="46"/>
      <c r="E19" s="46"/>
      <c r="F19" s="46"/>
      <c r="G19" s="46"/>
      <c r="H19" s="46"/>
      <c r="I19" s="46"/>
    </row>
    <row r="20" customFormat="false" ht="61.5" hidden="false" customHeight="true" outlineLevel="0" collapsed="false">
      <c r="A20" s="17" t="s">
        <v>570</v>
      </c>
      <c r="B20" s="18" t="s">
        <v>446</v>
      </c>
      <c r="C20" s="18" t="s">
        <v>869</v>
      </c>
      <c r="D20" s="18"/>
      <c r="E20" s="18"/>
      <c r="F20" s="18" t="str">
        <f aca="false">IF(AND(D20&lt;&gt;"",E20&lt;&gt;""),D20-E20,"")</f>
        <v/>
      </c>
      <c r="G20" s="43" t="s">
        <v>1067</v>
      </c>
      <c r="H20" s="44" t="str">
        <f aca="false">IF(OR(D20="1",D20="2",E20="1",E20="2",D20=1,D20=2,E20=1,E20=2),IFERROR(VLOOKUP(A20,Harjoitepankki!$A:$D,4,FALSE()),""),"")</f>
        <v/>
      </c>
      <c r="I20" s="19"/>
    </row>
    <row r="21" customFormat="false" ht="23.85" hidden="false" customHeight="false" outlineLevel="0" collapsed="false">
      <c r="A21" s="45" t="s">
        <v>1068</v>
      </c>
      <c r="B21" s="46"/>
      <c r="C21" s="14" t="s">
        <v>1069</v>
      </c>
      <c r="D21" s="46"/>
      <c r="E21" s="46"/>
      <c r="F21" s="46"/>
      <c r="G21" s="46"/>
      <c r="H21" s="46"/>
      <c r="I21" s="46"/>
    </row>
    <row r="22" customFormat="false" ht="23.85" hidden="false" customHeight="false" outlineLevel="0" collapsed="false">
      <c r="A22" s="45" t="s">
        <v>1070</v>
      </c>
      <c r="B22" s="46"/>
      <c r="C22" s="14" t="s">
        <v>1071</v>
      </c>
      <c r="D22" s="46"/>
      <c r="E22" s="46"/>
      <c r="F22" s="46"/>
      <c r="G22" s="46"/>
      <c r="H22" s="46"/>
      <c r="I22" s="46"/>
    </row>
    <row r="23" customFormat="false" ht="61.5" hidden="false" customHeight="true" outlineLevel="0" collapsed="false">
      <c r="A23" s="17" t="s">
        <v>571</v>
      </c>
      <c r="B23" s="18" t="s">
        <v>446</v>
      </c>
      <c r="C23" s="18" t="s">
        <v>877</v>
      </c>
      <c r="D23" s="18"/>
      <c r="E23" s="18"/>
      <c r="F23" s="18" t="str">
        <f aca="false">IF(AND(D23&lt;&gt;"",E23&lt;&gt;""),D23-E23,"")</f>
        <v/>
      </c>
      <c r="G23" s="43" t="s">
        <v>1072</v>
      </c>
      <c r="H23" s="44" t="str">
        <f aca="false">IF(OR(D23="1",D23="2",E23="1",E23="2",D23=1,D23=2,E23=1,E23=2),IFERROR(VLOOKUP(A23,Harjoitepankki!$A:$D,4,FALSE()),""),"")</f>
        <v/>
      </c>
      <c r="I23" s="19"/>
    </row>
    <row r="24" customFormat="false" ht="23.85" hidden="false" customHeight="false" outlineLevel="0" collapsed="false">
      <c r="A24" s="45" t="s">
        <v>1073</v>
      </c>
      <c r="B24" s="46"/>
      <c r="C24" s="14" t="s">
        <v>1074</v>
      </c>
      <c r="D24" s="46"/>
      <c r="E24" s="46"/>
      <c r="F24" s="46"/>
      <c r="G24" s="46"/>
      <c r="H24" s="46"/>
      <c r="I24" s="46"/>
    </row>
    <row r="25" customFormat="false" ht="61.5" hidden="false" customHeight="true" outlineLevel="0" collapsed="false">
      <c r="A25" s="17" t="s">
        <v>573</v>
      </c>
      <c r="B25" s="18" t="s">
        <v>454</v>
      </c>
      <c r="C25" s="18" t="s">
        <v>887</v>
      </c>
      <c r="D25" s="18"/>
      <c r="E25" s="18"/>
      <c r="F25" s="18" t="str">
        <f aca="false">IF(AND(D25&lt;&gt;"",E25&lt;&gt;""),D25-E25,"")</f>
        <v/>
      </c>
      <c r="G25" s="43" t="s">
        <v>1075</v>
      </c>
      <c r="H25" s="44" t="str">
        <f aca="false">IF(OR(D25="1",D25="2",E25="1",E25="2",D25=1,D25=2,E25=1,E25=2),IFERROR(VLOOKUP(A25,Harjoitepankki!$A:$D,4,FALSE()),""),"")</f>
        <v/>
      </c>
      <c r="I25" s="19"/>
    </row>
    <row r="26" customFormat="false" ht="23.85" hidden="false" customHeight="false" outlineLevel="0" collapsed="false">
      <c r="A26" s="45" t="s">
        <v>1076</v>
      </c>
      <c r="B26" s="46"/>
      <c r="C26" s="14" t="s">
        <v>1077</v>
      </c>
      <c r="D26" s="46"/>
      <c r="E26" s="46"/>
      <c r="F26" s="46"/>
      <c r="G26" s="46"/>
      <c r="H26" s="46"/>
      <c r="I26" s="46"/>
    </row>
    <row r="27" customFormat="false" ht="23.85" hidden="false" customHeight="false" outlineLevel="0" collapsed="false">
      <c r="A27" s="45" t="s">
        <v>1078</v>
      </c>
      <c r="B27" s="46"/>
      <c r="C27" s="14" t="s">
        <v>1079</v>
      </c>
      <c r="D27" s="46"/>
      <c r="E27" s="46"/>
      <c r="F27" s="46"/>
      <c r="G27" s="46"/>
      <c r="H27" s="46"/>
      <c r="I27" s="46"/>
    </row>
    <row r="28" customFormat="false" ht="61.5" hidden="false" customHeight="true" outlineLevel="0" collapsed="false">
      <c r="A28" s="11" t="s">
        <v>576</v>
      </c>
      <c r="B28" s="12" t="s">
        <v>462</v>
      </c>
      <c r="C28" s="12" t="s">
        <v>893</v>
      </c>
      <c r="D28" s="12"/>
      <c r="E28" s="12"/>
      <c r="F28" s="12" t="str">
        <f aca="false">IF(AND(D28&lt;&gt;"",E28&lt;&gt;""),D28-E28,"")</f>
        <v/>
      </c>
      <c r="G28" s="47" t="s">
        <v>1080</v>
      </c>
      <c r="H28" s="48" t="str">
        <f aca="false">IF(OR(D28="1",D28="2",E28="1",E28="2",D28=1,D28=2,E28=1,E28=2),IFERROR(VLOOKUP(A28,Harjoitepankki!$A:$D,4,FALSE()),""),"")</f>
        <v/>
      </c>
      <c r="I28" s="4"/>
    </row>
    <row r="29" customFormat="false" ht="15" hidden="false" customHeight="false" outlineLevel="0" collapsed="false">
      <c r="A29" s="45" t="s">
        <v>1081</v>
      </c>
      <c r="B29" s="46"/>
      <c r="C29" s="14" t="s">
        <v>896</v>
      </c>
      <c r="D29" s="46"/>
      <c r="E29" s="46"/>
      <c r="F29" s="46"/>
      <c r="G29" s="46"/>
      <c r="H29" s="46"/>
      <c r="I29" s="46"/>
    </row>
    <row r="30" customFormat="false" ht="23.85" hidden="false" customHeight="false" outlineLevel="0" collapsed="false">
      <c r="A30" s="45" t="s">
        <v>1082</v>
      </c>
      <c r="B30" s="46"/>
      <c r="C30" s="14" t="s">
        <v>898</v>
      </c>
      <c r="D30" s="46"/>
      <c r="E30" s="46"/>
      <c r="F30" s="46"/>
      <c r="G30" s="46"/>
      <c r="H30" s="46"/>
      <c r="I30" s="46"/>
    </row>
    <row r="31" customFormat="false" ht="23.85" hidden="false" customHeight="false" outlineLevel="0" collapsed="false">
      <c r="A31" s="45" t="s">
        <v>1083</v>
      </c>
      <c r="B31" s="46"/>
      <c r="C31" s="14" t="s">
        <v>900</v>
      </c>
      <c r="D31" s="46"/>
      <c r="E31" s="46"/>
      <c r="F31" s="46"/>
      <c r="G31" s="46"/>
      <c r="H31" s="46"/>
      <c r="I31" s="46"/>
    </row>
    <row r="32" customFormat="false" ht="61.5" hidden="false" customHeight="true" outlineLevel="0" collapsed="false">
      <c r="A32" s="11" t="s">
        <v>578</v>
      </c>
      <c r="B32" s="12" t="s">
        <v>462</v>
      </c>
      <c r="C32" s="12" t="s">
        <v>1009</v>
      </c>
      <c r="D32" s="12"/>
      <c r="E32" s="12"/>
      <c r="F32" s="12" t="str">
        <f aca="false">IF(AND(D32&lt;&gt;"",E32&lt;&gt;""),D32-E32,"")</f>
        <v/>
      </c>
      <c r="G32" s="47" t="s">
        <v>1084</v>
      </c>
      <c r="H32" s="48" t="str">
        <f aca="false">IF(OR(D32="1",D32="2",E32="1",E32="2",D32=1,D32=2,E32=1,E32=2),IFERROR(VLOOKUP(A32,Harjoitepankki!$A:$D,4,FALSE()),""),"")</f>
        <v/>
      </c>
      <c r="I32" s="4"/>
    </row>
    <row r="33" customFormat="false" ht="15" hidden="false" customHeight="false" outlineLevel="0" collapsed="false">
      <c r="A33" s="45" t="s">
        <v>1085</v>
      </c>
      <c r="B33" s="46"/>
      <c r="C33" s="14" t="s">
        <v>1086</v>
      </c>
      <c r="D33" s="46"/>
      <c r="E33" s="46"/>
      <c r="F33" s="46"/>
      <c r="G33" s="46"/>
      <c r="H33" s="46"/>
      <c r="I33" s="46"/>
    </row>
    <row r="34" customFormat="false" ht="15" hidden="false" customHeight="false" outlineLevel="0" collapsed="false">
      <c r="A34" s="45" t="s">
        <v>1087</v>
      </c>
      <c r="B34" s="46"/>
      <c r="C34" s="14" t="s">
        <v>1088</v>
      </c>
      <c r="D34" s="46"/>
      <c r="E34" s="46"/>
      <c r="F34" s="46"/>
      <c r="G34" s="46"/>
      <c r="H34" s="46"/>
      <c r="I34" s="46"/>
    </row>
    <row r="35" customFormat="false" ht="23.85" hidden="false" customHeight="false" outlineLevel="0" collapsed="false">
      <c r="A35" s="45" t="s">
        <v>1089</v>
      </c>
      <c r="B35" s="46"/>
      <c r="C35" s="14" t="s">
        <v>1090</v>
      </c>
      <c r="D35" s="46"/>
      <c r="E35" s="46"/>
      <c r="F35" s="46"/>
      <c r="G35" s="46"/>
      <c r="H35" s="46"/>
      <c r="I35" s="46"/>
    </row>
    <row r="36" customFormat="false" ht="61.5" hidden="false" customHeight="true" outlineLevel="0" collapsed="false">
      <c r="A36" s="11" t="s">
        <v>580</v>
      </c>
      <c r="B36" s="12" t="s">
        <v>462</v>
      </c>
      <c r="C36" s="12" t="s">
        <v>907</v>
      </c>
      <c r="D36" s="12"/>
      <c r="E36" s="12"/>
      <c r="F36" s="12" t="str">
        <f aca="false">IF(AND(D36&lt;&gt;"",E36&lt;&gt;""),D36-E36,"")</f>
        <v/>
      </c>
      <c r="G36" s="47" t="s">
        <v>1091</v>
      </c>
      <c r="H36" s="48" t="str">
        <f aca="false">IF(OR(D36="1",D36="2",E36="1",E36="2",D36=1,D36=2,E36=1,E36=2),IFERROR(VLOOKUP(A36,Harjoitepankki!$A:$D,4,FALSE()),""),"")</f>
        <v/>
      </c>
      <c r="I36" s="4"/>
    </row>
    <row r="37" customFormat="false" ht="15" hidden="false" customHeight="false" outlineLevel="0" collapsed="false">
      <c r="A37" s="45" t="s">
        <v>1092</v>
      </c>
      <c r="B37" s="46"/>
      <c r="C37" s="14" t="s">
        <v>1093</v>
      </c>
      <c r="D37" s="46"/>
      <c r="E37" s="46"/>
      <c r="F37" s="46"/>
      <c r="G37" s="46"/>
      <c r="H37" s="46"/>
      <c r="I37" s="46"/>
    </row>
    <row r="38" customFormat="false" ht="15" hidden="false" customHeight="false" outlineLevel="0" collapsed="false">
      <c r="A38" s="45" t="s">
        <v>1094</v>
      </c>
      <c r="B38" s="46"/>
      <c r="C38" s="14" t="s">
        <v>1095</v>
      </c>
      <c r="D38" s="46"/>
      <c r="E38" s="46"/>
      <c r="F38" s="46"/>
      <c r="G38" s="46"/>
      <c r="H38" s="46"/>
      <c r="I38" s="46"/>
    </row>
    <row r="39" customFormat="false" ht="15" hidden="false" customHeight="false" outlineLevel="0" collapsed="false">
      <c r="A39" s="45" t="s">
        <v>1096</v>
      </c>
      <c r="B39" s="46"/>
      <c r="C39" s="14" t="s">
        <v>1097</v>
      </c>
      <c r="D39" s="46"/>
      <c r="E39" s="46"/>
      <c r="F39" s="46"/>
      <c r="G39" s="46"/>
      <c r="H39" s="46"/>
      <c r="I39" s="46"/>
    </row>
    <row r="40" customFormat="false" ht="15" hidden="false" customHeight="false" outlineLevel="0" collapsed="false">
      <c r="A40" s="45" t="s">
        <v>1098</v>
      </c>
      <c r="B40" s="46"/>
      <c r="C40" s="14" t="s">
        <v>1099</v>
      </c>
      <c r="D40" s="46"/>
      <c r="E40" s="46"/>
      <c r="F40" s="46"/>
      <c r="G40" s="46"/>
      <c r="H40" s="46"/>
      <c r="I40" s="46"/>
    </row>
    <row r="41" customFormat="false" ht="15" hidden="false" customHeight="false" outlineLevel="0" collapsed="false">
      <c r="A41" s="45" t="s">
        <v>1100</v>
      </c>
      <c r="B41" s="46"/>
      <c r="C41" s="14" t="s">
        <v>1101</v>
      </c>
      <c r="D41" s="46"/>
      <c r="E41" s="46"/>
      <c r="F41" s="46"/>
      <c r="G41" s="46"/>
      <c r="H41" s="46"/>
      <c r="I41" s="46"/>
    </row>
    <row r="42" customFormat="false" ht="61.5" hidden="false" customHeight="true" outlineLevel="0" collapsed="false">
      <c r="A42" s="11" t="s">
        <v>582</v>
      </c>
      <c r="B42" s="12" t="s">
        <v>462</v>
      </c>
      <c r="C42" s="12" t="s">
        <v>1102</v>
      </c>
      <c r="D42" s="12"/>
      <c r="E42" s="12"/>
      <c r="F42" s="12" t="str">
        <f aca="false">IF(AND(D42&lt;&gt;"",E42&lt;&gt;""),D42-E42,"")</f>
        <v/>
      </c>
      <c r="G42" s="47" t="s">
        <v>1103</v>
      </c>
      <c r="H42" s="48" t="str">
        <f aca="false">IF(OR(D42="1",D42="2",E42="1",E42="2",D42=1,D42=2,E42=1,E42=2),IFERROR(VLOOKUP(A42,Harjoitepankki!$A:$D,4,FALSE()),""),"")</f>
        <v/>
      </c>
      <c r="I42" s="4"/>
    </row>
    <row r="43" customFormat="false" ht="23.85" hidden="false" customHeight="false" outlineLevel="0" collapsed="false">
      <c r="A43" s="45" t="s">
        <v>1104</v>
      </c>
      <c r="B43" s="46"/>
      <c r="C43" s="14" t="s">
        <v>1105</v>
      </c>
      <c r="D43" s="46"/>
      <c r="E43" s="46"/>
      <c r="F43" s="46"/>
      <c r="G43" s="46"/>
      <c r="H43" s="46"/>
      <c r="I43" s="46"/>
    </row>
    <row r="44" customFormat="false" ht="15" hidden="false" customHeight="false" outlineLevel="0" collapsed="false">
      <c r="A44" s="45" t="s">
        <v>1106</v>
      </c>
      <c r="B44" s="46"/>
      <c r="C44" s="14" t="s">
        <v>1107</v>
      </c>
      <c r="D44" s="46"/>
      <c r="E44" s="46"/>
      <c r="F44" s="46"/>
      <c r="G44" s="46"/>
      <c r="H44" s="46"/>
      <c r="I44" s="46"/>
    </row>
    <row r="45" customFormat="false" ht="15" hidden="false" customHeight="false" outlineLevel="0" collapsed="false">
      <c r="A45" s="45" t="s">
        <v>1108</v>
      </c>
      <c r="B45" s="46"/>
      <c r="C45" s="14" t="s">
        <v>1109</v>
      </c>
      <c r="D45" s="46"/>
      <c r="E45" s="46"/>
      <c r="F45" s="46"/>
      <c r="G45" s="46"/>
      <c r="H45" s="46"/>
      <c r="I45" s="46"/>
    </row>
    <row r="46" customFormat="false" ht="61.5" hidden="false" customHeight="true" outlineLevel="0" collapsed="false">
      <c r="A46" s="11" t="s">
        <v>584</v>
      </c>
      <c r="B46" s="12" t="s">
        <v>462</v>
      </c>
      <c r="C46" s="12" t="s">
        <v>1110</v>
      </c>
      <c r="D46" s="12"/>
      <c r="E46" s="12"/>
      <c r="F46" s="12" t="str">
        <f aca="false">IF(AND(D46&lt;&gt;"",E46&lt;&gt;""),D46-E46,"")</f>
        <v/>
      </c>
      <c r="G46" s="47" t="s">
        <v>1111</v>
      </c>
      <c r="H46" s="48" t="str">
        <f aca="false">IF(OR(D46="1",D46="2",E46="1",E46="2",D46=1,D46=2,E46=1,E46=2),IFERROR(VLOOKUP(A46,Harjoitepankki!$A:$D,4,FALSE()),""),"")</f>
        <v/>
      </c>
      <c r="I46" s="4"/>
    </row>
    <row r="47" customFormat="false" ht="15" hidden="false" customHeight="false" outlineLevel="0" collapsed="false">
      <c r="A47" s="45" t="s">
        <v>1112</v>
      </c>
      <c r="B47" s="46"/>
      <c r="C47" s="14" t="s">
        <v>1113</v>
      </c>
      <c r="D47" s="46"/>
      <c r="E47" s="46"/>
      <c r="F47" s="46"/>
      <c r="G47" s="46"/>
      <c r="H47" s="46"/>
      <c r="I47" s="46"/>
    </row>
    <row r="48" customFormat="false" ht="15" hidden="false" customHeight="false" outlineLevel="0" collapsed="false">
      <c r="A48" s="45" t="s">
        <v>1114</v>
      </c>
      <c r="B48" s="46"/>
      <c r="C48" s="14" t="s">
        <v>1115</v>
      </c>
      <c r="D48" s="46"/>
      <c r="E48" s="46"/>
      <c r="F48" s="46"/>
      <c r="G48" s="46"/>
      <c r="H48" s="46"/>
      <c r="I48" s="46"/>
    </row>
    <row r="49" customFormat="false" ht="15" hidden="false" customHeight="false" outlineLevel="0" collapsed="false">
      <c r="A49" s="45" t="s">
        <v>1116</v>
      </c>
      <c r="B49" s="46"/>
      <c r="C49" s="14" t="s">
        <v>1117</v>
      </c>
      <c r="D49" s="46"/>
      <c r="E49" s="46"/>
      <c r="F49" s="46"/>
      <c r="G49" s="46"/>
      <c r="H49" s="46"/>
      <c r="I49" s="46"/>
    </row>
    <row r="50" customFormat="false" ht="15" hidden="false" customHeight="false" outlineLevel="0" collapsed="false">
      <c r="A50" s="45" t="s">
        <v>1118</v>
      </c>
      <c r="B50" s="46"/>
      <c r="C50" s="14" t="s">
        <v>1119</v>
      </c>
      <c r="D50" s="46"/>
      <c r="E50" s="46"/>
      <c r="F50" s="46"/>
      <c r="G50" s="46"/>
      <c r="H50" s="46"/>
      <c r="I50" s="46"/>
    </row>
    <row r="51" customFormat="false" ht="15" hidden="false" customHeight="false" outlineLevel="0" collapsed="false">
      <c r="A51" s="45" t="s">
        <v>1120</v>
      </c>
      <c r="B51" s="46"/>
      <c r="C51" s="14" t="s">
        <v>1121</v>
      </c>
      <c r="D51" s="46"/>
      <c r="E51" s="46"/>
      <c r="F51" s="46"/>
      <c r="G51" s="46"/>
      <c r="H51" s="46"/>
      <c r="I51" s="46"/>
    </row>
    <row r="52" customFormat="false" ht="15" hidden="false" customHeight="false" outlineLevel="0" collapsed="false">
      <c r="A52" s="45" t="s">
        <v>1122</v>
      </c>
      <c r="B52" s="46"/>
      <c r="C52" s="14" t="s">
        <v>1123</v>
      </c>
      <c r="D52" s="46"/>
      <c r="E52" s="46"/>
      <c r="F52" s="46"/>
      <c r="G52" s="46"/>
      <c r="H52" s="46"/>
      <c r="I52" s="46"/>
    </row>
    <row r="54" customFormat="false" ht="22.35" hidden="false" customHeight="false" outlineLevel="0" collapsed="false">
      <c r="C54" s="28" t="s">
        <v>929</v>
      </c>
      <c r="D54" s="49" t="n">
        <f aca="false">IF(D3="",0,D3)+IF(D7="",0,D7)+IF(D11="",0,D11)+IF(D15="",0,D15)+IF(D18="",0,D18)+IF(D20="",0,D20)+IF(D23="",0,D23)+IF(D25="",0,D25)+IF(D28="",0,D28)+IF(D32="",0,D32)+IF(D36="",0,D36)+IF(D42="",0,D42)+IF(D46="",0,D46)</f>
        <v>0</v>
      </c>
      <c r="E54" s="49" t="n">
        <f aca="false">IF(E3="",0,E3)+IF(E7="",0,E7)+IF(E11="",0,E11)+IF(E15="",0,E15)+IF(E18="",0,E18)+IF(E20="",0,E20)+IF(E23="",0,E23)+IF(E25="",0,E25)+IF(E28="",0,E28)+IF(E32="",0,E32)+IF(E36="",0,E36)+IF(E42="",0,E42)+IF(E46="",0,E46)</f>
        <v>0</v>
      </c>
      <c r="G54" s="50" t="s">
        <v>930</v>
      </c>
    </row>
    <row r="56" customFormat="false" ht="15" hidden="false" customHeight="true" outlineLevel="0" collapsed="false">
      <c r="A56" s="21" t="s">
        <v>931</v>
      </c>
      <c r="B56" s="21"/>
      <c r="C56" s="21"/>
      <c r="D56" s="21"/>
      <c r="E56" s="21"/>
      <c r="F56" s="21"/>
      <c r="G56" s="21"/>
      <c r="H56" s="21"/>
      <c r="I56" s="21"/>
    </row>
    <row r="57" customFormat="false" ht="30" hidden="false" customHeight="true" outlineLevel="0" collapsed="false">
      <c r="A57" s="37" t="s">
        <v>932</v>
      </c>
      <c r="B57" s="7" t="s">
        <v>933</v>
      </c>
      <c r="C57" s="7"/>
      <c r="D57" s="7"/>
      <c r="E57" s="7"/>
      <c r="F57" s="51"/>
      <c r="G57" s="51"/>
      <c r="H57" s="51"/>
      <c r="I57" s="51"/>
    </row>
    <row r="58" customFormat="false" ht="30" hidden="false" customHeight="true" outlineLevel="0" collapsed="false">
      <c r="A58" s="37" t="s">
        <v>934</v>
      </c>
      <c r="B58" s="7" t="s">
        <v>1124</v>
      </c>
      <c r="C58" s="7"/>
      <c r="D58" s="7"/>
      <c r="E58" s="7"/>
      <c r="F58" s="51"/>
      <c r="G58" s="51"/>
      <c r="H58" s="51"/>
      <c r="I58" s="51"/>
    </row>
    <row r="59" customFormat="false" ht="30" hidden="false" customHeight="true" outlineLevel="0" collapsed="false">
      <c r="A59" s="37" t="s">
        <v>936</v>
      </c>
      <c r="B59" s="7" t="s">
        <v>1125</v>
      </c>
      <c r="C59" s="7"/>
      <c r="D59" s="7"/>
      <c r="E59" s="7"/>
      <c r="F59" s="51"/>
      <c r="G59" s="51"/>
      <c r="H59" s="51"/>
      <c r="I59" s="51"/>
    </row>
    <row r="60" customFormat="false" ht="30" hidden="false" customHeight="true" outlineLevel="0" collapsed="false">
      <c r="A60" s="37" t="s">
        <v>938</v>
      </c>
      <c r="B60" s="7" t="s">
        <v>939</v>
      </c>
      <c r="C60" s="7"/>
      <c r="D60" s="7"/>
      <c r="E60" s="7"/>
      <c r="F60" s="51"/>
      <c r="G60" s="51"/>
      <c r="H60" s="51"/>
      <c r="I60" s="51"/>
    </row>
    <row r="61" customFormat="false" ht="30" hidden="false" customHeight="true" outlineLevel="0" collapsed="false">
      <c r="A61" s="37" t="s">
        <v>940</v>
      </c>
      <c r="B61" s="7" t="s">
        <v>941</v>
      </c>
      <c r="C61" s="7"/>
      <c r="D61" s="7"/>
      <c r="E61" s="7"/>
      <c r="F61" s="51"/>
      <c r="G61" s="51"/>
      <c r="H61" s="51"/>
      <c r="I61" s="51"/>
    </row>
    <row r="63" customFormat="false" ht="15" hidden="false" customHeight="true" outlineLevel="0" collapsed="false">
      <c r="A63" s="21" t="s">
        <v>942</v>
      </c>
      <c r="B63" s="21"/>
      <c r="C63" s="21"/>
      <c r="D63" s="21"/>
      <c r="E63" s="21"/>
      <c r="F63" s="21"/>
      <c r="G63" s="21"/>
      <c r="H63" s="21"/>
      <c r="I63" s="21"/>
    </row>
    <row r="64" customFormat="false" ht="25.5" hidden="false" customHeight="true" outlineLevel="0" collapsed="false">
      <c r="A64" s="23" t="s">
        <v>943</v>
      </c>
      <c r="B64" s="23"/>
      <c r="C64" s="23"/>
      <c r="D64" s="51"/>
      <c r="E64" s="51"/>
      <c r="F64" s="51"/>
      <c r="G64" s="51"/>
      <c r="H64" s="51"/>
      <c r="I64" s="51"/>
    </row>
    <row r="65" customFormat="false" ht="25.5" hidden="false" customHeight="true" outlineLevel="0" collapsed="false">
      <c r="A65" s="23" t="s">
        <v>944</v>
      </c>
      <c r="B65" s="23"/>
      <c r="C65" s="23"/>
      <c r="D65" s="51"/>
      <c r="E65" s="51"/>
      <c r="F65" s="51"/>
      <c r="G65" s="51"/>
      <c r="H65" s="51"/>
      <c r="I65" s="51"/>
    </row>
    <row r="66" customFormat="false" ht="25.5" hidden="false" customHeight="true" outlineLevel="0" collapsed="false">
      <c r="A66" s="23" t="s">
        <v>945</v>
      </c>
      <c r="B66" s="23"/>
      <c r="C66" s="23"/>
      <c r="D66" s="51"/>
      <c r="E66" s="51"/>
      <c r="F66" s="51"/>
      <c r="G66" s="51"/>
      <c r="H66" s="51"/>
      <c r="I66" s="51"/>
    </row>
    <row r="67" customFormat="false" ht="25.5" hidden="false" customHeight="true" outlineLevel="0" collapsed="false">
      <c r="A67" s="23" t="s">
        <v>946</v>
      </c>
      <c r="B67" s="23"/>
      <c r="C67" s="23"/>
      <c r="D67" s="51"/>
      <c r="E67" s="51"/>
      <c r="F67" s="51"/>
      <c r="G67" s="51"/>
      <c r="H67" s="51"/>
      <c r="I67" s="51"/>
    </row>
    <row r="68" customFormat="false" ht="25.5" hidden="false" customHeight="true" outlineLevel="0" collapsed="false">
      <c r="A68" s="23" t="s">
        <v>947</v>
      </c>
      <c r="B68" s="23"/>
      <c r="C68" s="23"/>
      <c r="D68" s="51"/>
      <c r="E68" s="51"/>
      <c r="F68" s="51"/>
      <c r="G68" s="51"/>
      <c r="H68" s="51"/>
      <c r="I68" s="51"/>
    </row>
    <row r="69" customFormat="false" ht="25.5" hidden="false" customHeight="true" outlineLevel="0" collapsed="false">
      <c r="A69" s="23" t="s">
        <v>948</v>
      </c>
      <c r="B69" s="23"/>
      <c r="C69" s="23"/>
      <c r="D69" s="51"/>
      <c r="E69" s="51"/>
      <c r="F69" s="51"/>
      <c r="G69" s="51"/>
      <c r="H69" s="51"/>
      <c r="I69" s="51"/>
    </row>
    <row r="70" customFormat="false" ht="25.5" hidden="false" customHeight="true" outlineLevel="0" collapsed="false">
      <c r="A70" s="23" t="s">
        <v>949</v>
      </c>
      <c r="B70" s="23"/>
      <c r="C70" s="23"/>
      <c r="D70" s="51"/>
      <c r="E70" s="51"/>
      <c r="F70" s="51"/>
      <c r="G70" s="51"/>
      <c r="H70" s="51"/>
      <c r="I70" s="51"/>
    </row>
  </sheetData>
  <mergeCells count="26">
    <mergeCell ref="A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A63:I63"/>
    <mergeCell ref="A64:C64"/>
    <mergeCell ref="D64:I64"/>
    <mergeCell ref="A65:C65"/>
    <mergeCell ref="D65:I65"/>
    <mergeCell ref="A66:C66"/>
    <mergeCell ref="D66:I66"/>
    <mergeCell ref="A67:C67"/>
    <mergeCell ref="D67:I67"/>
    <mergeCell ref="A68:C68"/>
    <mergeCell ref="D68:I68"/>
    <mergeCell ref="A69:C69"/>
    <mergeCell ref="D69:I69"/>
    <mergeCell ref="A70:C70"/>
    <mergeCell ref="D70:I70"/>
  </mergeCells>
  <dataValidations count="1">
    <dataValidation allowBlank="true" errorStyle="stop" operator="between" showDropDown="false" showErrorMessage="false" showInputMessage="false" sqref="D3:E3 D7:E7 D11:E11 D15:E15 D18:E18 D20:E20 D23:E23 D25:E25 D28:E28 D32:E32 D36:E36 D42:E42 D46:E4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242.5" hidden="false" customHeight="false" outlineLevel="0" collapsed="false">
      <c r="A1" s="8" t="s">
        <v>1126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586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1127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1128</v>
      </c>
      <c r="B4" s="46"/>
      <c r="C4" s="14" t="s">
        <v>1041</v>
      </c>
      <c r="D4" s="46"/>
      <c r="E4" s="46"/>
      <c r="F4" s="46"/>
      <c r="G4" s="46"/>
      <c r="H4" s="46"/>
      <c r="I4" s="46"/>
    </row>
    <row r="5" customFormat="false" ht="15" hidden="false" customHeight="false" outlineLevel="0" collapsed="false">
      <c r="A5" s="45" t="s">
        <v>1129</v>
      </c>
      <c r="B5" s="46"/>
      <c r="C5" s="14" t="s">
        <v>1130</v>
      </c>
      <c r="D5" s="46"/>
      <c r="E5" s="46"/>
      <c r="F5" s="46"/>
      <c r="G5" s="46"/>
      <c r="H5" s="46"/>
      <c r="I5" s="46"/>
    </row>
    <row r="6" customFormat="false" ht="61.5" hidden="false" customHeight="true" outlineLevel="0" collapsed="false">
      <c r="A6" s="17" t="s">
        <v>589</v>
      </c>
      <c r="B6" s="18" t="s">
        <v>435</v>
      </c>
      <c r="C6" s="18" t="s">
        <v>1131</v>
      </c>
      <c r="D6" s="18"/>
      <c r="E6" s="18"/>
      <c r="F6" s="18" t="str">
        <f aca="false">IF(AND(D6&lt;&gt;"",E6&lt;&gt;""),D6-E6,"")</f>
        <v/>
      </c>
      <c r="G6" s="43" t="s">
        <v>1132</v>
      </c>
      <c r="H6" s="44" t="str">
        <f aca="false">IF(OR(D6="1",D6="2",E6="1",E6="2",D6=1,D6=2,E6=1,E6=2),IFERROR(VLOOKUP(A6,Harjoitepankki!$A:$D,4,FALSE()),""),"")</f>
        <v/>
      </c>
      <c r="I6" s="19"/>
    </row>
    <row r="7" customFormat="false" ht="23.85" hidden="false" customHeight="false" outlineLevel="0" collapsed="false">
      <c r="A7" s="45" t="s">
        <v>1133</v>
      </c>
      <c r="B7" s="46"/>
      <c r="C7" s="14" t="s">
        <v>1134</v>
      </c>
      <c r="D7" s="46"/>
      <c r="E7" s="46"/>
      <c r="F7" s="46"/>
      <c r="G7" s="46"/>
      <c r="H7" s="46"/>
      <c r="I7" s="46"/>
    </row>
    <row r="8" customFormat="false" ht="23.85" hidden="false" customHeight="false" outlineLevel="0" collapsed="false">
      <c r="A8" s="45" t="s">
        <v>1135</v>
      </c>
      <c r="B8" s="46"/>
      <c r="C8" s="14" t="s">
        <v>1136</v>
      </c>
      <c r="D8" s="46"/>
      <c r="E8" s="46"/>
      <c r="F8" s="46"/>
      <c r="G8" s="46"/>
      <c r="H8" s="46"/>
      <c r="I8" s="46"/>
    </row>
    <row r="9" customFormat="false" ht="61.5" hidden="false" customHeight="true" outlineLevel="0" collapsed="false">
      <c r="A9" s="17" t="s">
        <v>592</v>
      </c>
      <c r="B9" s="18" t="s">
        <v>435</v>
      </c>
      <c r="C9" s="18" t="s">
        <v>843</v>
      </c>
      <c r="D9" s="18"/>
      <c r="E9" s="18"/>
      <c r="F9" s="18" t="str">
        <f aca="false">IF(AND(D9&lt;&gt;"",E9&lt;&gt;""),D9-E9,"")</f>
        <v/>
      </c>
      <c r="G9" s="43" t="s">
        <v>1137</v>
      </c>
      <c r="H9" s="44" t="str">
        <f aca="false">IF(OR(D9="1",D9="2",E9="1",E9="2",D9=1,D9=2,E9=1,E9=2),IFERROR(VLOOKUP(A9,Harjoitepankki!$A:$D,4,FALSE()),""),"")</f>
        <v/>
      </c>
      <c r="I9" s="19"/>
    </row>
    <row r="10" customFormat="false" ht="23.85" hidden="false" customHeight="false" outlineLevel="0" collapsed="false">
      <c r="A10" s="45" t="s">
        <v>1138</v>
      </c>
      <c r="B10" s="46"/>
      <c r="C10" s="14" t="s">
        <v>1139</v>
      </c>
      <c r="D10" s="46"/>
      <c r="E10" s="46"/>
      <c r="F10" s="46"/>
      <c r="G10" s="46"/>
      <c r="H10" s="46"/>
      <c r="I10" s="46"/>
    </row>
    <row r="11" customFormat="false" ht="15" hidden="false" customHeight="false" outlineLevel="0" collapsed="false">
      <c r="A11" s="45" t="s">
        <v>1140</v>
      </c>
      <c r="B11" s="46"/>
      <c r="C11" s="14" t="s">
        <v>1141</v>
      </c>
      <c r="D11" s="46"/>
      <c r="E11" s="46"/>
      <c r="F11" s="46"/>
      <c r="G11" s="46"/>
      <c r="H11" s="46"/>
      <c r="I11" s="46"/>
    </row>
    <row r="12" customFormat="false" ht="15" hidden="false" customHeight="false" outlineLevel="0" collapsed="false">
      <c r="A12" s="45" t="s">
        <v>1142</v>
      </c>
      <c r="B12" s="46"/>
      <c r="C12" s="14" t="s">
        <v>1143</v>
      </c>
      <c r="D12" s="46"/>
      <c r="E12" s="46"/>
      <c r="F12" s="46"/>
      <c r="G12" s="46"/>
      <c r="H12" s="46"/>
      <c r="I12" s="46"/>
    </row>
    <row r="13" customFormat="false" ht="61.5" hidden="false" customHeight="true" outlineLevel="0" collapsed="false">
      <c r="A13" s="17" t="s">
        <v>594</v>
      </c>
      <c r="B13" s="18" t="s">
        <v>435</v>
      </c>
      <c r="C13" s="18" t="s">
        <v>855</v>
      </c>
      <c r="D13" s="18"/>
      <c r="E13" s="18"/>
      <c r="F13" s="18" t="str">
        <f aca="false">IF(AND(D13&lt;&gt;"",E13&lt;&gt;""),D13-E13,"")</f>
        <v/>
      </c>
      <c r="G13" s="43" t="s">
        <v>1144</v>
      </c>
      <c r="H13" s="44" t="str">
        <f aca="false">IF(OR(D13="1",D13="2",E13="1",E13="2",D13=1,D13=2,E13=1,E13=2),IFERROR(VLOOKUP(A13,Harjoitepankki!$A:$D,4,FALSE()),""),"")</f>
        <v/>
      </c>
      <c r="I13" s="19"/>
    </row>
    <row r="14" customFormat="false" ht="23.85" hidden="false" customHeight="false" outlineLevel="0" collapsed="false">
      <c r="A14" s="45" t="s">
        <v>1145</v>
      </c>
      <c r="B14" s="46"/>
      <c r="C14" s="14" t="s">
        <v>1146</v>
      </c>
      <c r="D14" s="46"/>
      <c r="E14" s="46"/>
      <c r="F14" s="46"/>
      <c r="G14" s="46"/>
      <c r="H14" s="46"/>
      <c r="I14" s="46"/>
    </row>
    <row r="15" customFormat="false" ht="23.85" hidden="false" customHeight="false" outlineLevel="0" collapsed="false">
      <c r="A15" s="45" t="s">
        <v>1147</v>
      </c>
      <c r="B15" s="46"/>
      <c r="C15" s="14" t="s">
        <v>1148</v>
      </c>
      <c r="D15" s="46"/>
      <c r="E15" s="46"/>
      <c r="F15" s="46"/>
      <c r="G15" s="46"/>
      <c r="H15" s="46"/>
      <c r="I15" s="46"/>
    </row>
    <row r="16" customFormat="false" ht="61.5" hidden="false" customHeight="true" outlineLevel="0" collapsed="false">
      <c r="A16" s="17" t="s">
        <v>597</v>
      </c>
      <c r="B16" s="18" t="s">
        <v>446</v>
      </c>
      <c r="C16" s="18" t="s">
        <v>1149</v>
      </c>
      <c r="D16" s="18"/>
      <c r="E16" s="18"/>
      <c r="F16" s="18" t="str">
        <f aca="false">IF(AND(D16&lt;&gt;"",E16&lt;&gt;""),D16-E16,"")</f>
        <v/>
      </c>
      <c r="G16" s="43" t="s">
        <v>1150</v>
      </c>
      <c r="H16" s="44" t="str">
        <f aca="false">IF(OR(D16="1",D16="2",E16="1",E16="2",D16=1,D16=2,E16=1,E16=2),IFERROR(VLOOKUP(A16,Harjoitepankki!$A:$D,4,FALSE()),""),"")</f>
        <v/>
      </c>
      <c r="I16" s="19"/>
    </row>
    <row r="17" customFormat="false" ht="15" hidden="false" customHeight="false" outlineLevel="0" collapsed="false">
      <c r="A17" s="45" t="s">
        <v>1151</v>
      </c>
      <c r="B17" s="46"/>
      <c r="C17" s="14" t="s">
        <v>1152</v>
      </c>
      <c r="D17" s="46"/>
      <c r="E17" s="46"/>
      <c r="F17" s="46"/>
      <c r="G17" s="46"/>
      <c r="H17" s="46"/>
      <c r="I17" s="46"/>
    </row>
    <row r="18" customFormat="false" ht="23.85" hidden="false" customHeight="false" outlineLevel="0" collapsed="false">
      <c r="A18" s="45" t="s">
        <v>1153</v>
      </c>
      <c r="B18" s="46"/>
      <c r="C18" s="14" t="s">
        <v>1154</v>
      </c>
      <c r="D18" s="46"/>
      <c r="E18" s="46"/>
      <c r="F18" s="46"/>
      <c r="G18" s="46"/>
      <c r="H18" s="46"/>
      <c r="I18" s="46"/>
    </row>
    <row r="19" customFormat="false" ht="61.5" hidden="false" customHeight="true" outlineLevel="0" collapsed="false">
      <c r="A19" s="17" t="s">
        <v>599</v>
      </c>
      <c r="B19" s="18" t="s">
        <v>454</v>
      </c>
      <c r="C19" s="18" t="s">
        <v>1155</v>
      </c>
      <c r="D19" s="18"/>
      <c r="E19" s="18"/>
      <c r="F19" s="18" t="str">
        <f aca="false">IF(AND(D19&lt;&gt;"",E19&lt;&gt;""),D19-E19,"")</f>
        <v/>
      </c>
      <c r="G19" s="43" t="s">
        <v>1156</v>
      </c>
      <c r="H19" s="44" t="str">
        <f aca="false">IF(OR(D19="1",D19="2",E19="1",E19="2",D19=1,D19=2,E19=1,E19=2),IFERROR(VLOOKUP(A19,Harjoitepankki!$A:$D,4,FALSE()),""),"")</f>
        <v/>
      </c>
      <c r="I19" s="19"/>
    </row>
    <row r="20" customFormat="false" ht="15" hidden="false" customHeight="false" outlineLevel="0" collapsed="false">
      <c r="A20" s="45" t="s">
        <v>1157</v>
      </c>
      <c r="B20" s="46"/>
      <c r="C20" s="14" t="s">
        <v>1158</v>
      </c>
      <c r="D20" s="46"/>
      <c r="E20" s="46"/>
      <c r="F20" s="46"/>
      <c r="G20" s="46"/>
      <c r="H20" s="46"/>
      <c r="I20" s="46"/>
    </row>
    <row r="21" customFormat="false" ht="15" hidden="false" customHeight="false" outlineLevel="0" collapsed="false">
      <c r="A21" s="45" t="s">
        <v>1159</v>
      </c>
      <c r="B21" s="46"/>
      <c r="C21" s="14" t="s">
        <v>1160</v>
      </c>
      <c r="D21" s="46"/>
      <c r="E21" s="46"/>
      <c r="F21" s="46"/>
      <c r="G21" s="46"/>
      <c r="H21" s="46"/>
      <c r="I21" s="46"/>
    </row>
    <row r="22" customFormat="false" ht="61.5" hidden="false" customHeight="true" outlineLevel="0" collapsed="false">
      <c r="A22" s="11" t="s">
        <v>601</v>
      </c>
      <c r="B22" s="12" t="s">
        <v>462</v>
      </c>
      <c r="C22" s="12" t="s">
        <v>893</v>
      </c>
      <c r="D22" s="12"/>
      <c r="E22" s="12"/>
      <c r="F22" s="12" t="str">
        <f aca="false">IF(AND(D22&lt;&gt;"",E22&lt;&gt;""),D22-E22,"")</f>
        <v/>
      </c>
      <c r="G22" s="47" t="s">
        <v>1161</v>
      </c>
      <c r="H22" s="48" t="str">
        <f aca="false">IF(OR(D22="1",D22="2",E22="1",E22="2",D22=1,D22=2,E22=1,E22=2),IFERROR(VLOOKUP(A22,Harjoitepankki!$A:$D,4,FALSE()),""),"")</f>
        <v/>
      </c>
      <c r="I22" s="4"/>
    </row>
    <row r="23" customFormat="false" ht="15" hidden="false" customHeight="false" outlineLevel="0" collapsed="false">
      <c r="A23" s="45" t="s">
        <v>1162</v>
      </c>
      <c r="B23" s="46"/>
      <c r="C23" s="14" t="s">
        <v>896</v>
      </c>
      <c r="D23" s="46"/>
      <c r="E23" s="46"/>
      <c r="F23" s="46"/>
      <c r="G23" s="46"/>
      <c r="H23" s="46"/>
      <c r="I23" s="46"/>
    </row>
    <row r="24" customFormat="false" ht="23.85" hidden="false" customHeight="false" outlineLevel="0" collapsed="false">
      <c r="A24" s="45" t="s">
        <v>1163</v>
      </c>
      <c r="B24" s="46"/>
      <c r="C24" s="14" t="s">
        <v>898</v>
      </c>
      <c r="D24" s="46"/>
      <c r="E24" s="46"/>
      <c r="F24" s="46"/>
      <c r="G24" s="46"/>
      <c r="H24" s="46"/>
      <c r="I24" s="46"/>
    </row>
    <row r="25" customFormat="false" ht="23.85" hidden="false" customHeight="false" outlineLevel="0" collapsed="false">
      <c r="A25" s="45" t="s">
        <v>1164</v>
      </c>
      <c r="B25" s="46"/>
      <c r="C25" s="14" t="s">
        <v>900</v>
      </c>
      <c r="D25" s="46"/>
      <c r="E25" s="46"/>
      <c r="F25" s="46"/>
      <c r="G25" s="46"/>
      <c r="H25" s="46"/>
      <c r="I25" s="46"/>
    </row>
    <row r="26" customFormat="false" ht="61.5" hidden="false" customHeight="true" outlineLevel="0" collapsed="false">
      <c r="A26" s="11" t="s">
        <v>603</v>
      </c>
      <c r="B26" s="12" t="s">
        <v>462</v>
      </c>
      <c r="C26" s="12" t="s">
        <v>1009</v>
      </c>
      <c r="D26" s="12"/>
      <c r="E26" s="12"/>
      <c r="F26" s="12" t="str">
        <f aca="false">IF(AND(D26&lt;&gt;"",E26&lt;&gt;""),D26-E26,"")</f>
        <v/>
      </c>
      <c r="G26" s="47" t="s">
        <v>1165</v>
      </c>
      <c r="H26" s="48" t="str">
        <f aca="false">IF(OR(D26="1",D26="2",E26="1",E26="2",D26=1,D26=2,E26=1,E26=2),IFERROR(VLOOKUP(A26,Harjoitepankki!$A:$D,4,FALSE()),""),"")</f>
        <v/>
      </c>
      <c r="I26" s="4"/>
    </row>
    <row r="27" customFormat="false" ht="15" hidden="false" customHeight="false" outlineLevel="0" collapsed="false">
      <c r="A27" s="45" t="s">
        <v>1166</v>
      </c>
      <c r="B27" s="46"/>
      <c r="C27" s="14" t="s">
        <v>1167</v>
      </c>
      <c r="D27" s="46"/>
      <c r="E27" s="46"/>
      <c r="F27" s="46"/>
      <c r="G27" s="46"/>
      <c r="H27" s="46"/>
      <c r="I27" s="46"/>
    </row>
    <row r="28" customFormat="false" ht="15" hidden="false" customHeight="false" outlineLevel="0" collapsed="false">
      <c r="A28" s="45" t="s">
        <v>1168</v>
      </c>
      <c r="B28" s="46"/>
      <c r="C28" s="14" t="s">
        <v>1088</v>
      </c>
      <c r="D28" s="46"/>
      <c r="E28" s="46"/>
      <c r="F28" s="46"/>
      <c r="G28" s="46"/>
      <c r="H28" s="46"/>
      <c r="I28" s="46"/>
    </row>
    <row r="29" customFormat="false" ht="35.05" hidden="false" customHeight="false" outlineLevel="0" collapsed="false">
      <c r="A29" s="45" t="s">
        <v>1169</v>
      </c>
      <c r="B29" s="46"/>
      <c r="C29" s="14" t="s">
        <v>1170</v>
      </c>
      <c r="D29" s="46"/>
      <c r="E29" s="46"/>
      <c r="F29" s="46"/>
      <c r="G29" s="46"/>
      <c r="H29" s="46"/>
      <c r="I29" s="46"/>
    </row>
    <row r="30" customFormat="false" ht="61.5" hidden="false" customHeight="true" outlineLevel="0" collapsed="false">
      <c r="A30" s="11" t="s">
        <v>605</v>
      </c>
      <c r="B30" s="12" t="s">
        <v>462</v>
      </c>
      <c r="C30" s="12" t="s">
        <v>907</v>
      </c>
      <c r="D30" s="12"/>
      <c r="E30" s="12"/>
      <c r="F30" s="12" t="str">
        <f aca="false">IF(AND(D30&lt;&gt;"",E30&lt;&gt;""),D30-E30,"")</f>
        <v/>
      </c>
      <c r="G30" s="47" t="s">
        <v>1171</v>
      </c>
      <c r="H30" s="48" t="str">
        <f aca="false">IF(OR(D30="1",D30="2",E30="1",E30="2",D30=1,D30=2,E30=1,E30=2),IFERROR(VLOOKUP(A30,Harjoitepankki!$A:$D,4,FALSE()),""),"")</f>
        <v/>
      </c>
      <c r="I30" s="4"/>
    </row>
    <row r="31" customFormat="false" ht="23.85" hidden="false" customHeight="false" outlineLevel="0" collapsed="false">
      <c r="A31" s="45" t="s">
        <v>1172</v>
      </c>
      <c r="B31" s="46"/>
      <c r="C31" s="14" t="s">
        <v>1173</v>
      </c>
      <c r="D31" s="46"/>
      <c r="E31" s="46"/>
      <c r="F31" s="46"/>
      <c r="G31" s="46"/>
      <c r="H31" s="46"/>
      <c r="I31" s="46"/>
    </row>
    <row r="32" customFormat="false" ht="23.85" hidden="false" customHeight="false" outlineLevel="0" collapsed="false">
      <c r="A32" s="45" t="s">
        <v>1174</v>
      </c>
      <c r="B32" s="46"/>
      <c r="C32" s="14" t="s">
        <v>1175</v>
      </c>
      <c r="D32" s="46"/>
      <c r="E32" s="46"/>
      <c r="F32" s="46"/>
      <c r="G32" s="46"/>
      <c r="H32" s="46"/>
      <c r="I32" s="46"/>
    </row>
    <row r="33" customFormat="false" ht="15" hidden="false" customHeight="false" outlineLevel="0" collapsed="false">
      <c r="A33" s="45" t="s">
        <v>1176</v>
      </c>
      <c r="B33" s="46"/>
      <c r="C33" s="14" t="s">
        <v>1097</v>
      </c>
      <c r="D33" s="46"/>
      <c r="E33" s="46"/>
      <c r="F33" s="46"/>
      <c r="G33" s="46"/>
      <c r="H33" s="46"/>
      <c r="I33" s="46"/>
    </row>
    <row r="34" customFormat="false" ht="15" hidden="false" customHeight="false" outlineLevel="0" collapsed="false">
      <c r="A34" s="45" t="s">
        <v>1177</v>
      </c>
      <c r="B34" s="46"/>
      <c r="C34" s="14" t="s">
        <v>1178</v>
      </c>
      <c r="D34" s="46"/>
      <c r="E34" s="46"/>
      <c r="F34" s="46"/>
      <c r="G34" s="46"/>
      <c r="H34" s="46"/>
      <c r="I34" s="46"/>
    </row>
    <row r="35" customFormat="false" ht="23.85" hidden="false" customHeight="false" outlineLevel="0" collapsed="false">
      <c r="A35" s="45" t="s">
        <v>1179</v>
      </c>
      <c r="B35" s="46"/>
      <c r="C35" s="14" t="s">
        <v>1180</v>
      </c>
      <c r="D35" s="46"/>
      <c r="E35" s="46"/>
      <c r="F35" s="46"/>
      <c r="G35" s="46"/>
      <c r="H35" s="46"/>
      <c r="I35" s="46"/>
    </row>
    <row r="36" customFormat="false" ht="61.5" hidden="false" customHeight="true" outlineLevel="0" collapsed="false">
      <c r="A36" s="11" t="s">
        <v>608</v>
      </c>
      <c r="B36" s="12" t="s">
        <v>462</v>
      </c>
      <c r="C36" s="12" t="s">
        <v>1102</v>
      </c>
      <c r="D36" s="12"/>
      <c r="E36" s="12"/>
      <c r="F36" s="12" t="str">
        <f aca="false">IF(AND(D36&lt;&gt;"",E36&lt;&gt;""),D36-E36,"")</f>
        <v/>
      </c>
      <c r="G36" s="47" t="s">
        <v>1181</v>
      </c>
      <c r="H36" s="48" t="str">
        <f aca="false">IF(OR(D36="1",D36="2",E36="1",E36="2",D36=1,D36=2,E36=1,E36=2),IFERROR(VLOOKUP(A36,Harjoitepankki!$A:$D,4,FALSE()),""),"")</f>
        <v/>
      </c>
      <c r="I36" s="4"/>
    </row>
    <row r="37" customFormat="false" ht="15" hidden="false" customHeight="false" outlineLevel="0" collapsed="false">
      <c r="A37" s="45" t="s">
        <v>1182</v>
      </c>
      <c r="B37" s="46"/>
      <c r="C37" s="14" t="s">
        <v>1183</v>
      </c>
      <c r="D37" s="46"/>
      <c r="E37" s="46"/>
      <c r="F37" s="46"/>
      <c r="G37" s="46"/>
      <c r="H37" s="46"/>
      <c r="I37" s="46"/>
    </row>
    <row r="38" customFormat="false" ht="15" hidden="false" customHeight="false" outlineLevel="0" collapsed="false">
      <c r="A38" s="45" t="s">
        <v>1184</v>
      </c>
      <c r="B38" s="46"/>
      <c r="C38" s="14" t="s">
        <v>1185</v>
      </c>
      <c r="D38" s="46"/>
      <c r="E38" s="46"/>
      <c r="F38" s="46"/>
      <c r="G38" s="46"/>
      <c r="H38" s="46"/>
      <c r="I38" s="46"/>
    </row>
    <row r="39" customFormat="false" ht="61.5" hidden="false" customHeight="true" outlineLevel="0" collapsed="false">
      <c r="A39" s="11" t="s">
        <v>610</v>
      </c>
      <c r="B39" s="12" t="s">
        <v>462</v>
      </c>
      <c r="C39" s="12" t="s">
        <v>1110</v>
      </c>
      <c r="D39" s="12"/>
      <c r="E39" s="12"/>
      <c r="F39" s="12" t="str">
        <f aca="false">IF(AND(D39&lt;&gt;"",E39&lt;&gt;""),D39-E39,"")</f>
        <v/>
      </c>
      <c r="G39" s="47" t="s">
        <v>1186</v>
      </c>
      <c r="H39" s="48" t="str">
        <f aca="false">IF(OR(D39="1",D39="2",E39="1",E39="2",D39=1,D39=2,E39=1,E39=2),IFERROR(VLOOKUP(A39,Harjoitepankki!$A:$D,4,FALSE()),""),"")</f>
        <v/>
      </c>
      <c r="I39" s="4"/>
    </row>
    <row r="40" customFormat="false" ht="15" hidden="false" customHeight="false" outlineLevel="0" collapsed="false">
      <c r="A40" s="45" t="s">
        <v>1187</v>
      </c>
      <c r="B40" s="46"/>
      <c r="C40" s="14" t="s">
        <v>1188</v>
      </c>
      <c r="D40" s="46"/>
      <c r="E40" s="46"/>
      <c r="F40" s="46"/>
      <c r="G40" s="46"/>
      <c r="H40" s="46"/>
      <c r="I40" s="46"/>
    </row>
    <row r="41" customFormat="false" ht="15" hidden="false" customHeight="false" outlineLevel="0" collapsed="false">
      <c r="A41" s="45" t="s">
        <v>1189</v>
      </c>
      <c r="B41" s="46"/>
      <c r="C41" s="14" t="s">
        <v>1190</v>
      </c>
      <c r="D41" s="46"/>
      <c r="E41" s="46"/>
      <c r="F41" s="46"/>
      <c r="G41" s="46"/>
      <c r="H41" s="46"/>
      <c r="I41" s="46"/>
    </row>
    <row r="42" customFormat="false" ht="15" hidden="false" customHeight="false" outlineLevel="0" collapsed="false">
      <c r="A42" s="45" t="s">
        <v>1191</v>
      </c>
      <c r="B42" s="46"/>
      <c r="C42" s="14" t="s">
        <v>1192</v>
      </c>
      <c r="D42" s="46"/>
      <c r="E42" s="46"/>
      <c r="F42" s="46"/>
      <c r="G42" s="46"/>
      <c r="H42" s="46"/>
      <c r="I42" s="46"/>
    </row>
    <row r="43" customFormat="false" ht="15" hidden="false" customHeight="false" outlineLevel="0" collapsed="false">
      <c r="A43" s="45" t="s">
        <v>1193</v>
      </c>
      <c r="B43" s="46"/>
      <c r="C43" s="14" t="s">
        <v>1194</v>
      </c>
      <c r="D43" s="46"/>
      <c r="E43" s="46"/>
      <c r="F43" s="46"/>
      <c r="G43" s="46"/>
      <c r="H43" s="46"/>
      <c r="I43" s="46"/>
    </row>
    <row r="44" customFormat="false" ht="15" hidden="false" customHeight="false" outlineLevel="0" collapsed="false">
      <c r="A44" s="45" t="s">
        <v>1195</v>
      </c>
      <c r="B44" s="46"/>
      <c r="C44" s="14" t="s">
        <v>1196</v>
      </c>
      <c r="D44" s="46"/>
      <c r="E44" s="46"/>
      <c r="F44" s="46"/>
      <c r="G44" s="46"/>
      <c r="H44" s="46"/>
      <c r="I44" s="46"/>
    </row>
    <row r="45" customFormat="false" ht="61.5" hidden="false" customHeight="true" outlineLevel="0" collapsed="false">
      <c r="A45" s="11" t="s">
        <v>612</v>
      </c>
      <c r="B45" s="12" t="s">
        <v>462</v>
      </c>
      <c r="C45" s="12" t="s">
        <v>1197</v>
      </c>
      <c r="D45" s="12"/>
      <c r="E45" s="12"/>
      <c r="F45" s="12" t="str">
        <f aca="false">IF(AND(D45&lt;&gt;"",E45&lt;&gt;""),D45-E45,"")</f>
        <v/>
      </c>
      <c r="G45" s="47" t="s">
        <v>1198</v>
      </c>
      <c r="H45" s="48" t="str">
        <f aca="false">IF(OR(D45="1",D45="2",E45="1",E45="2",D45=1,D45=2,E45=1,E45=2),IFERROR(VLOOKUP(A45,Harjoitepankki!$A:$D,4,FALSE()),""),"")</f>
        <v/>
      </c>
      <c r="I45" s="4"/>
    </row>
    <row r="46" customFormat="false" ht="15" hidden="false" customHeight="false" outlineLevel="0" collapsed="false">
      <c r="A46" s="45" t="s">
        <v>1199</v>
      </c>
      <c r="B46" s="46"/>
      <c r="C46" s="14" t="s">
        <v>1200</v>
      </c>
      <c r="D46" s="46"/>
      <c r="E46" s="46"/>
      <c r="F46" s="46"/>
      <c r="G46" s="46"/>
      <c r="H46" s="46"/>
      <c r="I46" s="46"/>
    </row>
    <row r="48" customFormat="false" ht="22.35" hidden="false" customHeight="false" outlineLevel="0" collapsed="false">
      <c r="C48" s="28" t="s">
        <v>929</v>
      </c>
      <c r="D48" s="49" t="n">
        <f aca="false">IF(D3="",0,D3)+IF(D6="",0,D6)+IF(D9="",0,D9)+IF(D13="",0,D13)+IF(D16="",0,D16)+IF(D19="",0,D19)+IF(D22="",0,D22)+IF(D26="",0,D26)+IF(D30="",0,D30)+IF(D36="",0,D36)+IF(D39="",0,D39)+IF(D45="",0,D45)</f>
        <v>0</v>
      </c>
      <c r="E48" s="49" t="n">
        <f aca="false">IF(E3="",0,E3)+IF(E6="",0,E6)+IF(E9="",0,E9)+IF(E13="",0,E13)+IF(E16="",0,E16)+IF(E19="",0,E19)+IF(E22="",0,E22)+IF(E26="",0,E26)+IF(E30="",0,E30)+IF(E36="",0,E36)+IF(E39="",0,E39)+IF(E45="",0,E45)</f>
        <v>0</v>
      </c>
      <c r="G48" s="50" t="s">
        <v>1201</v>
      </c>
    </row>
    <row r="50" customFormat="false" ht="15" hidden="false" customHeight="true" outlineLevel="0" collapsed="false">
      <c r="A50" s="21" t="s">
        <v>931</v>
      </c>
      <c r="B50" s="21"/>
      <c r="C50" s="21"/>
      <c r="D50" s="21"/>
      <c r="E50" s="21"/>
      <c r="F50" s="21"/>
      <c r="G50" s="21"/>
      <c r="H50" s="21"/>
      <c r="I50" s="21"/>
    </row>
    <row r="51" customFormat="false" ht="30" hidden="false" customHeight="true" outlineLevel="0" collapsed="false">
      <c r="A51" s="37" t="s">
        <v>932</v>
      </c>
      <c r="B51" s="7" t="s">
        <v>933</v>
      </c>
      <c r="C51" s="7"/>
      <c r="D51" s="7"/>
      <c r="E51" s="7"/>
      <c r="F51" s="51"/>
      <c r="G51" s="51"/>
      <c r="H51" s="51"/>
      <c r="I51" s="51"/>
    </row>
    <row r="52" customFormat="false" ht="30" hidden="false" customHeight="true" outlineLevel="0" collapsed="false">
      <c r="A52" s="37" t="s">
        <v>934</v>
      </c>
      <c r="B52" s="7" t="s">
        <v>1202</v>
      </c>
      <c r="C52" s="7"/>
      <c r="D52" s="7"/>
      <c r="E52" s="7"/>
      <c r="F52" s="51"/>
      <c r="G52" s="51"/>
      <c r="H52" s="51"/>
      <c r="I52" s="51"/>
    </row>
    <row r="53" customFormat="false" ht="30" hidden="false" customHeight="true" outlineLevel="0" collapsed="false">
      <c r="A53" s="37" t="s">
        <v>936</v>
      </c>
      <c r="B53" s="7" t="s">
        <v>1203</v>
      </c>
      <c r="C53" s="7"/>
      <c r="D53" s="7"/>
      <c r="E53" s="7"/>
      <c r="F53" s="51"/>
      <c r="G53" s="51"/>
      <c r="H53" s="51"/>
      <c r="I53" s="51"/>
    </row>
    <row r="54" customFormat="false" ht="30" hidden="false" customHeight="true" outlineLevel="0" collapsed="false">
      <c r="A54" s="37" t="s">
        <v>938</v>
      </c>
      <c r="B54" s="7" t="s">
        <v>939</v>
      </c>
      <c r="C54" s="7"/>
      <c r="D54" s="7"/>
      <c r="E54" s="7"/>
      <c r="F54" s="51"/>
      <c r="G54" s="51"/>
      <c r="H54" s="51"/>
      <c r="I54" s="51"/>
    </row>
    <row r="55" customFormat="false" ht="30" hidden="false" customHeight="true" outlineLevel="0" collapsed="false">
      <c r="A55" s="37" t="s">
        <v>940</v>
      </c>
      <c r="B55" s="7" t="s">
        <v>941</v>
      </c>
      <c r="C55" s="7"/>
      <c r="D55" s="7"/>
      <c r="E55" s="7"/>
      <c r="F55" s="51"/>
      <c r="G55" s="51"/>
      <c r="H55" s="51"/>
      <c r="I55" s="51"/>
    </row>
    <row r="57" customFormat="false" ht="15" hidden="false" customHeight="true" outlineLevel="0" collapsed="false">
      <c r="A57" s="21" t="s">
        <v>942</v>
      </c>
      <c r="B57" s="21"/>
      <c r="C57" s="21"/>
      <c r="D57" s="21"/>
      <c r="E57" s="21"/>
      <c r="F57" s="21"/>
      <c r="G57" s="21"/>
      <c r="H57" s="21"/>
      <c r="I57" s="21"/>
    </row>
    <row r="58" customFormat="false" ht="25.5" hidden="false" customHeight="true" outlineLevel="0" collapsed="false">
      <c r="A58" s="23" t="s">
        <v>943</v>
      </c>
      <c r="B58" s="23"/>
      <c r="C58" s="23"/>
      <c r="D58" s="51"/>
      <c r="E58" s="51"/>
      <c r="F58" s="51"/>
      <c r="G58" s="51"/>
      <c r="H58" s="51"/>
      <c r="I58" s="51"/>
    </row>
    <row r="59" customFormat="false" ht="25.5" hidden="false" customHeight="true" outlineLevel="0" collapsed="false">
      <c r="A59" s="23" t="s">
        <v>944</v>
      </c>
      <c r="B59" s="23"/>
      <c r="C59" s="23"/>
      <c r="D59" s="51"/>
      <c r="E59" s="51"/>
      <c r="F59" s="51"/>
      <c r="G59" s="51"/>
      <c r="H59" s="51"/>
      <c r="I59" s="51"/>
    </row>
    <row r="60" customFormat="false" ht="25.5" hidden="false" customHeight="true" outlineLevel="0" collapsed="false">
      <c r="A60" s="23" t="s">
        <v>945</v>
      </c>
      <c r="B60" s="23"/>
      <c r="C60" s="23"/>
      <c r="D60" s="51"/>
      <c r="E60" s="51"/>
      <c r="F60" s="51"/>
      <c r="G60" s="51"/>
      <c r="H60" s="51"/>
      <c r="I60" s="51"/>
    </row>
    <row r="61" customFormat="false" ht="25.5" hidden="false" customHeight="true" outlineLevel="0" collapsed="false">
      <c r="A61" s="23" t="s">
        <v>946</v>
      </c>
      <c r="B61" s="23"/>
      <c r="C61" s="23"/>
      <c r="D61" s="51"/>
      <c r="E61" s="51"/>
      <c r="F61" s="51"/>
      <c r="G61" s="51"/>
      <c r="H61" s="51"/>
      <c r="I61" s="51"/>
    </row>
    <row r="62" customFormat="false" ht="25.5" hidden="false" customHeight="true" outlineLevel="0" collapsed="false">
      <c r="A62" s="23" t="s">
        <v>947</v>
      </c>
      <c r="B62" s="23"/>
      <c r="C62" s="23"/>
      <c r="D62" s="51"/>
      <c r="E62" s="51"/>
      <c r="F62" s="51"/>
      <c r="G62" s="51"/>
      <c r="H62" s="51"/>
      <c r="I62" s="51"/>
    </row>
    <row r="63" customFormat="false" ht="25.5" hidden="false" customHeight="true" outlineLevel="0" collapsed="false">
      <c r="A63" s="23" t="s">
        <v>948</v>
      </c>
      <c r="B63" s="23"/>
      <c r="C63" s="23"/>
      <c r="D63" s="51"/>
      <c r="E63" s="51"/>
      <c r="F63" s="51"/>
      <c r="G63" s="51"/>
      <c r="H63" s="51"/>
      <c r="I63" s="51"/>
    </row>
    <row r="64" customFormat="false" ht="25.5" hidden="false" customHeight="true" outlineLevel="0" collapsed="false">
      <c r="A64" s="23" t="s">
        <v>949</v>
      </c>
      <c r="B64" s="23"/>
      <c r="C64" s="23"/>
      <c r="D64" s="51"/>
      <c r="E64" s="51"/>
      <c r="F64" s="51"/>
      <c r="G64" s="51"/>
      <c r="H64" s="51"/>
      <c r="I64" s="51"/>
    </row>
  </sheetData>
  <mergeCells count="26">
    <mergeCell ref="A50:I50"/>
    <mergeCell ref="B51:E51"/>
    <mergeCell ref="F51:I51"/>
    <mergeCell ref="B52:E52"/>
    <mergeCell ref="F52:I52"/>
    <mergeCell ref="B53:E53"/>
    <mergeCell ref="F53:I53"/>
    <mergeCell ref="B54:E54"/>
    <mergeCell ref="F54:I54"/>
    <mergeCell ref="B55:E55"/>
    <mergeCell ref="F55:I55"/>
    <mergeCell ref="A57:I57"/>
    <mergeCell ref="A58:C58"/>
    <mergeCell ref="D58:I58"/>
    <mergeCell ref="A59:C59"/>
    <mergeCell ref="D59:I59"/>
    <mergeCell ref="A60:C60"/>
    <mergeCell ref="D60:I60"/>
    <mergeCell ref="A61:C61"/>
    <mergeCell ref="D61:I61"/>
    <mergeCell ref="A62:C62"/>
    <mergeCell ref="D62:I62"/>
    <mergeCell ref="A63:C63"/>
    <mergeCell ref="D63:I63"/>
    <mergeCell ref="A64:C64"/>
    <mergeCell ref="D64:I64"/>
  </mergeCells>
  <dataValidations count="1">
    <dataValidation allowBlank="true" errorStyle="stop" operator="between" showDropDown="false" showErrorMessage="false" showInputMessage="false" sqref="D3:E3 D6:E6 D9:E9 D13:E13 D16:E16 D19:E19 D22:E22 D26:E26 D30:E30 D36:E36 D39:E39 D45:E4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85.8" hidden="false" customHeight="false" outlineLevel="0" collapsed="false">
      <c r="A1" s="8" t="s">
        <v>1204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614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1205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1206</v>
      </c>
      <c r="B4" s="46"/>
      <c r="C4" s="14" t="s">
        <v>1207</v>
      </c>
      <c r="D4" s="46"/>
      <c r="E4" s="46"/>
      <c r="F4" s="46"/>
      <c r="G4" s="46"/>
      <c r="H4" s="46"/>
      <c r="I4" s="46"/>
    </row>
    <row r="5" customFormat="false" ht="15" hidden="false" customHeight="false" outlineLevel="0" collapsed="false">
      <c r="A5" s="45" t="s">
        <v>1208</v>
      </c>
      <c r="B5" s="46"/>
      <c r="C5" s="14" t="s">
        <v>1209</v>
      </c>
      <c r="D5" s="46"/>
      <c r="E5" s="46"/>
      <c r="F5" s="46"/>
      <c r="G5" s="46"/>
      <c r="H5" s="46"/>
      <c r="I5" s="46"/>
    </row>
    <row r="6" customFormat="false" ht="61.5" hidden="false" customHeight="true" outlineLevel="0" collapsed="false">
      <c r="A6" s="17" t="s">
        <v>617</v>
      </c>
      <c r="B6" s="18" t="s">
        <v>435</v>
      </c>
      <c r="C6" s="18" t="s">
        <v>833</v>
      </c>
      <c r="D6" s="18"/>
      <c r="E6" s="18"/>
      <c r="F6" s="18" t="str">
        <f aca="false">IF(AND(D6&lt;&gt;"",E6&lt;&gt;""),D6-E6,"")</f>
        <v/>
      </c>
      <c r="G6" s="43" t="s">
        <v>1210</v>
      </c>
      <c r="H6" s="44" t="str">
        <f aca="false">IF(OR(D6="1",D6="2",E6="1",E6="2",D6=1,D6=2,E6=1,E6=2),IFERROR(VLOOKUP(A6,Harjoitepankki!$A:$D,4,FALSE()),""),"")</f>
        <v/>
      </c>
      <c r="I6" s="19"/>
    </row>
    <row r="7" customFormat="false" ht="23.85" hidden="false" customHeight="false" outlineLevel="0" collapsed="false">
      <c r="A7" s="45" t="s">
        <v>1211</v>
      </c>
      <c r="B7" s="46"/>
      <c r="C7" s="14" t="s">
        <v>1212</v>
      </c>
      <c r="D7" s="46"/>
      <c r="E7" s="46"/>
      <c r="F7" s="46"/>
      <c r="G7" s="46"/>
      <c r="H7" s="46"/>
      <c r="I7" s="46"/>
    </row>
    <row r="8" customFormat="false" ht="23.85" hidden="false" customHeight="false" outlineLevel="0" collapsed="false">
      <c r="A8" s="45" t="s">
        <v>1213</v>
      </c>
      <c r="B8" s="46"/>
      <c r="C8" s="14" t="s">
        <v>1214</v>
      </c>
      <c r="D8" s="46"/>
      <c r="E8" s="46"/>
      <c r="F8" s="46"/>
      <c r="G8" s="46"/>
      <c r="H8" s="46"/>
      <c r="I8" s="46"/>
    </row>
    <row r="9" customFormat="false" ht="61.5" hidden="false" customHeight="true" outlineLevel="0" collapsed="false">
      <c r="A9" s="17" t="s">
        <v>620</v>
      </c>
      <c r="B9" s="18" t="s">
        <v>435</v>
      </c>
      <c r="C9" s="18" t="s">
        <v>843</v>
      </c>
      <c r="D9" s="18"/>
      <c r="E9" s="18"/>
      <c r="F9" s="18" t="str">
        <f aca="false">IF(AND(D9&lt;&gt;"",E9&lt;&gt;""),D9-E9,"")</f>
        <v/>
      </c>
      <c r="G9" s="43" t="s">
        <v>1215</v>
      </c>
      <c r="H9" s="44" t="str">
        <f aca="false">IF(OR(D9="1",D9="2",E9="1",E9="2",D9=1,D9=2,E9=1,E9=2),IFERROR(VLOOKUP(A9,Harjoitepankki!$A:$D,4,FALSE()),""),"")</f>
        <v/>
      </c>
      <c r="I9" s="19"/>
    </row>
    <row r="10" customFormat="false" ht="15" hidden="false" customHeight="false" outlineLevel="0" collapsed="false">
      <c r="A10" s="45" t="s">
        <v>1216</v>
      </c>
      <c r="B10" s="46"/>
      <c r="C10" s="14" t="s">
        <v>1217</v>
      </c>
      <c r="D10" s="46"/>
      <c r="E10" s="46"/>
      <c r="F10" s="46"/>
      <c r="G10" s="46"/>
      <c r="H10" s="46"/>
      <c r="I10" s="46"/>
    </row>
    <row r="11" customFormat="false" ht="15" hidden="false" customHeight="false" outlineLevel="0" collapsed="false">
      <c r="A11" s="45" t="s">
        <v>1218</v>
      </c>
      <c r="B11" s="46"/>
      <c r="C11" s="14" t="s">
        <v>1219</v>
      </c>
      <c r="D11" s="46"/>
      <c r="E11" s="46"/>
      <c r="F11" s="46"/>
      <c r="G11" s="46"/>
      <c r="H11" s="46"/>
      <c r="I11" s="46"/>
    </row>
    <row r="12" customFormat="false" ht="15" hidden="false" customHeight="false" outlineLevel="0" collapsed="false">
      <c r="A12" s="45" t="s">
        <v>1220</v>
      </c>
      <c r="B12" s="46"/>
      <c r="C12" s="14" t="s">
        <v>1221</v>
      </c>
      <c r="D12" s="46"/>
      <c r="E12" s="46"/>
      <c r="F12" s="46"/>
      <c r="G12" s="46"/>
      <c r="H12" s="46"/>
      <c r="I12" s="46"/>
    </row>
    <row r="13" customFormat="false" ht="15" hidden="false" customHeight="false" outlineLevel="0" collapsed="false">
      <c r="A13" s="45" t="s">
        <v>1222</v>
      </c>
      <c r="B13" s="46"/>
      <c r="C13" s="14" t="s">
        <v>1223</v>
      </c>
      <c r="D13" s="46"/>
      <c r="E13" s="46"/>
      <c r="F13" s="46"/>
      <c r="G13" s="46"/>
      <c r="H13" s="46"/>
      <c r="I13" s="46"/>
    </row>
    <row r="14" customFormat="false" ht="61.5" hidden="false" customHeight="true" outlineLevel="0" collapsed="false">
      <c r="A14" s="17" t="s">
        <v>622</v>
      </c>
      <c r="B14" s="18" t="s">
        <v>435</v>
      </c>
      <c r="C14" s="18" t="s">
        <v>855</v>
      </c>
      <c r="D14" s="18"/>
      <c r="E14" s="18"/>
      <c r="F14" s="18" t="str">
        <f aca="false">IF(AND(D14&lt;&gt;"",E14&lt;&gt;""),D14-E14,"")</f>
        <v/>
      </c>
      <c r="G14" s="43" t="s">
        <v>1224</v>
      </c>
      <c r="H14" s="44" t="str">
        <f aca="false">IF(OR(D14="1",D14="2",E14="1",E14="2",D14=1,D14=2,E14=1,E14=2),IFERROR(VLOOKUP(A14,Harjoitepankki!$A:$D,4,FALSE()),""),"")</f>
        <v/>
      </c>
      <c r="I14" s="19"/>
    </row>
    <row r="15" customFormat="false" ht="23.85" hidden="false" customHeight="false" outlineLevel="0" collapsed="false">
      <c r="A15" s="45" t="s">
        <v>1225</v>
      </c>
      <c r="B15" s="46"/>
      <c r="C15" s="14" t="s">
        <v>1226</v>
      </c>
      <c r="D15" s="46"/>
      <c r="E15" s="46"/>
      <c r="F15" s="46"/>
      <c r="G15" s="46"/>
      <c r="H15" s="46"/>
      <c r="I15" s="46"/>
    </row>
    <row r="16" customFormat="false" ht="15" hidden="false" customHeight="false" outlineLevel="0" collapsed="false">
      <c r="A16" s="45" t="s">
        <v>1227</v>
      </c>
      <c r="B16" s="46"/>
      <c r="C16" s="14" t="s">
        <v>1228</v>
      </c>
      <c r="D16" s="46"/>
      <c r="E16" s="46"/>
      <c r="F16" s="46"/>
      <c r="G16" s="46"/>
      <c r="H16" s="46"/>
      <c r="I16" s="46"/>
    </row>
    <row r="17" customFormat="false" ht="23.85" hidden="false" customHeight="false" outlineLevel="0" collapsed="false">
      <c r="A17" s="45" t="s">
        <v>1229</v>
      </c>
      <c r="B17" s="46"/>
      <c r="C17" s="14" t="s">
        <v>1230</v>
      </c>
      <c r="D17" s="46"/>
      <c r="E17" s="46"/>
      <c r="F17" s="46"/>
      <c r="G17" s="46"/>
      <c r="H17" s="46"/>
      <c r="I17" s="46"/>
    </row>
    <row r="18" customFormat="false" ht="61.5" hidden="false" customHeight="true" outlineLevel="0" collapsed="false">
      <c r="A18" s="17" t="s">
        <v>624</v>
      </c>
      <c r="B18" s="18" t="s">
        <v>446</v>
      </c>
      <c r="C18" s="18" t="s">
        <v>1149</v>
      </c>
      <c r="D18" s="18"/>
      <c r="E18" s="18"/>
      <c r="F18" s="18" t="str">
        <f aca="false">IF(AND(D18&lt;&gt;"",E18&lt;&gt;""),D18-E18,"")</f>
        <v/>
      </c>
      <c r="G18" s="43" t="s">
        <v>1231</v>
      </c>
      <c r="H18" s="44" t="str">
        <f aca="false">IF(OR(D18="1",D18="2",E18="1",E18="2",D18=1,D18=2,E18=1,E18=2),IFERROR(VLOOKUP(A18,Harjoitepankki!$A:$D,4,FALSE()),""),"")</f>
        <v/>
      </c>
      <c r="I18" s="19"/>
    </row>
    <row r="19" customFormat="false" ht="15" hidden="false" customHeight="false" outlineLevel="0" collapsed="false">
      <c r="A19" s="45" t="s">
        <v>1232</v>
      </c>
      <c r="B19" s="46"/>
      <c r="C19" s="14" t="s">
        <v>1233</v>
      </c>
      <c r="D19" s="46"/>
      <c r="E19" s="46"/>
      <c r="F19" s="46"/>
      <c r="G19" s="46"/>
      <c r="H19" s="46"/>
      <c r="I19" s="46"/>
    </row>
    <row r="20" customFormat="false" ht="61.5" hidden="false" customHeight="true" outlineLevel="0" collapsed="false">
      <c r="A20" s="17" t="s">
        <v>626</v>
      </c>
      <c r="B20" s="18" t="s">
        <v>454</v>
      </c>
      <c r="C20" s="18" t="s">
        <v>1155</v>
      </c>
      <c r="D20" s="18"/>
      <c r="E20" s="18"/>
      <c r="F20" s="18" t="str">
        <f aca="false">IF(AND(D20&lt;&gt;"",E20&lt;&gt;""),D20-E20,"")</f>
        <v/>
      </c>
      <c r="G20" s="43" t="s">
        <v>1234</v>
      </c>
      <c r="H20" s="44" t="str">
        <f aca="false">IF(OR(D20="1",D20="2",E20="1",E20="2",D20=1,D20=2,E20=1,E20=2),IFERROR(VLOOKUP(A20,Harjoitepankki!$A:$D,4,FALSE()),""),"")</f>
        <v/>
      </c>
      <c r="I20" s="19"/>
    </row>
    <row r="21" customFormat="false" ht="15" hidden="false" customHeight="false" outlineLevel="0" collapsed="false">
      <c r="A21" s="45" t="s">
        <v>1235</v>
      </c>
      <c r="B21" s="46"/>
      <c r="C21" s="14" t="s">
        <v>1236</v>
      </c>
      <c r="D21" s="46"/>
      <c r="E21" s="46"/>
      <c r="F21" s="46"/>
      <c r="G21" s="46"/>
      <c r="H21" s="46"/>
      <c r="I21" s="46"/>
    </row>
    <row r="22" customFormat="false" ht="15" hidden="false" customHeight="false" outlineLevel="0" collapsed="false">
      <c r="A22" s="45" t="s">
        <v>1237</v>
      </c>
      <c r="B22" s="46"/>
      <c r="C22" s="14" t="s">
        <v>1238</v>
      </c>
      <c r="D22" s="46"/>
      <c r="E22" s="46"/>
      <c r="F22" s="46"/>
      <c r="G22" s="46"/>
      <c r="H22" s="46"/>
      <c r="I22" s="46"/>
    </row>
    <row r="23" customFormat="false" ht="61.5" hidden="false" customHeight="true" outlineLevel="0" collapsed="false">
      <c r="A23" s="11" t="s">
        <v>629</v>
      </c>
      <c r="B23" s="12" t="s">
        <v>462</v>
      </c>
      <c r="C23" s="12" t="s">
        <v>893</v>
      </c>
      <c r="D23" s="12"/>
      <c r="E23" s="12"/>
      <c r="F23" s="12" t="str">
        <f aca="false">IF(AND(D23&lt;&gt;"",E23&lt;&gt;""),D23-E23,"")</f>
        <v/>
      </c>
      <c r="G23" s="47" t="s">
        <v>1239</v>
      </c>
      <c r="H23" s="48" t="str">
        <f aca="false">IF(OR(D23="1",D23="2",E23="1",E23="2",D23=1,D23=2,E23=1,E23=2),IFERROR(VLOOKUP(A23,Harjoitepankki!$A:$D,4,FALSE()),""),"")</f>
        <v/>
      </c>
      <c r="I23" s="4"/>
    </row>
    <row r="24" customFormat="false" ht="15" hidden="false" customHeight="false" outlineLevel="0" collapsed="false">
      <c r="A24" s="45" t="s">
        <v>1240</v>
      </c>
      <c r="B24" s="46"/>
      <c r="C24" s="14" t="s">
        <v>1241</v>
      </c>
      <c r="D24" s="46"/>
      <c r="E24" s="46"/>
      <c r="F24" s="46"/>
      <c r="G24" s="46"/>
      <c r="H24" s="46"/>
      <c r="I24" s="46"/>
    </row>
    <row r="25" customFormat="false" ht="23.85" hidden="false" customHeight="false" outlineLevel="0" collapsed="false">
      <c r="A25" s="45" t="s">
        <v>1242</v>
      </c>
      <c r="B25" s="46"/>
      <c r="C25" s="14" t="s">
        <v>898</v>
      </c>
      <c r="D25" s="46"/>
      <c r="E25" s="46"/>
      <c r="F25" s="46"/>
      <c r="G25" s="46"/>
      <c r="H25" s="46"/>
      <c r="I25" s="46"/>
    </row>
    <row r="26" customFormat="false" ht="23.85" hidden="false" customHeight="false" outlineLevel="0" collapsed="false">
      <c r="A26" s="45" t="s">
        <v>1243</v>
      </c>
      <c r="B26" s="46"/>
      <c r="C26" s="14" t="s">
        <v>1244</v>
      </c>
      <c r="D26" s="46"/>
      <c r="E26" s="46"/>
      <c r="F26" s="46"/>
      <c r="G26" s="46"/>
      <c r="H26" s="46"/>
      <c r="I26" s="46"/>
    </row>
    <row r="27" customFormat="false" ht="61.5" hidden="false" customHeight="true" outlineLevel="0" collapsed="false">
      <c r="A27" s="11" t="s">
        <v>631</v>
      </c>
      <c r="B27" s="12" t="s">
        <v>462</v>
      </c>
      <c r="C27" s="12" t="s">
        <v>1245</v>
      </c>
      <c r="D27" s="12"/>
      <c r="E27" s="12"/>
      <c r="F27" s="12" t="str">
        <f aca="false">IF(AND(D27&lt;&gt;"",E27&lt;&gt;""),D27-E27,"")</f>
        <v/>
      </c>
      <c r="G27" s="47" t="s">
        <v>1246</v>
      </c>
      <c r="H27" s="48" t="str">
        <f aca="false">IF(OR(D27="1",D27="2",E27="1",E27="2",D27=1,D27=2,E27=1,E27=2),IFERROR(VLOOKUP(A27,Harjoitepankki!$A:$D,4,FALSE()),""),"")</f>
        <v/>
      </c>
      <c r="I27" s="4"/>
    </row>
    <row r="28" customFormat="false" ht="15" hidden="false" customHeight="false" outlineLevel="0" collapsed="false">
      <c r="A28" s="45" t="s">
        <v>1247</v>
      </c>
      <c r="B28" s="46"/>
      <c r="C28" s="14" t="s">
        <v>1248</v>
      </c>
      <c r="D28" s="46"/>
      <c r="E28" s="46"/>
      <c r="F28" s="46"/>
      <c r="G28" s="46"/>
      <c r="H28" s="46"/>
      <c r="I28" s="46"/>
    </row>
    <row r="29" customFormat="false" ht="15" hidden="false" customHeight="false" outlineLevel="0" collapsed="false">
      <c r="A29" s="45" t="s">
        <v>1249</v>
      </c>
      <c r="B29" s="46"/>
      <c r="C29" s="14" t="s">
        <v>1250</v>
      </c>
      <c r="D29" s="46"/>
      <c r="E29" s="46"/>
      <c r="F29" s="46"/>
      <c r="G29" s="46"/>
      <c r="H29" s="46"/>
      <c r="I29" s="46"/>
    </row>
    <row r="30" customFormat="false" ht="61.5" hidden="false" customHeight="true" outlineLevel="0" collapsed="false">
      <c r="A30" s="11" t="s">
        <v>634</v>
      </c>
      <c r="B30" s="12" t="s">
        <v>462</v>
      </c>
      <c r="C30" s="12" t="s">
        <v>1251</v>
      </c>
      <c r="D30" s="12"/>
      <c r="E30" s="12"/>
      <c r="F30" s="12" t="str">
        <f aca="false">IF(AND(D30&lt;&gt;"",E30&lt;&gt;""),D30-E30,"")</f>
        <v/>
      </c>
      <c r="G30" s="47" t="s">
        <v>1252</v>
      </c>
      <c r="H30" s="48" t="str">
        <f aca="false">IF(OR(D30="1",D30="2",E30="1",E30="2",D30=1,D30=2,E30=1,E30=2),IFERROR(VLOOKUP(A30,Harjoitepankki!$A:$D,4,FALSE()),""),"")</f>
        <v/>
      </c>
      <c r="I30" s="4"/>
    </row>
    <row r="31" customFormat="false" ht="23.85" hidden="false" customHeight="false" outlineLevel="0" collapsed="false">
      <c r="A31" s="45" t="s">
        <v>1253</v>
      </c>
      <c r="B31" s="46"/>
      <c r="C31" s="14" t="s">
        <v>1254</v>
      </c>
      <c r="D31" s="46"/>
      <c r="E31" s="46"/>
      <c r="F31" s="46"/>
      <c r="G31" s="46"/>
      <c r="H31" s="46"/>
      <c r="I31" s="46"/>
    </row>
    <row r="32" customFormat="false" ht="15" hidden="false" customHeight="false" outlineLevel="0" collapsed="false">
      <c r="A32" s="45" t="s">
        <v>1255</v>
      </c>
      <c r="B32" s="46"/>
      <c r="C32" s="14" t="s">
        <v>1256</v>
      </c>
      <c r="D32" s="46"/>
      <c r="E32" s="46"/>
      <c r="F32" s="46"/>
      <c r="G32" s="46"/>
      <c r="H32" s="46"/>
      <c r="I32" s="46"/>
    </row>
    <row r="33" customFormat="false" ht="15" hidden="false" customHeight="false" outlineLevel="0" collapsed="false">
      <c r="A33" s="45" t="s">
        <v>1257</v>
      </c>
      <c r="B33" s="46"/>
      <c r="C33" s="14" t="s">
        <v>1258</v>
      </c>
      <c r="D33" s="46"/>
      <c r="E33" s="46"/>
      <c r="F33" s="46"/>
      <c r="G33" s="46"/>
      <c r="H33" s="46"/>
      <c r="I33" s="46"/>
    </row>
    <row r="34" customFormat="false" ht="15" hidden="false" customHeight="false" outlineLevel="0" collapsed="false">
      <c r="A34" s="45" t="s">
        <v>1259</v>
      </c>
      <c r="B34" s="46"/>
      <c r="C34" s="14" t="s">
        <v>1260</v>
      </c>
      <c r="D34" s="46"/>
      <c r="E34" s="46"/>
      <c r="F34" s="46"/>
      <c r="G34" s="46"/>
      <c r="H34" s="46"/>
      <c r="I34" s="46"/>
    </row>
    <row r="35" customFormat="false" ht="15" hidden="false" customHeight="false" outlineLevel="0" collapsed="false">
      <c r="A35" s="45" t="s">
        <v>1261</v>
      </c>
      <c r="B35" s="46"/>
      <c r="C35" s="14" t="s">
        <v>1262</v>
      </c>
      <c r="D35" s="46"/>
      <c r="E35" s="46"/>
      <c r="F35" s="46"/>
      <c r="G35" s="46"/>
      <c r="H35" s="46"/>
      <c r="I35" s="46"/>
    </row>
    <row r="36" customFormat="false" ht="61.5" hidden="false" customHeight="true" outlineLevel="0" collapsed="false">
      <c r="A36" s="11" t="s">
        <v>636</v>
      </c>
      <c r="B36" s="12" t="s">
        <v>462</v>
      </c>
      <c r="C36" s="12" t="s">
        <v>1263</v>
      </c>
      <c r="D36" s="12"/>
      <c r="E36" s="12"/>
      <c r="F36" s="12" t="str">
        <f aca="false">IF(AND(D36&lt;&gt;"",E36&lt;&gt;""),D36-E36,"")</f>
        <v/>
      </c>
      <c r="G36" s="47" t="s">
        <v>1264</v>
      </c>
      <c r="H36" s="48" t="str">
        <f aca="false">IF(OR(D36="1",D36="2",E36="1",E36="2",D36=1,D36=2,E36=1,E36=2),IFERROR(VLOOKUP(A36,Harjoitepankki!$A:$D,4,FALSE()),""),"")</f>
        <v/>
      </c>
      <c r="I36" s="4"/>
    </row>
    <row r="37" customFormat="false" ht="15" hidden="false" customHeight="false" outlineLevel="0" collapsed="false">
      <c r="A37" s="45" t="s">
        <v>1265</v>
      </c>
      <c r="B37" s="46"/>
      <c r="C37" s="14" t="s">
        <v>1266</v>
      </c>
      <c r="D37" s="46"/>
      <c r="E37" s="46"/>
      <c r="F37" s="46"/>
      <c r="G37" s="46"/>
      <c r="H37" s="46"/>
      <c r="I37" s="46"/>
    </row>
    <row r="38" customFormat="false" ht="15" hidden="false" customHeight="false" outlineLevel="0" collapsed="false">
      <c r="A38" s="45" t="s">
        <v>1267</v>
      </c>
      <c r="B38" s="46"/>
      <c r="C38" s="14" t="s">
        <v>1268</v>
      </c>
      <c r="D38" s="46"/>
      <c r="E38" s="46"/>
      <c r="F38" s="46"/>
      <c r="G38" s="46"/>
      <c r="H38" s="46"/>
      <c r="I38" s="46"/>
    </row>
    <row r="39" customFormat="false" ht="15" hidden="false" customHeight="false" outlineLevel="0" collapsed="false">
      <c r="A39" s="45" t="s">
        <v>1269</v>
      </c>
      <c r="B39" s="46"/>
      <c r="C39" s="14" t="s">
        <v>1270</v>
      </c>
      <c r="D39" s="46"/>
      <c r="E39" s="46"/>
      <c r="F39" s="46"/>
      <c r="G39" s="46"/>
      <c r="H39" s="46"/>
      <c r="I39" s="46"/>
    </row>
    <row r="40" customFormat="false" ht="61.5" hidden="false" customHeight="true" outlineLevel="0" collapsed="false">
      <c r="A40" s="11" t="s">
        <v>638</v>
      </c>
      <c r="B40" s="12" t="s">
        <v>462</v>
      </c>
      <c r="C40" s="12" t="s">
        <v>1271</v>
      </c>
      <c r="D40" s="12"/>
      <c r="E40" s="12"/>
      <c r="F40" s="12" t="str">
        <f aca="false">IF(AND(D40&lt;&gt;"",E40&lt;&gt;""),D40-E40,"")</f>
        <v/>
      </c>
      <c r="G40" s="47" t="s">
        <v>1272</v>
      </c>
      <c r="H40" s="48" t="str">
        <f aca="false">IF(OR(D40="1",D40="2",E40="1",E40="2",D40=1,D40=2,E40=1,E40=2),IFERROR(VLOOKUP(A40,Harjoitepankki!$A:$D,4,FALSE()),""),"")</f>
        <v/>
      </c>
      <c r="I40" s="4"/>
    </row>
    <row r="41" customFormat="false" ht="23.85" hidden="false" customHeight="false" outlineLevel="0" collapsed="false">
      <c r="A41" s="45" t="s">
        <v>1273</v>
      </c>
      <c r="B41" s="46"/>
      <c r="C41" s="14" t="s">
        <v>1274</v>
      </c>
      <c r="D41" s="46"/>
      <c r="E41" s="46"/>
      <c r="F41" s="46"/>
      <c r="G41" s="46"/>
      <c r="H41" s="46"/>
      <c r="I41" s="46"/>
    </row>
    <row r="42" customFormat="false" ht="23.85" hidden="false" customHeight="false" outlineLevel="0" collapsed="false">
      <c r="A42" s="45" t="s">
        <v>1275</v>
      </c>
      <c r="B42" s="46"/>
      <c r="C42" s="14" t="s">
        <v>1276</v>
      </c>
      <c r="D42" s="46"/>
      <c r="E42" s="46"/>
      <c r="F42" s="46"/>
      <c r="G42" s="46"/>
      <c r="H42" s="46"/>
      <c r="I42" s="46"/>
    </row>
    <row r="43" customFormat="false" ht="61.5" hidden="false" customHeight="true" outlineLevel="0" collapsed="false">
      <c r="A43" s="11" t="s">
        <v>640</v>
      </c>
      <c r="B43" s="12" t="s">
        <v>462</v>
      </c>
      <c r="C43" s="12" t="s">
        <v>1277</v>
      </c>
      <c r="D43" s="12"/>
      <c r="E43" s="12"/>
      <c r="F43" s="12" t="str">
        <f aca="false">IF(AND(D43&lt;&gt;"",E43&lt;&gt;""),D43-E43,"")</f>
        <v/>
      </c>
      <c r="G43" s="47" t="s">
        <v>1278</v>
      </c>
      <c r="H43" s="48" t="str">
        <f aca="false">IF(OR(D43="1",D43="2",E43="1",E43="2",D43=1,D43=2,E43=1,E43=2),IFERROR(VLOOKUP(A43,Harjoitepankki!$A:$D,4,FALSE()),""),"")</f>
        <v/>
      </c>
      <c r="I43" s="4"/>
    </row>
    <row r="44" customFormat="false" ht="15" hidden="false" customHeight="false" outlineLevel="0" collapsed="false">
      <c r="A44" s="45" t="s">
        <v>1279</v>
      </c>
      <c r="B44" s="46"/>
      <c r="C44" s="14" t="s">
        <v>1280</v>
      </c>
      <c r="D44" s="46"/>
      <c r="E44" s="46"/>
      <c r="F44" s="46"/>
      <c r="G44" s="46"/>
      <c r="H44" s="46"/>
      <c r="I44" s="46"/>
    </row>
    <row r="45" customFormat="false" ht="15" hidden="false" customHeight="false" outlineLevel="0" collapsed="false">
      <c r="A45" s="45" t="s">
        <v>1281</v>
      </c>
      <c r="B45" s="46"/>
      <c r="C45" s="14" t="s">
        <v>1282</v>
      </c>
      <c r="D45" s="46"/>
      <c r="E45" s="46"/>
      <c r="F45" s="46"/>
      <c r="G45" s="46"/>
      <c r="H45" s="46"/>
      <c r="I45" s="46"/>
    </row>
    <row r="46" customFormat="false" ht="15" hidden="false" customHeight="false" outlineLevel="0" collapsed="false">
      <c r="A46" s="45" t="s">
        <v>1283</v>
      </c>
      <c r="B46" s="46"/>
      <c r="C46" s="14" t="s">
        <v>1284</v>
      </c>
      <c r="D46" s="46"/>
      <c r="E46" s="46"/>
      <c r="F46" s="46"/>
      <c r="G46" s="46"/>
      <c r="H46" s="46"/>
      <c r="I46" s="46"/>
    </row>
    <row r="47" customFormat="false" ht="61.5" hidden="false" customHeight="true" outlineLevel="0" collapsed="false">
      <c r="A47" s="11" t="s">
        <v>642</v>
      </c>
      <c r="B47" s="12" t="s">
        <v>462</v>
      </c>
      <c r="C47" s="12" t="s">
        <v>1285</v>
      </c>
      <c r="D47" s="12"/>
      <c r="E47" s="12"/>
      <c r="F47" s="12" t="str">
        <f aca="false">IF(AND(D47&lt;&gt;"",E47&lt;&gt;""),D47-E47,"")</f>
        <v/>
      </c>
      <c r="G47" s="47" t="s">
        <v>1286</v>
      </c>
      <c r="H47" s="48" t="str">
        <f aca="false">IF(OR(D47="1",D47="2",E47="1",E47="2",D47=1,D47=2,E47=1,E47=2),IFERROR(VLOOKUP(A47,Harjoitepankki!$A:$D,4,FALSE()),""),"")</f>
        <v/>
      </c>
      <c r="I47" s="4"/>
    </row>
    <row r="48" customFormat="false" ht="15" hidden="false" customHeight="false" outlineLevel="0" collapsed="false">
      <c r="A48" s="45" t="s">
        <v>1287</v>
      </c>
      <c r="B48" s="46"/>
      <c r="C48" s="14" t="s">
        <v>1288</v>
      </c>
      <c r="D48" s="46"/>
      <c r="E48" s="46"/>
      <c r="F48" s="46"/>
      <c r="G48" s="46"/>
      <c r="H48" s="46"/>
      <c r="I48" s="46"/>
    </row>
    <row r="49" customFormat="false" ht="15" hidden="false" customHeight="false" outlineLevel="0" collapsed="false">
      <c r="A49" s="45" t="s">
        <v>1289</v>
      </c>
      <c r="B49" s="46"/>
      <c r="C49" s="14" t="s">
        <v>1290</v>
      </c>
      <c r="D49" s="46"/>
      <c r="E49" s="46"/>
      <c r="F49" s="46"/>
      <c r="G49" s="46"/>
      <c r="H49" s="46"/>
      <c r="I49" s="46"/>
    </row>
    <row r="50" customFormat="false" ht="61.5" hidden="false" customHeight="true" outlineLevel="0" collapsed="false">
      <c r="A50" s="11" t="s">
        <v>645</v>
      </c>
      <c r="B50" s="12" t="s">
        <v>462</v>
      </c>
      <c r="C50" s="12" t="s">
        <v>1291</v>
      </c>
      <c r="D50" s="12"/>
      <c r="E50" s="12"/>
      <c r="F50" s="12" t="str">
        <f aca="false">IF(AND(D50&lt;&gt;"",E50&lt;&gt;""),D50-E50,"")</f>
        <v/>
      </c>
      <c r="G50" s="47" t="s">
        <v>1292</v>
      </c>
      <c r="H50" s="48" t="str">
        <f aca="false">IF(OR(D50="1",D50="2",E50="1",E50="2",D50=1,D50=2,E50=1,E50=2),IFERROR(VLOOKUP(A50,Harjoitepankki!$A:$D,4,FALSE()),""),"")</f>
        <v/>
      </c>
      <c r="I50" s="4"/>
    </row>
    <row r="51" customFormat="false" ht="15" hidden="false" customHeight="false" outlineLevel="0" collapsed="false">
      <c r="A51" s="45" t="s">
        <v>1293</v>
      </c>
      <c r="B51" s="46"/>
      <c r="C51" s="14" t="s">
        <v>1294</v>
      </c>
      <c r="D51" s="46"/>
      <c r="E51" s="46"/>
      <c r="F51" s="46"/>
      <c r="G51" s="46"/>
      <c r="H51" s="46"/>
      <c r="I51" s="46"/>
    </row>
    <row r="52" customFormat="false" ht="15" hidden="false" customHeight="false" outlineLevel="0" collapsed="false">
      <c r="A52" s="45" t="s">
        <v>1295</v>
      </c>
      <c r="B52" s="46"/>
      <c r="C52" s="14" t="s">
        <v>1296</v>
      </c>
      <c r="D52" s="46"/>
      <c r="E52" s="46"/>
      <c r="F52" s="46"/>
      <c r="G52" s="46"/>
      <c r="H52" s="46"/>
      <c r="I52" s="46"/>
    </row>
    <row r="53" customFormat="false" ht="23.85" hidden="false" customHeight="false" outlineLevel="0" collapsed="false">
      <c r="A53" s="45" t="s">
        <v>1297</v>
      </c>
      <c r="B53" s="46"/>
      <c r="C53" s="14" t="s">
        <v>1298</v>
      </c>
      <c r="D53" s="46"/>
      <c r="E53" s="46"/>
      <c r="F53" s="46"/>
      <c r="G53" s="46"/>
      <c r="H53" s="46"/>
      <c r="I53" s="46"/>
    </row>
    <row r="55" customFormat="false" ht="22.35" hidden="false" customHeight="false" outlineLevel="0" collapsed="false">
      <c r="C55" s="28" t="s">
        <v>929</v>
      </c>
      <c r="D55" s="49" t="n">
        <f aca="false">IF(D3="",0,D3)+IF(D6="",0,D6)+IF(D9="",0,D9)+IF(D14="",0,D14)+IF(D18="",0,D18)+IF(D20="",0,D20)+IF(D23="",0,D23)+IF(D27="",0,D27)+IF(D30="",0,D30)+IF(D36="",0,D36)+IF(D40="",0,D40)+IF(D43="",0,D43)+IF(D47="",0,D47)+IF(D50="",0,D50)</f>
        <v>0</v>
      </c>
      <c r="E55" s="49" t="n">
        <f aca="false">IF(E3="",0,E3)+IF(E6="",0,E6)+IF(E9="",0,E9)+IF(E14="",0,E14)+IF(E18="",0,E18)+IF(E20="",0,E20)+IF(E23="",0,E23)+IF(E27="",0,E27)+IF(E30="",0,E30)+IF(E36="",0,E36)+IF(E40="",0,E40)+IF(E43="",0,E43)+IF(E47="",0,E47)+IF(E50="",0,E50)</f>
        <v>0</v>
      </c>
      <c r="G55" s="50" t="s">
        <v>1035</v>
      </c>
    </row>
    <row r="57" customFormat="false" ht="15" hidden="false" customHeight="true" outlineLevel="0" collapsed="false">
      <c r="A57" s="21" t="s">
        <v>931</v>
      </c>
      <c r="B57" s="21"/>
      <c r="C57" s="21"/>
      <c r="D57" s="21"/>
      <c r="E57" s="21"/>
      <c r="F57" s="21"/>
      <c r="G57" s="21"/>
      <c r="H57" s="21"/>
      <c r="I57" s="21"/>
    </row>
    <row r="58" customFormat="false" ht="30" hidden="false" customHeight="true" outlineLevel="0" collapsed="false">
      <c r="A58" s="37" t="s">
        <v>932</v>
      </c>
      <c r="B58" s="7" t="s">
        <v>933</v>
      </c>
      <c r="C58" s="7"/>
      <c r="D58" s="7"/>
      <c r="E58" s="7"/>
      <c r="F58" s="51"/>
      <c r="G58" s="51"/>
      <c r="H58" s="51"/>
      <c r="I58" s="51"/>
    </row>
    <row r="59" customFormat="false" ht="30" hidden="false" customHeight="true" outlineLevel="0" collapsed="false">
      <c r="A59" s="37" t="s">
        <v>934</v>
      </c>
      <c r="B59" s="7" t="s">
        <v>1299</v>
      </c>
      <c r="C59" s="7"/>
      <c r="D59" s="7"/>
      <c r="E59" s="7"/>
      <c r="F59" s="51"/>
      <c r="G59" s="51"/>
      <c r="H59" s="51"/>
      <c r="I59" s="51"/>
    </row>
    <row r="60" customFormat="false" ht="30" hidden="false" customHeight="true" outlineLevel="0" collapsed="false">
      <c r="A60" s="37" t="s">
        <v>936</v>
      </c>
      <c r="B60" s="7" t="s">
        <v>1300</v>
      </c>
      <c r="C60" s="7"/>
      <c r="D60" s="7"/>
      <c r="E60" s="7"/>
      <c r="F60" s="51"/>
      <c r="G60" s="51"/>
      <c r="H60" s="51"/>
      <c r="I60" s="51"/>
    </row>
    <row r="61" customFormat="false" ht="30" hidden="false" customHeight="true" outlineLevel="0" collapsed="false">
      <c r="A61" s="37" t="s">
        <v>938</v>
      </c>
      <c r="B61" s="7" t="s">
        <v>939</v>
      </c>
      <c r="C61" s="7"/>
      <c r="D61" s="7"/>
      <c r="E61" s="7"/>
      <c r="F61" s="51"/>
      <c r="G61" s="51"/>
      <c r="H61" s="51"/>
      <c r="I61" s="51"/>
    </row>
    <row r="62" customFormat="false" ht="30" hidden="false" customHeight="true" outlineLevel="0" collapsed="false">
      <c r="A62" s="37" t="s">
        <v>940</v>
      </c>
      <c r="B62" s="7" t="s">
        <v>941</v>
      </c>
      <c r="C62" s="7"/>
      <c r="D62" s="7"/>
      <c r="E62" s="7"/>
      <c r="F62" s="51"/>
      <c r="G62" s="51"/>
      <c r="H62" s="51"/>
      <c r="I62" s="51"/>
    </row>
    <row r="64" customFormat="false" ht="15" hidden="false" customHeight="true" outlineLevel="0" collapsed="false">
      <c r="A64" s="21" t="s">
        <v>942</v>
      </c>
      <c r="B64" s="21"/>
      <c r="C64" s="21"/>
      <c r="D64" s="21"/>
      <c r="E64" s="21"/>
      <c r="F64" s="21"/>
      <c r="G64" s="21"/>
      <c r="H64" s="21"/>
      <c r="I64" s="21"/>
    </row>
    <row r="65" customFormat="false" ht="25.5" hidden="false" customHeight="true" outlineLevel="0" collapsed="false">
      <c r="A65" s="23" t="s">
        <v>943</v>
      </c>
      <c r="B65" s="23"/>
      <c r="C65" s="23"/>
      <c r="D65" s="51"/>
      <c r="E65" s="51"/>
      <c r="F65" s="51"/>
      <c r="G65" s="51"/>
      <c r="H65" s="51"/>
      <c r="I65" s="51"/>
    </row>
    <row r="66" customFormat="false" ht="25.5" hidden="false" customHeight="true" outlineLevel="0" collapsed="false">
      <c r="A66" s="23" t="s">
        <v>944</v>
      </c>
      <c r="B66" s="23"/>
      <c r="C66" s="23"/>
      <c r="D66" s="51"/>
      <c r="E66" s="51"/>
      <c r="F66" s="51"/>
      <c r="G66" s="51"/>
      <c r="H66" s="51"/>
      <c r="I66" s="51"/>
    </row>
    <row r="67" customFormat="false" ht="25.5" hidden="false" customHeight="true" outlineLevel="0" collapsed="false">
      <c r="A67" s="23" t="s">
        <v>945</v>
      </c>
      <c r="B67" s="23"/>
      <c r="C67" s="23"/>
      <c r="D67" s="51"/>
      <c r="E67" s="51"/>
      <c r="F67" s="51"/>
      <c r="G67" s="51"/>
      <c r="H67" s="51"/>
      <c r="I67" s="51"/>
    </row>
    <row r="68" customFormat="false" ht="25.5" hidden="false" customHeight="true" outlineLevel="0" collapsed="false">
      <c r="A68" s="23" t="s">
        <v>946</v>
      </c>
      <c r="B68" s="23"/>
      <c r="C68" s="23"/>
      <c r="D68" s="51"/>
      <c r="E68" s="51"/>
      <c r="F68" s="51"/>
      <c r="G68" s="51"/>
      <c r="H68" s="51"/>
      <c r="I68" s="51"/>
    </row>
    <row r="69" customFormat="false" ht="25.5" hidden="false" customHeight="true" outlineLevel="0" collapsed="false">
      <c r="A69" s="23" t="s">
        <v>947</v>
      </c>
      <c r="B69" s="23"/>
      <c r="C69" s="23"/>
      <c r="D69" s="51"/>
      <c r="E69" s="51"/>
      <c r="F69" s="51"/>
      <c r="G69" s="51"/>
      <c r="H69" s="51"/>
      <c r="I69" s="51"/>
    </row>
    <row r="70" customFormat="false" ht="25.5" hidden="false" customHeight="true" outlineLevel="0" collapsed="false">
      <c r="A70" s="23" t="s">
        <v>948</v>
      </c>
      <c r="B70" s="23"/>
      <c r="C70" s="23"/>
      <c r="D70" s="51"/>
      <c r="E70" s="51"/>
      <c r="F70" s="51"/>
      <c r="G70" s="51"/>
      <c r="H70" s="51"/>
      <c r="I70" s="51"/>
    </row>
    <row r="71" customFormat="false" ht="25.5" hidden="false" customHeight="true" outlineLevel="0" collapsed="false">
      <c r="A71" s="23" t="s">
        <v>949</v>
      </c>
      <c r="B71" s="23"/>
      <c r="C71" s="23"/>
      <c r="D71" s="51"/>
      <c r="E71" s="51"/>
      <c r="F71" s="51"/>
      <c r="G71" s="51"/>
      <c r="H71" s="51"/>
      <c r="I71" s="51"/>
    </row>
  </sheetData>
  <mergeCells count="26">
    <mergeCell ref="A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2:E62"/>
    <mergeCell ref="F62:I62"/>
    <mergeCell ref="A64:I64"/>
    <mergeCell ref="A65:C65"/>
    <mergeCell ref="D65:I65"/>
    <mergeCell ref="A66:C66"/>
    <mergeCell ref="D66:I66"/>
    <mergeCell ref="A67:C67"/>
    <mergeCell ref="D67:I67"/>
    <mergeCell ref="A68:C68"/>
    <mergeCell ref="D68:I68"/>
    <mergeCell ref="A69:C69"/>
    <mergeCell ref="D69:I69"/>
    <mergeCell ref="A70:C70"/>
    <mergeCell ref="D70:I70"/>
    <mergeCell ref="A71:C71"/>
    <mergeCell ref="D71:I71"/>
  </mergeCells>
  <dataValidations count="1">
    <dataValidation allowBlank="true" errorStyle="stop" operator="between" showDropDown="false" showErrorMessage="false" showInputMessage="false" sqref="D3:E3 D6:E6 D9:E9 D14:E14 D18:E18 D20:E20 D23:E23 D27:E27 D30:E30 D36:E36 D40:E40 D43:E43 D47:E47 D50:E5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57.45" hidden="false" customHeight="false" outlineLevel="0" collapsed="false">
      <c r="A1" s="8" t="s">
        <v>1301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648</v>
      </c>
      <c r="B3" s="18" t="s">
        <v>435</v>
      </c>
      <c r="C3" s="18" t="s">
        <v>823</v>
      </c>
      <c r="D3" s="18"/>
      <c r="E3" s="18"/>
      <c r="F3" s="18" t="str">
        <f aca="false">IF(AND(D3&lt;&gt;"",E3&lt;&gt;""),D3-E3,"")</f>
        <v/>
      </c>
      <c r="G3" s="43" t="s">
        <v>1302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15" hidden="false" customHeight="false" outlineLevel="0" collapsed="false">
      <c r="A4" s="45" t="s">
        <v>1303</v>
      </c>
      <c r="B4" s="46"/>
      <c r="C4" s="14" t="s">
        <v>1304</v>
      </c>
      <c r="D4" s="46"/>
      <c r="E4" s="46"/>
      <c r="F4" s="46"/>
      <c r="G4" s="46"/>
      <c r="H4" s="46"/>
      <c r="I4" s="46"/>
    </row>
    <row r="5" customFormat="false" ht="15" hidden="false" customHeight="false" outlineLevel="0" collapsed="false">
      <c r="A5" s="45" t="s">
        <v>1305</v>
      </c>
      <c r="B5" s="46"/>
      <c r="C5" s="14" t="s">
        <v>1306</v>
      </c>
      <c r="D5" s="46"/>
      <c r="E5" s="46"/>
      <c r="F5" s="46"/>
      <c r="G5" s="46"/>
      <c r="H5" s="46"/>
      <c r="I5" s="46"/>
    </row>
    <row r="6" customFormat="false" ht="61.5" hidden="false" customHeight="true" outlineLevel="0" collapsed="false">
      <c r="A6" s="17" t="s">
        <v>651</v>
      </c>
      <c r="B6" s="18" t="s">
        <v>435</v>
      </c>
      <c r="C6" s="18" t="s">
        <v>833</v>
      </c>
      <c r="D6" s="18"/>
      <c r="E6" s="18"/>
      <c r="F6" s="18" t="str">
        <f aca="false">IF(AND(D6&lt;&gt;"",E6&lt;&gt;""),D6-E6,"")</f>
        <v/>
      </c>
      <c r="G6" s="43" t="s">
        <v>1307</v>
      </c>
      <c r="H6" s="44" t="str">
        <f aca="false">IF(OR(D6="1",D6="2",E6="1",E6="2",D6=1,D6=2,E6=1,E6=2),IFERROR(VLOOKUP(A6,Harjoitepankki!$A:$D,4,FALSE()),""),"")</f>
        <v/>
      </c>
      <c r="I6" s="19"/>
    </row>
    <row r="7" customFormat="false" ht="15" hidden="false" customHeight="false" outlineLevel="0" collapsed="false">
      <c r="A7" s="45" t="s">
        <v>1308</v>
      </c>
      <c r="B7" s="46"/>
      <c r="C7" s="14" t="s">
        <v>1309</v>
      </c>
      <c r="D7" s="46"/>
      <c r="E7" s="46"/>
      <c r="F7" s="46"/>
      <c r="G7" s="46"/>
      <c r="H7" s="46"/>
      <c r="I7" s="46"/>
    </row>
    <row r="8" customFormat="false" ht="15" hidden="false" customHeight="false" outlineLevel="0" collapsed="false">
      <c r="A8" s="45" t="s">
        <v>1310</v>
      </c>
      <c r="B8" s="46"/>
      <c r="C8" s="14" t="s">
        <v>1311</v>
      </c>
      <c r="D8" s="46"/>
      <c r="E8" s="46"/>
      <c r="F8" s="46"/>
      <c r="G8" s="46"/>
      <c r="H8" s="46"/>
      <c r="I8" s="46"/>
    </row>
    <row r="9" customFormat="false" ht="61.5" hidden="false" customHeight="true" outlineLevel="0" collapsed="false">
      <c r="A9" s="17" t="s">
        <v>654</v>
      </c>
      <c r="B9" s="18" t="s">
        <v>435</v>
      </c>
      <c r="C9" s="18" t="s">
        <v>843</v>
      </c>
      <c r="D9" s="18"/>
      <c r="E9" s="18"/>
      <c r="F9" s="18" t="str">
        <f aca="false">IF(AND(D9&lt;&gt;"",E9&lt;&gt;""),D9-E9,"")</f>
        <v/>
      </c>
      <c r="G9" s="43" t="s">
        <v>1312</v>
      </c>
      <c r="H9" s="44" t="str">
        <f aca="false">IF(OR(D9="1",D9="2",E9="1",E9="2",D9=1,D9=2,E9=1,E9=2),IFERROR(VLOOKUP(A9,Harjoitepankki!$A:$D,4,FALSE()),""),"")</f>
        <v/>
      </c>
      <c r="I9" s="19"/>
    </row>
    <row r="10" customFormat="false" ht="15" hidden="false" customHeight="false" outlineLevel="0" collapsed="false">
      <c r="A10" s="45" t="s">
        <v>1313</v>
      </c>
      <c r="B10" s="46"/>
      <c r="C10" s="14" t="s">
        <v>1314</v>
      </c>
      <c r="D10" s="46"/>
      <c r="E10" s="46"/>
      <c r="F10" s="46"/>
      <c r="G10" s="46"/>
      <c r="H10" s="46"/>
      <c r="I10" s="46"/>
    </row>
    <row r="11" customFormat="false" ht="15" hidden="false" customHeight="false" outlineLevel="0" collapsed="false">
      <c r="A11" s="45" t="s">
        <v>1315</v>
      </c>
      <c r="B11" s="46"/>
      <c r="C11" s="14" t="s">
        <v>1316</v>
      </c>
      <c r="D11" s="46"/>
      <c r="E11" s="46"/>
      <c r="F11" s="46"/>
      <c r="G11" s="46"/>
      <c r="H11" s="46"/>
      <c r="I11" s="46"/>
    </row>
    <row r="12" customFormat="false" ht="15" hidden="false" customHeight="false" outlineLevel="0" collapsed="false">
      <c r="A12" s="45" t="s">
        <v>1317</v>
      </c>
      <c r="B12" s="46"/>
      <c r="C12" s="14" t="s">
        <v>1318</v>
      </c>
      <c r="D12" s="46"/>
      <c r="E12" s="46"/>
      <c r="F12" s="46"/>
      <c r="G12" s="46"/>
      <c r="H12" s="46"/>
      <c r="I12" s="46"/>
    </row>
    <row r="13" customFormat="false" ht="23.85" hidden="false" customHeight="false" outlineLevel="0" collapsed="false">
      <c r="A13" s="45" t="s">
        <v>1319</v>
      </c>
      <c r="B13" s="46"/>
      <c r="C13" s="14" t="s">
        <v>1320</v>
      </c>
      <c r="D13" s="46"/>
      <c r="E13" s="46"/>
      <c r="F13" s="46"/>
      <c r="G13" s="46"/>
      <c r="H13" s="46"/>
      <c r="I13" s="46"/>
    </row>
    <row r="14" customFormat="false" ht="61.5" hidden="false" customHeight="true" outlineLevel="0" collapsed="false">
      <c r="A14" s="17" t="s">
        <v>656</v>
      </c>
      <c r="B14" s="18" t="s">
        <v>435</v>
      </c>
      <c r="C14" s="18" t="s">
        <v>855</v>
      </c>
      <c r="D14" s="18"/>
      <c r="E14" s="18"/>
      <c r="F14" s="18" t="str">
        <f aca="false">IF(AND(D14&lt;&gt;"",E14&lt;&gt;""),D14-E14,"")</f>
        <v/>
      </c>
      <c r="G14" s="43" t="s">
        <v>1321</v>
      </c>
      <c r="H14" s="44" t="str">
        <f aca="false">IF(OR(D14="1",D14="2",E14="1",E14="2",D14=1,D14=2,E14=1,E14=2),IFERROR(VLOOKUP(A14,Harjoitepankki!$A:$D,4,FALSE()),""),"")</f>
        <v/>
      </c>
      <c r="I14" s="19"/>
    </row>
    <row r="15" customFormat="false" ht="15" hidden="false" customHeight="false" outlineLevel="0" collapsed="false">
      <c r="A15" s="45" t="s">
        <v>1322</v>
      </c>
      <c r="B15" s="46"/>
      <c r="C15" s="14" t="s">
        <v>1323</v>
      </c>
      <c r="D15" s="46"/>
      <c r="E15" s="46"/>
      <c r="F15" s="46"/>
      <c r="G15" s="46"/>
      <c r="H15" s="46"/>
      <c r="I15" s="46"/>
    </row>
    <row r="16" customFormat="false" ht="23.85" hidden="false" customHeight="false" outlineLevel="0" collapsed="false">
      <c r="A16" s="45" t="s">
        <v>1324</v>
      </c>
      <c r="B16" s="46"/>
      <c r="C16" s="14" t="s">
        <v>1325</v>
      </c>
      <c r="D16" s="46"/>
      <c r="E16" s="46"/>
      <c r="F16" s="46"/>
      <c r="G16" s="46"/>
      <c r="H16" s="46"/>
      <c r="I16" s="46"/>
    </row>
    <row r="17" customFormat="false" ht="61.5" hidden="false" customHeight="true" outlineLevel="0" collapsed="false">
      <c r="A17" s="17" t="s">
        <v>658</v>
      </c>
      <c r="B17" s="18" t="s">
        <v>446</v>
      </c>
      <c r="C17" s="18" t="s">
        <v>1149</v>
      </c>
      <c r="D17" s="18"/>
      <c r="E17" s="18"/>
      <c r="F17" s="18" t="str">
        <f aca="false">IF(AND(D17&lt;&gt;"",E17&lt;&gt;""),D17-E17,"")</f>
        <v/>
      </c>
      <c r="G17" s="43" t="s">
        <v>1326</v>
      </c>
      <c r="H17" s="44" t="str">
        <f aca="false">IF(OR(D17="1",D17="2",E17="1",E17="2",D17=1,D17=2,E17=1,E17=2),IFERROR(VLOOKUP(A17,Harjoitepankki!$A:$D,4,FALSE()),""),"")</f>
        <v/>
      </c>
      <c r="I17" s="19"/>
    </row>
    <row r="18" customFormat="false" ht="23.85" hidden="false" customHeight="false" outlineLevel="0" collapsed="false">
      <c r="A18" s="45" t="s">
        <v>1327</v>
      </c>
      <c r="B18" s="46"/>
      <c r="C18" s="14" t="s">
        <v>1328</v>
      </c>
      <c r="D18" s="46"/>
      <c r="E18" s="46"/>
      <c r="F18" s="46"/>
      <c r="G18" s="46"/>
      <c r="H18" s="46"/>
      <c r="I18" s="46"/>
    </row>
    <row r="19" customFormat="false" ht="15" hidden="false" customHeight="false" outlineLevel="0" collapsed="false">
      <c r="A19" s="45" t="s">
        <v>1329</v>
      </c>
      <c r="B19" s="46"/>
      <c r="C19" s="14" t="s">
        <v>1330</v>
      </c>
      <c r="D19" s="46"/>
      <c r="E19" s="46"/>
      <c r="F19" s="46"/>
      <c r="G19" s="46"/>
      <c r="H19" s="46"/>
      <c r="I19" s="46"/>
    </row>
    <row r="20" customFormat="false" ht="61.5" hidden="false" customHeight="true" outlineLevel="0" collapsed="false">
      <c r="A20" s="17" t="s">
        <v>661</v>
      </c>
      <c r="B20" s="18" t="s">
        <v>454</v>
      </c>
      <c r="C20" s="18" t="s">
        <v>1155</v>
      </c>
      <c r="D20" s="18"/>
      <c r="E20" s="18"/>
      <c r="F20" s="18" t="str">
        <f aca="false">IF(AND(D20&lt;&gt;"",E20&lt;&gt;""),D20-E20,"")</f>
        <v/>
      </c>
      <c r="G20" s="43" t="s">
        <v>1331</v>
      </c>
      <c r="H20" s="44" t="str">
        <f aca="false">IF(OR(D20="1",D20="2",E20="1",E20="2",D20=1,D20=2,E20=1,E20=2),IFERROR(VLOOKUP(A20,Harjoitepankki!$A:$D,4,FALSE()),""),"")</f>
        <v/>
      </c>
      <c r="I20" s="19"/>
    </row>
    <row r="21" customFormat="false" ht="15" hidden="false" customHeight="false" outlineLevel="0" collapsed="false">
      <c r="A21" s="45" t="s">
        <v>1332</v>
      </c>
      <c r="B21" s="46"/>
      <c r="C21" s="14" t="s">
        <v>1236</v>
      </c>
      <c r="D21" s="46"/>
      <c r="E21" s="46"/>
      <c r="F21" s="46"/>
      <c r="G21" s="46"/>
      <c r="H21" s="46"/>
      <c r="I21" s="46"/>
    </row>
    <row r="22" customFormat="false" ht="15" hidden="false" customHeight="false" outlineLevel="0" collapsed="false">
      <c r="A22" s="45" t="s">
        <v>1333</v>
      </c>
      <c r="B22" s="46"/>
      <c r="C22" s="14" t="s">
        <v>1238</v>
      </c>
      <c r="D22" s="46"/>
      <c r="E22" s="46"/>
      <c r="F22" s="46"/>
      <c r="G22" s="46"/>
      <c r="H22" s="46"/>
      <c r="I22" s="46"/>
    </row>
    <row r="23" customFormat="false" ht="61.5" hidden="false" customHeight="true" outlineLevel="0" collapsed="false">
      <c r="A23" s="11" t="s">
        <v>663</v>
      </c>
      <c r="B23" s="12" t="s">
        <v>462</v>
      </c>
      <c r="C23" s="12" t="s">
        <v>893</v>
      </c>
      <c r="D23" s="12"/>
      <c r="E23" s="12"/>
      <c r="F23" s="12" t="str">
        <f aca="false">IF(AND(D23&lt;&gt;"",E23&lt;&gt;""),D23-E23,"")</f>
        <v/>
      </c>
      <c r="G23" s="47" t="s">
        <v>1334</v>
      </c>
      <c r="H23" s="48" t="str">
        <f aca="false">IF(OR(D23="1",D23="2",E23="1",E23="2",D23=1,D23=2,E23=1,E23=2),IFERROR(VLOOKUP(A23,Harjoitepankki!$A:$D,4,FALSE()),""),"")</f>
        <v/>
      </c>
      <c r="I23" s="4"/>
    </row>
    <row r="24" customFormat="false" ht="15" hidden="false" customHeight="false" outlineLevel="0" collapsed="false">
      <c r="A24" s="45" t="s">
        <v>1335</v>
      </c>
      <c r="B24" s="46"/>
      <c r="C24" s="14" t="s">
        <v>1336</v>
      </c>
      <c r="D24" s="46"/>
      <c r="E24" s="46"/>
      <c r="F24" s="46"/>
      <c r="G24" s="46"/>
      <c r="H24" s="46"/>
      <c r="I24" s="46"/>
    </row>
    <row r="25" customFormat="false" ht="23.85" hidden="false" customHeight="false" outlineLevel="0" collapsed="false">
      <c r="A25" s="45" t="s">
        <v>1337</v>
      </c>
      <c r="B25" s="46"/>
      <c r="C25" s="14" t="s">
        <v>1338</v>
      </c>
      <c r="D25" s="46"/>
      <c r="E25" s="46"/>
      <c r="F25" s="46"/>
      <c r="G25" s="46"/>
      <c r="H25" s="46"/>
      <c r="I25" s="46"/>
    </row>
    <row r="26" customFormat="false" ht="23.85" hidden="false" customHeight="false" outlineLevel="0" collapsed="false">
      <c r="A26" s="45" t="s">
        <v>1339</v>
      </c>
      <c r="B26" s="46"/>
      <c r="C26" s="14" t="s">
        <v>1244</v>
      </c>
      <c r="D26" s="46"/>
      <c r="E26" s="46"/>
      <c r="F26" s="46"/>
      <c r="G26" s="46"/>
      <c r="H26" s="46"/>
      <c r="I26" s="46"/>
    </row>
    <row r="27" customFormat="false" ht="61.5" hidden="false" customHeight="true" outlineLevel="0" collapsed="false">
      <c r="A27" s="11" t="s">
        <v>665</v>
      </c>
      <c r="B27" s="12" t="s">
        <v>462</v>
      </c>
      <c r="C27" s="12" t="s">
        <v>1340</v>
      </c>
      <c r="D27" s="12"/>
      <c r="E27" s="12"/>
      <c r="F27" s="12" t="str">
        <f aca="false">IF(AND(D27&lt;&gt;"",E27&lt;&gt;""),D27-E27,"")</f>
        <v/>
      </c>
      <c r="G27" s="47" t="s">
        <v>1341</v>
      </c>
      <c r="H27" s="48" t="str">
        <f aca="false">IF(OR(D27="1",D27="2",E27="1",E27="2",D27=1,D27=2,E27=1,E27=2),IFERROR(VLOOKUP(A27,Harjoitepankki!$A:$D,4,FALSE()),""),"")</f>
        <v/>
      </c>
      <c r="I27" s="4"/>
    </row>
    <row r="28" customFormat="false" ht="15" hidden="false" customHeight="false" outlineLevel="0" collapsed="false">
      <c r="A28" s="45" t="s">
        <v>1342</v>
      </c>
      <c r="B28" s="46"/>
      <c r="C28" s="14" t="s">
        <v>1343</v>
      </c>
      <c r="D28" s="46"/>
      <c r="E28" s="46"/>
      <c r="F28" s="46"/>
      <c r="G28" s="46"/>
      <c r="H28" s="46"/>
      <c r="I28" s="46"/>
    </row>
    <row r="29" customFormat="false" ht="23.85" hidden="false" customHeight="false" outlineLevel="0" collapsed="false">
      <c r="A29" s="45" t="s">
        <v>1344</v>
      </c>
      <c r="B29" s="46"/>
      <c r="C29" s="14" t="s">
        <v>1345</v>
      </c>
      <c r="D29" s="46"/>
      <c r="E29" s="46"/>
      <c r="F29" s="46"/>
      <c r="G29" s="46"/>
      <c r="H29" s="46"/>
      <c r="I29" s="46"/>
    </row>
    <row r="30" customFormat="false" ht="15" hidden="false" customHeight="false" outlineLevel="0" collapsed="false">
      <c r="A30" s="45" t="s">
        <v>1346</v>
      </c>
      <c r="B30" s="46"/>
      <c r="C30" s="14" t="s">
        <v>1347</v>
      </c>
      <c r="D30" s="46"/>
      <c r="E30" s="46"/>
      <c r="F30" s="46"/>
      <c r="G30" s="46"/>
      <c r="H30" s="46"/>
      <c r="I30" s="46"/>
    </row>
    <row r="31" customFormat="false" ht="61.5" hidden="false" customHeight="true" outlineLevel="0" collapsed="false">
      <c r="A31" s="11" t="s">
        <v>667</v>
      </c>
      <c r="B31" s="12" t="s">
        <v>462</v>
      </c>
      <c r="C31" s="12" t="s">
        <v>1251</v>
      </c>
      <c r="D31" s="12"/>
      <c r="E31" s="12"/>
      <c r="F31" s="12" t="str">
        <f aca="false">IF(AND(D31&lt;&gt;"",E31&lt;&gt;""),D31-E31,"")</f>
        <v/>
      </c>
      <c r="G31" s="47" t="s">
        <v>1348</v>
      </c>
      <c r="H31" s="48" t="str">
        <f aca="false">IF(OR(D31="1",D31="2",E31="1",E31="2",D31=1,D31=2,E31=1,E31=2),IFERROR(VLOOKUP(A31,Harjoitepankki!$A:$D,4,FALSE()),""),"")</f>
        <v/>
      </c>
      <c r="I31" s="4"/>
    </row>
    <row r="32" customFormat="false" ht="15" hidden="false" customHeight="false" outlineLevel="0" collapsed="false">
      <c r="A32" s="45" t="s">
        <v>1349</v>
      </c>
      <c r="B32" s="46"/>
      <c r="C32" s="14" t="s">
        <v>1350</v>
      </c>
      <c r="D32" s="46"/>
      <c r="E32" s="46"/>
      <c r="F32" s="46"/>
      <c r="G32" s="46"/>
      <c r="H32" s="46"/>
      <c r="I32" s="46"/>
    </row>
    <row r="33" customFormat="false" ht="15" hidden="false" customHeight="false" outlineLevel="0" collapsed="false">
      <c r="A33" s="45" t="s">
        <v>1351</v>
      </c>
      <c r="B33" s="46"/>
      <c r="C33" s="14" t="s">
        <v>1352</v>
      </c>
      <c r="D33" s="46"/>
      <c r="E33" s="46"/>
      <c r="F33" s="46"/>
      <c r="G33" s="46"/>
      <c r="H33" s="46"/>
      <c r="I33" s="46"/>
    </row>
    <row r="34" customFormat="false" ht="15" hidden="false" customHeight="false" outlineLevel="0" collapsed="false">
      <c r="A34" s="45" t="s">
        <v>1353</v>
      </c>
      <c r="B34" s="46"/>
      <c r="C34" s="14" t="s">
        <v>1354</v>
      </c>
      <c r="D34" s="46"/>
      <c r="E34" s="46"/>
      <c r="F34" s="46"/>
      <c r="G34" s="46"/>
      <c r="H34" s="46"/>
      <c r="I34" s="46"/>
    </row>
    <row r="35" customFormat="false" ht="15" hidden="false" customHeight="false" outlineLevel="0" collapsed="false">
      <c r="A35" s="45" t="s">
        <v>1355</v>
      </c>
      <c r="B35" s="46"/>
      <c r="C35" s="14" t="s">
        <v>1356</v>
      </c>
      <c r="D35" s="46"/>
      <c r="E35" s="46"/>
      <c r="F35" s="46"/>
      <c r="G35" s="46"/>
      <c r="H35" s="46"/>
      <c r="I35" s="46"/>
    </row>
    <row r="36" customFormat="false" ht="15" hidden="false" customHeight="false" outlineLevel="0" collapsed="false">
      <c r="A36" s="45" t="s">
        <v>1357</v>
      </c>
      <c r="B36" s="46"/>
      <c r="C36" s="14" t="s">
        <v>1358</v>
      </c>
      <c r="D36" s="46"/>
      <c r="E36" s="46"/>
      <c r="F36" s="46"/>
      <c r="G36" s="46"/>
      <c r="H36" s="46"/>
      <c r="I36" s="46"/>
    </row>
    <row r="37" customFormat="false" ht="61.5" hidden="false" customHeight="true" outlineLevel="0" collapsed="false">
      <c r="A37" s="11" t="s">
        <v>669</v>
      </c>
      <c r="B37" s="12" t="s">
        <v>462</v>
      </c>
      <c r="C37" s="12" t="s">
        <v>1263</v>
      </c>
      <c r="D37" s="12"/>
      <c r="E37" s="12"/>
      <c r="F37" s="12" t="str">
        <f aca="false">IF(AND(D37&lt;&gt;"",E37&lt;&gt;""),D37-E37,"")</f>
        <v/>
      </c>
      <c r="G37" s="47" t="s">
        <v>1359</v>
      </c>
      <c r="H37" s="48" t="str">
        <f aca="false">IF(OR(D37="1",D37="2",E37="1",E37="2",D37=1,D37=2,E37=1,E37=2),IFERROR(VLOOKUP(A37,Harjoitepankki!$A:$D,4,FALSE()),""),"")</f>
        <v/>
      </c>
      <c r="I37" s="4"/>
    </row>
    <row r="38" customFormat="false" ht="15" hidden="false" customHeight="false" outlineLevel="0" collapsed="false">
      <c r="A38" s="45" t="s">
        <v>1360</v>
      </c>
      <c r="B38" s="46"/>
      <c r="C38" s="14" t="s">
        <v>1361</v>
      </c>
      <c r="D38" s="46"/>
      <c r="E38" s="46"/>
      <c r="F38" s="46"/>
      <c r="G38" s="46"/>
      <c r="H38" s="46"/>
      <c r="I38" s="46"/>
    </row>
    <row r="39" customFormat="false" ht="15" hidden="false" customHeight="false" outlineLevel="0" collapsed="false">
      <c r="A39" s="45" t="s">
        <v>1362</v>
      </c>
      <c r="B39" s="46"/>
      <c r="C39" s="14" t="s">
        <v>1363</v>
      </c>
      <c r="D39" s="46"/>
      <c r="E39" s="46"/>
      <c r="F39" s="46"/>
      <c r="G39" s="46"/>
      <c r="H39" s="46"/>
      <c r="I39" s="46"/>
    </row>
    <row r="40" customFormat="false" ht="61.5" hidden="false" customHeight="true" outlineLevel="0" collapsed="false">
      <c r="A40" s="11" t="s">
        <v>671</v>
      </c>
      <c r="B40" s="12" t="s">
        <v>462</v>
      </c>
      <c r="C40" s="12" t="s">
        <v>1271</v>
      </c>
      <c r="D40" s="12"/>
      <c r="E40" s="12"/>
      <c r="F40" s="12" t="str">
        <f aca="false">IF(AND(D40&lt;&gt;"",E40&lt;&gt;""),D40-E40,"")</f>
        <v/>
      </c>
      <c r="G40" s="47" t="s">
        <v>1364</v>
      </c>
      <c r="H40" s="48" t="str">
        <f aca="false">IF(OR(D40="1",D40="2",E40="1",E40="2",D40=1,D40=2,E40=1,E40=2),IFERROR(VLOOKUP(A40,Harjoitepankki!$A:$D,4,FALSE()),""),"")</f>
        <v/>
      </c>
      <c r="I40" s="4"/>
    </row>
    <row r="41" customFormat="false" ht="15" hidden="false" customHeight="false" outlineLevel="0" collapsed="false">
      <c r="A41" s="45" t="s">
        <v>1365</v>
      </c>
      <c r="B41" s="46"/>
      <c r="C41" s="14" t="s">
        <v>1366</v>
      </c>
      <c r="D41" s="46"/>
      <c r="E41" s="46"/>
      <c r="F41" s="46"/>
      <c r="G41" s="46"/>
      <c r="H41" s="46"/>
      <c r="I41" s="46"/>
    </row>
    <row r="42" customFormat="false" ht="23.85" hidden="false" customHeight="false" outlineLevel="0" collapsed="false">
      <c r="A42" s="45" t="s">
        <v>1367</v>
      </c>
      <c r="B42" s="46"/>
      <c r="C42" s="14" t="s">
        <v>1368</v>
      </c>
      <c r="D42" s="46"/>
      <c r="E42" s="46"/>
      <c r="F42" s="46"/>
      <c r="G42" s="46"/>
      <c r="H42" s="46"/>
      <c r="I42" s="46"/>
    </row>
    <row r="43" customFormat="false" ht="61.5" hidden="false" customHeight="true" outlineLevel="0" collapsed="false">
      <c r="A43" s="11" t="s">
        <v>673</v>
      </c>
      <c r="B43" s="12" t="s">
        <v>462</v>
      </c>
      <c r="C43" s="12" t="s">
        <v>1277</v>
      </c>
      <c r="D43" s="12"/>
      <c r="E43" s="12"/>
      <c r="F43" s="12" t="str">
        <f aca="false">IF(AND(D43&lt;&gt;"",E43&lt;&gt;""),D43-E43,"")</f>
        <v/>
      </c>
      <c r="G43" s="47" t="s">
        <v>1369</v>
      </c>
      <c r="H43" s="48" t="str">
        <f aca="false">IF(OR(D43="1",D43="2",E43="1",E43="2",D43=1,D43=2,E43=1,E43=2),IFERROR(VLOOKUP(A43,Harjoitepankki!$A:$D,4,FALSE()),""),"")</f>
        <v/>
      </c>
      <c r="I43" s="4"/>
    </row>
    <row r="44" customFormat="false" ht="15" hidden="false" customHeight="false" outlineLevel="0" collapsed="false">
      <c r="A44" s="45" t="s">
        <v>1370</v>
      </c>
      <c r="B44" s="46"/>
      <c r="C44" s="14" t="s">
        <v>1280</v>
      </c>
      <c r="D44" s="46"/>
      <c r="E44" s="46"/>
      <c r="F44" s="46"/>
      <c r="G44" s="46"/>
      <c r="H44" s="46"/>
      <c r="I44" s="46"/>
    </row>
    <row r="45" customFormat="false" ht="15" hidden="false" customHeight="false" outlineLevel="0" collapsed="false">
      <c r="A45" s="45" t="s">
        <v>1371</v>
      </c>
      <c r="B45" s="46"/>
      <c r="C45" s="14" t="s">
        <v>1282</v>
      </c>
      <c r="D45" s="46"/>
      <c r="E45" s="46"/>
      <c r="F45" s="46"/>
      <c r="G45" s="46"/>
      <c r="H45" s="46"/>
      <c r="I45" s="46"/>
    </row>
    <row r="46" customFormat="false" ht="15" hidden="false" customHeight="false" outlineLevel="0" collapsed="false">
      <c r="A46" s="45" t="s">
        <v>1372</v>
      </c>
      <c r="B46" s="46"/>
      <c r="C46" s="14" t="s">
        <v>1284</v>
      </c>
      <c r="D46" s="46"/>
      <c r="E46" s="46"/>
      <c r="F46" s="46"/>
      <c r="G46" s="46"/>
      <c r="H46" s="46"/>
      <c r="I46" s="46"/>
    </row>
    <row r="47" customFormat="false" ht="61.5" hidden="false" customHeight="true" outlineLevel="0" collapsed="false">
      <c r="A47" s="11" t="s">
        <v>675</v>
      </c>
      <c r="B47" s="12" t="s">
        <v>462</v>
      </c>
      <c r="C47" s="12" t="s">
        <v>1285</v>
      </c>
      <c r="D47" s="12"/>
      <c r="E47" s="12"/>
      <c r="F47" s="12" t="str">
        <f aca="false">IF(AND(D47&lt;&gt;"",E47&lt;&gt;""),D47-E47,"")</f>
        <v/>
      </c>
      <c r="G47" s="47" t="s">
        <v>1373</v>
      </c>
      <c r="H47" s="48" t="str">
        <f aca="false">IF(OR(D47="1",D47="2",E47="1",E47="2",D47=1,D47=2,E47=1,E47=2),IFERROR(VLOOKUP(A47,Harjoitepankki!$A:$D,4,FALSE()),""),"")</f>
        <v/>
      </c>
      <c r="I47" s="4"/>
    </row>
    <row r="48" customFormat="false" ht="15" hidden="false" customHeight="false" outlineLevel="0" collapsed="false">
      <c r="A48" s="45" t="s">
        <v>1374</v>
      </c>
      <c r="B48" s="46"/>
      <c r="C48" s="14" t="s">
        <v>1375</v>
      </c>
      <c r="D48" s="46"/>
      <c r="E48" s="46"/>
      <c r="F48" s="46"/>
      <c r="G48" s="46"/>
      <c r="H48" s="46"/>
      <c r="I48" s="46"/>
    </row>
    <row r="49" customFormat="false" ht="15" hidden="false" customHeight="false" outlineLevel="0" collapsed="false">
      <c r="A49" s="45" t="s">
        <v>1376</v>
      </c>
      <c r="B49" s="46"/>
      <c r="C49" s="14" t="s">
        <v>1377</v>
      </c>
      <c r="D49" s="46"/>
      <c r="E49" s="46"/>
      <c r="F49" s="46"/>
      <c r="G49" s="46"/>
      <c r="H49" s="46"/>
      <c r="I49" s="46"/>
    </row>
    <row r="50" customFormat="false" ht="23.85" hidden="false" customHeight="false" outlineLevel="0" collapsed="false">
      <c r="A50" s="45" t="s">
        <v>1378</v>
      </c>
      <c r="B50" s="46"/>
      <c r="C50" s="14" t="s">
        <v>1379</v>
      </c>
      <c r="D50" s="46"/>
      <c r="E50" s="46"/>
      <c r="F50" s="46"/>
      <c r="G50" s="46"/>
      <c r="H50" s="46"/>
      <c r="I50" s="46"/>
    </row>
    <row r="51" customFormat="false" ht="23.85" hidden="false" customHeight="false" outlineLevel="0" collapsed="false">
      <c r="A51" s="45" t="s">
        <v>1380</v>
      </c>
      <c r="B51" s="46"/>
      <c r="C51" s="14" t="s">
        <v>1381</v>
      </c>
      <c r="D51" s="46"/>
      <c r="E51" s="46"/>
      <c r="F51" s="46"/>
      <c r="G51" s="46"/>
      <c r="H51" s="46"/>
      <c r="I51" s="46"/>
    </row>
    <row r="52" customFormat="false" ht="61.5" hidden="false" customHeight="true" outlineLevel="0" collapsed="false">
      <c r="A52" s="11" t="s">
        <v>678</v>
      </c>
      <c r="B52" s="12" t="s">
        <v>462</v>
      </c>
      <c r="C52" s="12" t="s">
        <v>1291</v>
      </c>
      <c r="D52" s="12"/>
      <c r="E52" s="12"/>
      <c r="F52" s="12" t="str">
        <f aca="false">IF(AND(D52&lt;&gt;"",E52&lt;&gt;""),D52-E52,"")</f>
        <v/>
      </c>
      <c r="G52" s="47" t="s">
        <v>1382</v>
      </c>
      <c r="H52" s="48" t="str">
        <f aca="false">IF(OR(D52="1",D52="2",E52="1",E52="2",D52=1,D52=2,E52=1,E52=2),IFERROR(VLOOKUP(A52,Harjoitepankki!$A:$D,4,FALSE()),""),"")</f>
        <v/>
      </c>
      <c r="I52" s="4"/>
    </row>
    <row r="53" customFormat="false" ht="15" hidden="false" customHeight="false" outlineLevel="0" collapsed="false">
      <c r="A53" s="45" t="s">
        <v>1383</v>
      </c>
      <c r="B53" s="46"/>
      <c r="C53" s="14" t="s">
        <v>1294</v>
      </c>
      <c r="D53" s="46"/>
      <c r="E53" s="46"/>
      <c r="F53" s="46"/>
      <c r="G53" s="46"/>
      <c r="H53" s="46"/>
      <c r="I53" s="46"/>
    </row>
    <row r="54" customFormat="false" ht="15" hidden="false" customHeight="false" outlineLevel="0" collapsed="false">
      <c r="A54" s="45" t="s">
        <v>1384</v>
      </c>
      <c r="B54" s="46"/>
      <c r="C54" s="14" t="s">
        <v>1296</v>
      </c>
      <c r="D54" s="46"/>
      <c r="E54" s="46"/>
      <c r="F54" s="46"/>
      <c r="G54" s="46"/>
      <c r="H54" s="46"/>
      <c r="I54" s="46"/>
    </row>
    <row r="55" customFormat="false" ht="23.85" hidden="false" customHeight="false" outlineLevel="0" collapsed="false">
      <c r="A55" s="45" t="s">
        <v>1385</v>
      </c>
      <c r="B55" s="46"/>
      <c r="C55" s="14" t="s">
        <v>1298</v>
      </c>
      <c r="D55" s="46"/>
      <c r="E55" s="46"/>
      <c r="F55" s="46"/>
      <c r="G55" s="46"/>
      <c r="H55" s="46"/>
      <c r="I55" s="46"/>
    </row>
    <row r="57" customFormat="false" ht="22.35" hidden="false" customHeight="false" outlineLevel="0" collapsed="false">
      <c r="C57" s="28" t="s">
        <v>929</v>
      </c>
      <c r="D57" s="49" t="n">
        <f aca="false">IF(D3="",0,D3)+IF(D6="",0,D6)+IF(D9="",0,D9)+IF(D14="",0,D14)+IF(D17="",0,D17)+IF(D20="",0,D20)+IF(D23="",0,D23)+IF(D27="",0,D27)+IF(D31="",0,D31)+IF(D37="",0,D37)+IF(D40="",0,D40)+IF(D43="",0,D43)+IF(D47="",0,D47)+IF(D52="",0,D52)</f>
        <v>0</v>
      </c>
      <c r="E57" s="49" t="n">
        <f aca="false">IF(E3="",0,E3)+IF(E6="",0,E6)+IF(E9="",0,E9)+IF(E14="",0,E14)+IF(E17="",0,E17)+IF(E20="",0,E20)+IF(E23="",0,E23)+IF(E27="",0,E27)+IF(E31="",0,E31)+IF(E37="",0,E37)+IF(E40="",0,E40)+IF(E43="",0,E43)+IF(E47="",0,E47)+IF(E52="",0,E52)</f>
        <v>0</v>
      </c>
      <c r="G57" s="50" t="s">
        <v>1035</v>
      </c>
    </row>
    <row r="59" customFormat="false" ht="15" hidden="false" customHeight="true" outlineLevel="0" collapsed="false">
      <c r="A59" s="21" t="s">
        <v>931</v>
      </c>
      <c r="B59" s="21"/>
      <c r="C59" s="21"/>
      <c r="D59" s="21"/>
      <c r="E59" s="21"/>
      <c r="F59" s="21"/>
      <c r="G59" s="21"/>
      <c r="H59" s="21"/>
      <c r="I59" s="21"/>
    </row>
    <row r="60" customFormat="false" ht="30" hidden="false" customHeight="true" outlineLevel="0" collapsed="false">
      <c r="A60" s="37" t="s">
        <v>932</v>
      </c>
      <c r="B60" s="7" t="s">
        <v>933</v>
      </c>
      <c r="C60" s="7"/>
      <c r="D60" s="7"/>
      <c r="E60" s="7"/>
      <c r="F60" s="51"/>
      <c r="G60" s="51"/>
      <c r="H60" s="51"/>
      <c r="I60" s="51"/>
    </row>
    <row r="61" customFormat="false" ht="30" hidden="false" customHeight="true" outlineLevel="0" collapsed="false">
      <c r="A61" s="37" t="s">
        <v>934</v>
      </c>
      <c r="B61" s="7" t="s">
        <v>1386</v>
      </c>
      <c r="C61" s="7"/>
      <c r="D61" s="7"/>
      <c r="E61" s="7"/>
      <c r="F61" s="51"/>
      <c r="G61" s="51"/>
      <c r="H61" s="51"/>
      <c r="I61" s="51"/>
    </row>
    <row r="62" customFormat="false" ht="30" hidden="false" customHeight="true" outlineLevel="0" collapsed="false">
      <c r="A62" s="37" t="s">
        <v>936</v>
      </c>
      <c r="B62" s="7" t="s">
        <v>1387</v>
      </c>
      <c r="C62" s="7"/>
      <c r="D62" s="7"/>
      <c r="E62" s="7"/>
      <c r="F62" s="51"/>
      <c r="G62" s="51"/>
      <c r="H62" s="51"/>
      <c r="I62" s="51"/>
    </row>
    <row r="63" customFormat="false" ht="30" hidden="false" customHeight="true" outlineLevel="0" collapsed="false">
      <c r="A63" s="37" t="s">
        <v>938</v>
      </c>
      <c r="B63" s="7" t="s">
        <v>939</v>
      </c>
      <c r="C63" s="7"/>
      <c r="D63" s="7"/>
      <c r="E63" s="7"/>
      <c r="F63" s="51"/>
      <c r="G63" s="51"/>
      <c r="H63" s="51"/>
      <c r="I63" s="51"/>
    </row>
    <row r="64" customFormat="false" ht="30" hidden="false" customHeight="true" outlineLevel="0" collapsed="false">
      <c r="A64" s="37" t="s">
        <v>940</v>
      </c>
      <c r="B64" s="7" t="s">
        <v>941</v>
      </c>
      <c r="C64" s="7"/>
      <c r="D64" s="7"/>
      <c r="E64" s="7"/>
      <c r="F64" s="51"/>
      <c r="G64" s="51"/>
      <c r="H64" s="51"/>
      <c r="I64" s="51"/>
    </row>
    <row r="66" customFormat="false" ht="15" hidden="false" customHeight="true" outlineLevel="0" collapsed="false">
      <c r="A66" s="21" t="s">
        <v>942</v>
      </c>
      <c r="B66" s="21"/>
      <c r="C66" s="21"/>
      <c r="D66" s="21"/>
      <c r="E66" s="21"/>
      <c r="F66" s="21"/>
      <c r="G66" s="21"/>
      <c r="H66" s="21"/>
      <c r="I66" s="21"/>
    </row>
    <row r="67" customFormat="false" ht="25.5" hidden="false" customHeight="true" outlineLevel="0" collapsed="false">
      <c r="A67" s="23" t="s">
        <v>943</v>
      </c>
      <c r="B67" s="23"/>
      <c r="C67" s="23"/>
      <c r="D67" s="51"/>
      <c r="E67" s="51"/>
      <c r="F67" s="51"/>
      <c r="G67" s="51"/>
      <c r="H67" s="51"/>
      <c r="I67" s="51"/>
    </row>
    <row r="68" customFormat="false" ht="25.5" hidden="false" customHeight="true" outlineLevel="0" collapsed="false">
      <c r="A68" s="23" t="s">
        <v>944</v>
      </c>
      <c r="B68" s="23"/>
      <c r="C68" s="23"/>
      <c r="D68" s="51"/>
      <c r="E68" s="51"/>
      <c r="F68" s="51"/>
      <c r="G68" s="51"/>
      <c r="H68" s="51"/>
      <c r="I68" s="51"/>
    </row>
    <row r="69" customFormat="false" ht="25.5" hidden="false" customHeight="true" outlineLevel="0" collapsed="false">
      <c r="A69" s="23" t="s">
        <v>945</v>
      </c>
      <c r="B69" s="23"/>
      <c r="C69" s="23"/>
      <c r="D69" s="51"/>
      <c r="E69" s="51"/>
      <c r="F69" s="51"/>
      <c r="G69" s="51"/>
      <c r="H69" s="51"/>
      <c r="I69" s="51"/>
    </row>
    <row r="70" customFormat="false" ht="25.5" hidden="false" customHeight="true" outlineLevel="0" collapsed="false">
      <c r="A70" s="23" t="s">
        <v>946</v>
      </c>
      <c r="B70" s="23"/>
      <c r="C70" s="23"/>
      <c r="D70" s="51"/>
      <c r="E70" s="51"/>
      <c r="F70" s="51"/>
      <c r="G70" s="51"/>
      <c r="H70" s="51"/>
      <c r="I70" s="51"/>
    </row>
    <row r="71" customFormat="false" ht="25.5" hidden="false" customHeight="true" outlineLevel="0" collapsed="false">
      <c r="A71" s="23" t="s">
        <v>947</v>
      </c>
      <c r="B71" s="23"/>
      <c r="C71" s="23"/>
      <c r="D71" s="51"/>
      <c r="E71" s="51"/>
      <c r="F71" s="51"/>
      <c r="G71" s="51"/>
      <c r="H71" s="51"/>
      <c r="I71" s="51"/>
    </row>
    <row r="72" customFormat="false" ht="25.5" hidden="false" customHeight="true" outlineLevel="0" collapsed="false">
      <c r="A72" s="23" t="s">
        <v>948</v>
      </c>
      <c r="B72" s="23"/>
      <c r="C72" s="23"/>
      <c r="D72" s="51"/>
      <c r="E72" s="51"/>
      <c r="F72" s="51"/>
      <c r="G72" s="51"/>
      <c r="H72" s="51"/>
      <c r="I72" s="51"/>
    </row>
    <row r="73" customFormat="false" ht="25.5" hidden="false" customHeight="true" outlineLevel="0" collapsed="false">
      <c r="A73" s="23" t="s">
        <v>949</v>
      </c>
      <c r="B73" s="23"/>
      <c r="C73" s="23"/>
      <c r="D73" s="51"/>
      <c r="E73" s="51"/>
      <c r="F73" s="51"/>
      <c r="G73" s="51"/>
      <c r="H73" s="51"/>
      <c r="I73" s="51"/>
    </row>
  </sheetData>
  <mergeCells count="26">
    <mergeCell ref="A59:I59"/>
    <mergeCell ref="B60:E60"/>
    <mergeCell ref="F60:I60"/>
    <mergeCell ref="B61:E61"/>
    <mergeCell ref="F61:I61"/>
    <mergeCell ref="B62:E62"/>
    <mergeCell ref="F62:I62"/>
    <mergeCell ref="B63:E63"/>
    <mergeCell ref="F63:I63"/>
    <mergeCell ref="B64:E64"/>
    <mergeCell ref="F64:I64"/>
    <mergeCell ref="A66:I66"/>
    <mergeCell ref="A67:C67"/>
    <mergeCell ref="D67:I67"/>
    <mergeCell ref="A68:C68"/>
    <mergeCell ref="D68:I68"/>
    <mergeCell ref="A69:C69"/>
    <mergeCell ref="D69:I69"/>
    <mergeCell ref="A70:C70"/>
    <mergeCell ref="D70:I70"/>
    <mergeCell ref="A71:C71"/>
    <mergeCell ref="D71:I71"/>
    <mergeCell ref="A72:C72"/>
    <mergeCell ref="D72:I72"/>
    <mergeCell ref="A73:C73"/>
    <mergeCell ref="D73:I73"/>
  </mergeCells>
  <dataValidations count="1">
    <dataValidation allowBlank="true" errorStyle="stop" operator="between" showDropDown="false" showErrorMessage="false" showInputMessage="false" sqref="D3:E3 D6:E6 D9:E9 D14:E14 D17:E17 D20:E20 D23:E23 D27:E27 D31:E31 D37:E37 D40:E40 D43:E43 D47:E47 D52:E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58"/>
    <col collapsed="false" customWidth="true" hidden="false" outlineLevel="0" max="8" min="8" style="0" width="44"/>
    <col collapsed="false" customWidth="true" hidden="false" outlineLevel="0" max="9" min="9" style="0" width="22"/>
  </cols>
  <sheetData>
    <row r="1" customFormat="false" ht="171.6" hidden="false" customHeight="false" outlineLevel="0" collapsed="false">
      <c r="A1" s="8" t="s">
        <v>1388</v>
      </c>
    </row>
    <row r="2" customFormat="false" ht="23.85" hidden="false" customHeight="false" outlineLevel="0" collapsed="false">
      <c r="A2" s="10" t="s">
        <v>20</v>
      </c>
      <c r="B2" s="10" t="s">
        <v>817</v>
      </c>
      <c r="C2" s="10" t="s">
        <v>21</v>
      </c>
      <c r="D2" s="10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336</v>
      </c>
    </row>
    <row r="3" customFormat="false" ht="61.5" hidden="false" customHeight="true" outlineLevel="0" collapsed="false">
      <c r="A3" s="17" t="s">
        <v>680</v>
      </c>
      <c r="B3" s="18" t="s">
        <v>435</v>
      </c>
      <c r="C3" s="18" t="s">
        <v>1389</v>
      </c>
      <c r="D3" s="18"/>
      <c r="E3" s="18"/>
      <c r="F3" s="18" t="str">
        <f aca="false">IF(AND(D3&lt;&gt;"",E3&lt;&gt;""),D3-E3,"")</f>
        <v/>
      </c>
      <c r="G3" s="43" t="s">
        <v>1390</v>
      </c>
      <c r="H3" s="44" t="str">
        <f aca="false">IF(OR(D3="1",D3="2",E3="1",E3="2",D3=1,D3=2,E3=1,E3=2),IFERROR(VLOOKUP(A3,Harjoitepankki!$A:$D,4,FALSE()),""),"")</f>
        <v/>
      </c>
      <c r="I3" s="19"/>
    </row>
    <row r="4" customFormat="false" ht="35.05" hidden="false" customHeight="false" outlineLevel="0" collapsed="false">
      <c r="A4" s="45" t="s">
        <v>1391</v>
      </c>
      <c r="B4" s="46"/>
      <c r="C4" s="14" t="s">
        <v>1392</v>
      </c>
      <c r="D4" s="46"/>
      <c r="E4" s="46"/>
      <c r="F4" s="46"/>
      <c r="G4" s="46"/>
      <c r="H4" s="46"/>
      <c r="I4" s="46"/>
    </row>
    <row r="5" customFormat="false" ht="23.85" hidden="false" customHeight="false" outlineLevel="0" collapsed="false">
      <c r="A5" s="45" t="s">
        <v>1393</v>
      </c>
      <c r="B5" s="46"/>
      <c r="C5" s="14" t="s">
        <v>1394</v>
      </c>
      <c r="D5" s="46"/>
      <c r="E5" s="46"/>
      <c r="F5" s="46"/>
      <c r="G5" s="46"/>
      <c r="H5" s="46"/>
      <c r="I5" s="46"/>
    </row>
    <row r="6" customFormat="false" ht="23.85" hidden="false" customHeight="false" outlineLevel="0" collapsed="false">
      <c r="A6" s="45" t="s">
        <v>1395</v>
      </c>
      <c r="B6" s="46"/>
      <c r="C6" s="14" t="s">
        <v>1396</v>
      </c>
      <c r="D6" s="46"/>
      <c r="E6" s="46"/>
      <c r="F6" s="46"/>
      <c r="G6" s="46"/>
      <c r="H6" s="46"/>
      <c r="I6" s="46"/>
    </row>
    <row r="7" customFormat="false" ht="61.5" hidden="false" customHeight="true" outlineLevel="0" collapsed="false">
      <c r="A7" s="17" t="s">
        <v>684</v>
      </c>
      <c r="B7" s="18" t="s">
        <v>435</v>
      </c>
      <c r="C7" s="18" t="s">
        <v>1397</v>
      </c>
      <c r="D7" s="18"/>
      <c r="E7" s="18"/>
      <c r="F7" s="18" t="str">
        <f aca="false">IF(AND(D7&lt;&gt;"",E7&lt;&gt;""),D7-E7,"")</f>
        <v/>
      </c>
      <c r="G7" s="43" t="s">
        <v>1398</v>
      </c>
      <c r="H7" s="44" t="str">
        <f aca="false">IF(OR(D7="1",D7="2",E7="1",E7="2",D7=1,D7=2,E7=1,E7=2),IFERROR(VLOOKUP(A7,Harjoitepankki!$A:$D,4,FALSE()),""),"")</f>
        <v/>
      </c>
      <c r="I7" s="19"/>
    </row>
    <row r="8" customFormat="false" ht="23.85" hidden="false" customHeight="false" outlineLevel="0" collapsed="false">
      <c r="A8" s="45" t="s">
        <v>1399</v>
      </c>
      <c r="B8" s="46"/>
      <c r="C8" s="14" t="s">
        <v>1400</v>
      </c>
      <c r="D8" s="46"/>
      <c r="E8" s="46"/>
      <c r="F8" s="46"/>
      <c r="G8" s="46"/>
      <c r="H8" s="46"/>
      <c r="I8" s="46"/>
    </row>
    <row r="9" customFormat="false" ht="35.05" hidden="false" customHeight="false" outlineLevel="0" collapsed="false">
      <c r="A9" s="45" t="s">
        <v>1401</v>
      </c>
      <c r="B9" s="46"/>
      <c r="C9" s="14" t="s">
        <v>1402</v>
      </c>
      <c r="D9" s="46"/>
      <c r="E9" s="46"/>
      <c r="F9" s="46"/>
      <c r="G9" s="46"/>
      <c r="H9" s="46"/>
      <c r="I9" s="46"/>
    </row>
    <row r="10" customFormat="false" ht="23.85" hidden="false" customHeight="false" outlineLevel="0" collapsed="false">
      <c r="A10" s="45" t="s">
        <v>1403</v>
      </c>
      <c r="B10" s="46"/>
      <c r="C10" s="14" t="s">
        <v>1404</v>
      </c>
      <c r="D10" s="46"/>
      <c r="E10" s="46"/>
      <c r="F10" s="46"/>
      <c r="G10" s="46"/>
      <c r="H10" s="46"/>
      <c r="I10" s="46"/>
    </row>
    <row r="11" customFormat="false" ht="61.5" hidden="false" customHeight="true" outlineLevel="0" collapsed="false">
      <c r="A11" s="17" t="s">
        <v>687</v>
      </c>
      <c r="B11" s="18" t="s">
        <v>435</v>
      </c>
      <c r="C11" s="18" t="s">
        <v>1405</v>
      </c>
      <c r="D11" s="18"/>
      <c r="E11" s="18"/>
      <c r="F11" s="18" t="str">
        <f aca="false">IF(AND(D11&lt;&gt;"",E11&lt;&gt;""),D11-E11,"")</f>
        <v/>
      </c>
      <c r="G11" s="43" t="s">
        <v>1406</v>
      </c>
      <c r="H11" s="44" t="str">
        <f aca="false">IF(OR(D11="1",D11="2",E11="1",E11="2",D11=1,D11=2,E11=1,E11=2),IFERROR(VLOOKUP(A11,Harjoitepankki!$A:$D,4,FALSE()),""),"")</f>
        <v/>
      </c>
      <c r="I11" s="19"/>
    </row>
    <row r="12" customFormat="false" ht="23.85" hidden="false" customHeight="false" outlineLevel="0" collapsed="false">
      <c r="A12" s="45" t="s">
        <v>1407</v>
      </c>
      <c r="B12" s="46"/>
      <c r="C12" s="14" t="s">
        <v>1408</v>
      </c>
      <c r="D12" s="46"/>
      <c r="E12" s="46"/>
      <c r="F12" s="46"/>
      <c r="G12" s="46"/>
      <c r="H12" s="46"/>
      <c r="I12" s="46"/>
    </row>
    <row r="13" customFormat="false" ht="23.85" hidden="false" customHeight="false" outlineLevel="0" collapsed="false">
      <c r="A13" s="45" t="s">
        <v>1409</v>
      </c>
      <c r="B13" s="46"/>
      <c r="C13" s="14" t="s">
        <v>1410</v>
      </c>
      <c r="D13" s="46"/>
      <c r="E13" s="46"/>
      <c r="F13" s="46"/>
      <c r="G13" s="46"/>
      <c r="H13" s="46"/>
      <c r="I13" s="46"/>
    </row>
    <row r="14" customFormat="false" ht="15" hidden="false" customHeight="false" outlineLevel="0" collapsed="false">
      <c r="A14" s="45" t="s">
        <v>1411</v>
      </c>
      <c r="B14" s="46"/>
      <c r="C14" s="14" t="s">
        <v>1412</v>
      </c>
      <c r="D14" s="46"/>
      <c r="E14" s="46"/>
      <c r="F14" s="46"/>
      <c r="G14" s="46"/>
      <c r="H14" s="46"/>
      <c r="I14" s="46"/>
    </row>
    <row r="15" customFormat="false" ht="61.5" hidden="false" customHeight="true" outlineLevel="0" collapsed="false">
      <c r="A15" s="17" t="s">
        <v>690</v>
      </c>
      <c r="B15" s="18" t="s">
        <v>446</v>
      </c>
      <c r="C15" s="18" t="s">
        <v>1413</v>
      </c>
      <c r="D15" s="18"/>
      <c r="E15" s="18"/>
      <c r="F15" s="18" t="str">
        <f aca="false">IF(AND(D15&lt;&gt;"",E15&lt;&gt;""),D15-E15,"")</f>
        <v/>
      </c>
      <c r="G15" s="43" t="s">
        <v>1414</v>
      </c>
      <c r="H15" s="44" t="str">
        <f aca="false">IF(OR(D15="1",D15="2",E15="1",E15="2",D15=1,D15=2,E15=1,E15=2),IFERROR(VLOOKUP(A15,Harjoitepankki!$A:$D,4,FALSE()),""),"")</f>
        <v/>
      </c>
      <c r="I15" s="19"/>
    </row>
    <row r="16" customFormat="false" ht="23.85" hidden="false" customHeight="false" outlineLevel="0" collapsed="false">
      <c r="A16" s="45" t="s">
        <v>1415</v>
      </c>
      <c r="B16" s="46"/>
      <c r="C16" s="14" t="s">
        <v>1416</v>
      </c>
      <c r="D16" s="46"/>
      <c r="E16" s="46"/>
      <c r="F16" s="46"/>
      <c r="G16" s="46"/>
      <c r="H16" s="46"/>
      <c r="I16" s="46"/>
    </row>
    <row r="17" customFormat="false" ht="23.85" hidden="false" customHeight="false" outlineLevel="0" collapsed="false">
      <c r="A17" s="45" t="s">
        <v>1417</v>
      </c>
      <c r="B17" s="46"/>
      <c r="C17" s="14" t="s">
        <v>1418</v>
      </c>
      <c r="D17" s="46"/>
      <c r="E17" s="46"/>
      <c r="F17" s="46"/>
      <c r="G17" s="46"/>
      <c r="H17" s="46"/>
      <c r="I17" s="46"/>
    </row>
    <row r="18" customFormat="false" ht="23.85" hidden="false" customHeight="false" outlineLevel="0" collapsed="false">
      <c r="A18" s="45" t="s">
        <v>1419</v>
      </c>
      <c r="B18" s="46"/>
      <c r="C18" s="14" t="s">
        <v>1420</v>
      </c>
      <c r="D18" s="46"/>
      <c r="E18" s="46"/>
      <c r="F18" s="46"/>
      <c r="G18" s="46"/>
      <c r="H18" s="46"/>
      <c r="I18" s="46"/>
    </row>
    <row r="19" customFormat="false" ht="23.85" hidden="false" customHeight="false" outlineLevel="0" collapsed="false">
      <c r="A19" s="45" t="s">
        <v>1421</v>
      </c>
      <c r="B19" s="46"/>
      <c r="C19" s="14" t="s">
        <v>1422</v>
      </c>
      <c r="D19" s="46"/>
      <c r="E19" s="46"/>
      <c r="F19" s="46"/>
      <c r="G19" s="46"/>
      <c r="H19" s="46"/>
      <c r="I19" s="46"/>
    </row>
    <row r="20" customFormat="false" ht="61.5" hidden="false" customHeight="true" outlineLevel="0" collapsed="false">
      <c r="A20" s="17" t="s">
        <v>693</v>
      </c>
      <c r="B20" s="18" t="s">
        <v>446</v>
      </c>
      <c r="C20" s="18" t="s">
        <v>1423</v>
      </c>
      <c r="D20" s="18"/>
      <c r="E20" s="18"/>
      <c r="F20" s="18" t="str">
        <f aca="false">IF(AND(D20&lt;&gt;"",E20&lt;&gt;""),D20-E20,"")</f>
        <v/>
      </c>
      <c r="G20" s="43" t="s">
        <v>1424</v>
      </c>
      <c r="H20" s="44" t="str">
        <f aca="false">IF(OR(D20="1",D20="2",E20="1",E20="2",D20=1,D20=2,E20=1,E20=2),IFERROR(VLOOKUP(A20,Harjoitepankki!$A:$D,4,FALSE()),""),"")</f>
        <v/>
      </c>
      <c r="I20" s="19"/>
    </row>
    <row r="21" customFormat="false" ht="23.85" hidden="false" customHeight="false" outlineLevel="0" collapsed="false">
      <c r="A21" s="45" t="s">
        <v>1425</v>
      </c>
      <c r="B21" s="46"/>
      <c r="C21" s="14" t="s">
        <v>1426</v>
      </c>
      <c r="D21" s="46"/>
      <c r="E21" s="46"/>
      <c r="F21" s="46"/>
      <c r="G21" s="46"/>
      <c r="H21" s="46"/>
      <c r="I21" s="46"/>
    </row>
    <row r="22" customFormat="false" ht="23.85" hidden="false" customHeight="false" outlineLevel="0" collapsed="false">
      <c r="A22" s="45" t="s">
        <v>1427</v>
      </c>
      <c r="B22" s="46"/>
      <c r="C22" s="14" t="s">
        <v>1428</v>
      </c>
      <c r="D22" s="46"/>
      <c r="E22" s="46"/>
      <c r="F22" s="46"/>
      <c r="G22" s="46"/>
      <c r="H22" s="46"/>
      <c r="I22" s="46"/>
    </row>
    <row r="23" customFormat="false" ht="23.85" hidden="false" customHeight="false" outlineLevel="0" collapsed="false">
      <c r="A23" s="45" t="s">
        <v>1429</v>
      </c>
      <c r="B23" s="46"/>
      <c r="C23" s="14" t="s">
        <v>1430</v>
      </c>
      <c r="D23" s="46"/>
      <c r="E23" s="46"/>
      <c r="F23" s="46"/>
      <c r="G23" s="46"/>
      <c r="H23" s="46"/>
      <c r="I23" s="46"/>
    </row>
    <row r="24" customFormat="false" ht="23.85" hidden="false" customHeight="false" outlineLevel="0" collapsed="false">
      <c r="A24" s="45" t="s">
        <v>1431</v>
      </c>
      <c r="B24" s="46"/>
      <c r="C24" s="14" t="s">
        <v>1432</v>
      </c>
      <c r="D24" s="46"/>
      <c r="E24" s="46"/>
      <c r="F24" s="46"/>
      <c r="G24" s="46"/>
      <c r="H24" s="46"/>
      <c r="I24" s="46"/>
    </row>
    <row r="25" customFormat="false" ht="61.5" hidden="false" customHeight="true" outlineLevel="0" collapsed="false">
      <c r="A25" s="17" t="s">
        <v>696</v>
      </c>
      <c r="B25" s="18" t="s">
        <v>454</v>
      </c>
      <c r="C25" s="18" t="s">
        <v>1155</v>
      </c>
      <c r="D25" s="18"/>
      <c r="E25" s="18"/>
      <c r="F25" s="18" t="str">
        <f aca="false">IF(AND(D25&lt;&gt;"",E25&lt;&gt;""),D25-E25,"")</f>
        <v/>
      </c>
      <c r="G25" s="43" t="s">
        <v>1433</v>
      </c>
      <c r="H25" s="44" t="str">
        <f aca="false">IF(OR(D25="1",D25="2",E25="1",E25="2",D25=1,D25=2,E25=1,E25=2),IFERROR(VLOOKUP(A25,Harjoitepankki!$A:$D,4,FALSE()),""),"")</f>
        <v/>
      </c>
      <c r="I25" s="19"/>
    </row>
    <row r="26" customFormat="false" ht="23.85" hidden="false" customHeight="false" outlineLevel="0" collapsed="false">
      <c r="A26" s="45" t="s">
        <v>1434</v>
      </c>
      <c r="B26" s="46"/>
      <c r="C26" s="14" t="s">
        <v>1435</v>
      </c>
      <c r="D26" s="46"/>
      <c r="E26" s="46"/>
      <c r="F26" s="46"/>
      <c r="G26" s="46"/>
      <c r="H26" s="46"/>
      <c r="I26" s="46"/>
    </row>
    <row r="27" customFormat="false" ht="23.85" hidden="false" customHeight="false" outlineLevel="0" collapsed="false">
      <c r="A27" s="45" t="s">
        <v>1436</v>
      </c>
      <c r="B27" s="46"/>
      <c r="C27" s="14" t="s">
        <v>1437</v>
      </c>
      <c r="D27" s="46"/>
      <c r="E27" s="46"/>
      <c r="F27" s="46"/>
      <c r="G27" s="46"/>
      <c r="H27" s="46"/>
      <c r="I27" s="46"/>
    </row>
    <row r="28" customFormat="false" ht="23.85" hidden="false" customHeight="false" outlineLevel="0" collapsed="false">
      <c r="A28" s="45" t="s">
        <v>1438</v>
      </c>
      <c r="B28" s="46"/>
      <c r="C28" s="14" t="s">
        <v>1439</v>
      </c>
      <c r="D28" s="46"/>
      <c r="E28" s="46"/>
      <c r="F28" s="46"/>
      <c r="G28" s="46"/>
      <c r="H28" s="46"/>
      <c r="I28" s="46"/>
    </row>
    <row r="29" customFormat="false" ht="61.5" hidden="false" customHeight="true" outlineLevel="0" collapsed="false">
      <c r="A29" s="11" t="s">
        <v>698</v>
      </c>
      <c r="B29" s="12" t="s">
        <v>462</v>
      </c>
      <c r="C29" s="12" t="s">
        <v>893</v>
      </c>
      <c r="D29" s="12"/>
      <c r="E29" s="12"/>
      <c r="F29" s="12" t="str">
        <f aca="false">IF(AND(D29&lt;&gt;"",E29&lt;&gt;""),D29-E29,"")</f>
        <v/>
      </c>
      <c r="G29" s="47" t="s">
        <v>1440</v>
      </c>
      <c r="H29" s="48" t="str">
        <f aca="false">IF(OR(D29="1",D29="2",E29="1",E29="2",D29=1,D29=2,E29=1,E29=2),IFERROR(VLOOKUP(A29,Harjoitepankki!$A:$D,4,FALSE()),""),"")</f>
        <v/>
      </c>
      <c r="I29" s="4"/>
    </row>
    <row r="30" customFormat="false" ht="23.85" hidden="false" customHeight="false" outlineLevel="0" collapsed="false">
      <c r="A30" s="45" t="s">
        <v>1441</v>
      </c>
      <c r="B30" s="46"/>
      <c r="C30" s="14" t="s">
        <v>1442</v>
      </c>
      <c r="D30" s="46"/>
      <c r="E30" s="46"/>
      <c r="F30" s="46"/>
      <c r="G30" s="46"/>
      <c r="H30" s="46"/>
      <c r="I30" s="46"/>
    </row>
    <row r="31" customFormat="false" ht="23.85" hidden="false" customHeight="false" outlineLevel="0" collapsed="false">
      <c r="A31" s="45" t="s">
        <v>1443</v>
      </c>
      <c r="B31" s="46"/>
      <c r="C31" s="14" t="s">
        <v>1444</v>
      </c>
      <c r="D31" s="46"/>
      <c r="E31" s="46"/>
      <c r="F31" s="46"/>
      <c r="G31" s="46"/>
      <c r="H31" s="46"/>
      <c r="I31" s="46"/>
    </row>
    <row r="32" customFormat="false" ht="23.85" hidden="false" customHeight="false" outlineLevel="0" collapsed="false">
      <c r="A32" s="45" t="s">
        <v>1445</v>
      </c>
      <c r="B32" s="46"/>
      <c r="C32" s="14" t="s">
        <v>1446</v>
      </c>
      <c r="D32" s="46"/>
      <c r="E32" s="46"/>
      <c r="F32" s="46"/>
      <c r="G32" s="46"/>
      <c r="H32" s="46"/>
      <c r="I32" s="46"/>
    </row>
    <row r="33" customFormat="false" ht="61.5" hidden="false" customHeight="true" outlineLevel="0" collapsed="false">
      <c r="A33" s="11" t="s">
        <v>700</v>
      </c>
      <c r="B33" s="12" t="s">
        <v>462</v>
      </c>
      <c r="C33" s="12" t="s">
        <v>1447</v>
      </c>
      <c r="D33" s="12"/>
      <c r="E33" s="12"/>
      <c r="F33" s="12" t="str">
        <f aca="false">IF(AND(D33&lt;&gt;"",E33&lt;&gt;""),D33-E33,"")</f>
        <v/>
      </c>
      <c r="G33" s="47" t="s">
        <v>1448</v>
      </c>
      <c r="H33" s="48" t="str">
        <f aca="false">IF(OR(D33="1",D33="2",E33="1",E33="2",D33=1,D33=2,E33=1,E33=2),IFERROR(VLOOKUP(A33,Harjoitepankki!$A:$D,4,FALSE()),""),"")</f>
        <v/>
      </c>
      <c r="I33" s="4"/>
    </row>
    <row r="34" customFormat="false" ht="23.85" hidden="false" customHeight="false" outlineLevel="0" collapsed="false">
      <c r="A34" s="45" t="s">
        <v>1449</v>
      </c>
      <c r="B34" s="46"/>
      <c r="C34" s="14" t="s">
        <v>1450</v>
      </c>
      <c r="D34" s="46"/>
      <c r="E34" s="46"/>
      <c r="F34" s="46"/>
      <c r="G34" s="46"/>
      <c r="H34" s="46"/>
      <c r="I34" s="46"/>
    </row>
    <row r="35" customFormat="false" ht="23.85" hidden="false" customHeight="false" outlineLevel="0" collapsed="false">
      <c r="A35" s="45" t="s">
        <v>1451</v>
      </c>
      <c r="B35" s="46"/>
      <c r="C35" s="14" t="s">
        <v>1452</v>
      </c>
      <c r="D35" s="46"/>
      <c r="E35" s="46"/>
      <c r="F35" s="46"/>
      <c r="G35" s="46"/>
      <c r="H35" s="46"/>
      <c r="I35" s="46"/>
    </row>
    <row r="36" customFormat="false" ht="23.85" hidden="false" customHeight="false" outlineLevel="0" collapsed="false">
      <c r="A36" s="45" t="s">
        <v>1453</v>
      </c>
      <c r="B36" s="46"/>
      <c r="C36" s="14" t="s">
        <v>1454</v>
      </c>
      <c r="D36" s="46"/>
      <c r="E36" s="46"/>
      <c r="F36" s="46"/>
      <c r="G36" s="46"/>
      <c r="H36" s="46"/>
      <c r="I36" s="46"/>
    </row>
    <row r="37" customFormat="false" ht="61.5" hidden="false" customHeight="true" outlineLevel="0" collapsed="false">
      <c r="A37" s="11" t="s">
        <v>702</v>
      </c>
      <c r="B37" s="12" t="s">
        <v>462</v>
      </c>
      <c r="C37" s="12" t="s">
        <v>1455</v>
      </c>
      <c r="D37" s="12"/>
      <c r="E37" s="12"/>
      <c r="F37" s="12" t="str">
        <f aca="false">IF(AND(D37&lt;&gt;"",E37&lt;&gt;""),D37-E37,"")</f>
        <v/>
      </c>
      <c r="G37" s="47" t="s">
        <v>1456</v>
      </c>
      <c r="H37" s="48" t="str">
        <f aca="false">IF(OR(D37="1",D37="2",E37="1",E37="2",D37=1,D37=2,E37=1,E37=2),IFERROR(VLOOKUP(A37,Harjoitepankki!$A:$D,4,FALSE()),""),"")</f>
        <v/>
      </c>
      <c r="I37" s="4"/>
    </row>
    <row r="38" customFormat="false" ht="23.85" hidden="false" customHeight="false" outlineLevel="0" collapsed="false">
      <c r="A38" s="45" t="s">
        <v>1457</v>
      </c>
      <c r="B38" s="46"/>
      <c r="C38" s="14" t="s">
        <v>1458</v>
      </c>
      <c r="D38" s="46"/>
      <c r="E38" s="46"/>
      <c r="F38" s="46"/>
      <c r="G38" s="46"/>
      <c r="H38" s="46"/>
      <c r="I38" s="46"/>
    </row>
    <row r="39" customFormat="false" ht="23.85" hidden="false" customHeight="false" outlineLevel="0" collapsed="false">
      <c r="A39" s="45" t="s">
        <v>1459</v>
      </c>
      <c r="B39" s="46"/>
      <c r="C39" s="14" t="s">
        <v>1460</v>
      </c>
      <c r="D39" s="46"/>
      <c r="E39" s="46"/>
      <c r="F39" s="46"/>
      <c r="G39" s="46"/>
      <c r="H39" s="46"/>
      <c r="I39" s="46"/>
    </row>
    <row r="40" customFormat="false" ht="23.85" hidden="false" customHeight="false" outlineLevel="0" collapsed="false">
      <c r="A40" s="45" t="s">
        <v>1461</v>
      </c>
      <c r="B40" s="46"/>
      <c r="C40" s="14" t="s">
        <v>1462</v>
      </c>
      <c r="D40" s="46"/>
      <c r="E40" s="46"/>
      <c r="F40" s="46"/>
      <c r="G40" s="46"/>
      <c r="H40" s="46"/>
      <c r="I40" s="46"/>
    </row>
    <row r="41" customFormat="false" ht="61.5" hidden="false" customHeight="true" outlineLevel="0" collapsed="false">
      <c r="A41" s="11" t="s">
        <v>704</v>
      </c>
      <c r="B41" s="12" t="s">
        <v>462</v>
      </c>
      <c r="C41" s="12" t="s">
        <v>1463</v>
      </c>
      <c r="D41" s="12"/>
      <c r="E41" s="12"/>
      <c r="F41" s="12" t="str">
        <f aca="false">IF(AND(D41&lt;&gt;"",E41&lt;&gt;""),D41-E41,"")</f>
        <v/>
      </c>
      <c r="G41" s="47" t="s">
        <v>1464</v>
      </c>
      <c r="H41" s="48" t="str">
        <f aca="false">IF(OR(D41="1",D41="2",E41="1",E41="2",D41=1,D41=2,E41=1,E41=2),IFERROR(VLOOKUP(A41,Harjoitepankki!$A:$D,4,FALSE()),""),"")</f>
        <v/>
      </c>
      <c r="I41" s="4"/>
    </row>
    <row r="42" customFormat="false" ht="23.85" hidden="false" customHeight="false" outlineLevel="0" collapsed="false">
      <c r="A42" s="45" t="s">
        <v>1465</v>
      </c>
      <c r="B42" s="46"/>
      <c r="C42" s="14" t="s">
        <v>1466</v>
      </c>
      <c r="D42" s="46"/>
      <c r="E42" s="46"/>
      <c r="F42" s="46"/>
      <c r="G42" s="46"/>
      <c r="H42" s="46"/>
      <c r="I42" s="46"/>
    </row>
    <row r="43" customFormat="false" ht="23.85" hidden="false" customHeight="false" outlineLevel="0" collapsed="false">
      <c r="A43" s="45" t="s">
        <v>1467</v>
      </c>
      <c r="B43" s="46"/>
      <c r="C43" s="14" t="s">
        <v>1468</v>
      </c>
      <c r="D43" s="46"/>
      <c r="E43" s="46"/>
      <c r="F43" s="46"/>
      <c r="G43" s="46"/>
      <c r="H43" s="46"/>
      <c r="I43" s="46"/>
    </row>
    <row r="44" customFormat="false" ht="61.5" hidden="false" customHeight="true" outlineLevel="0" collapsed="false">
      <c r="A44" s="11" t="s">
        <v>707</v>
      </c>
      <c r="B44" s="12" t="s">
        <v>462</v>
      </c>
      <c r="C44" s="12" t="s">
        <v>1469</v>
      </c>
      <c r="D44" s="12"/>
      <c r="E44" s="12"/>
      <c r="F44" s="12" t="str">
        <f aca="false">IF(AND(D44&lt;&gt;"",E44&lt;&gt;""),D44-E44,"")</f>
        <v/>
      </c>
      <c r="G44" s="47" t="s">
        <v>1470</v>
      </c>
      <c r="H44" s="48" t="str">
        <f aca="false">IF(OR(D44="1",D44="2",E44="1",E44="2",D44=1,D44=2,E44=1,E44=2),IFERROR(VLOOKUP(A44,Harjoitepankki!$A:$D,4,FALSE()),""),"")</f>
        <v/>
      </c>
      <c r="I44" s="4"/>
    </row>
    <row r="45" customFormat="false" ht="23.85" hidden="false" customHeight="false" outlineLevel="0" collapsed="false">
      <c r="A45" s="45" t="s">
        <v>1471</v>
      </c>
      <c r="B45" s="46"/>
      <c r="C45" s="14" t="s">
        <v>1472</v>
      </c>
      <c r="D45" s="46"/>
      <c r="E45" s="46"/>
      <c r="F45" s="46"/>
      <c r="G45" s="46"/>
      <c r="H45" s="46"/>
      <c r="I45" s="46"/>
    </row>
    <row r="46" customFormat="false" ht="23.85" hidden="false" customHeight="false" outlineLevel="0" collapsed="false">
      <c r="A46" s="45" t="s">
        <v>1473</v>
      </c>
      <c r="B46" s="46"/>
      <c r="C46" s="14" t="s">
        <v>1474</v>
      </c>
      <c r="D46" s="46"/>
      <c r="E46" s="46"/>
      <c r="F46" s="46"/>
      <c r="G46" s="46"/>
      <c r="H46" s="46"/>
      <c r="I46" s="46"/>
    </row>
    <row r="47" customFormat="false" ht="61.5" hidden="false" customHeight="true" outlineLevel="0" collapsed="false">
      <c r="A47" s="11" t="s">
        <v>709</v>
      </c>
      <c r="B47" s="12" t="s">
        <v>462</v>
      </c>
      <c r="C47" s="12" t="s">
        <v>1475</v>
      </c>
      <c r="D47" s="12"/>
      <c r="E47" s="12"/>
      <c r="F47" s="12" t="str">
        <f aca="false">IF(AND(D47&lt;&gt;"",E47&lt;&gt;""),D47-E47,"")</f>
        <v/>
      </c>
      <c r="G47" s="47" t="s">
        <v>1476</v>
      </c>
      <c r="H47" s="48" t="str">
        <f aca="false">IF(OR(D47="1",D47="2",E47="1",E47="2",D47=1,D47=2,E47=1,E47=2),IFERROR(VLOOKUP(A47,Harjoitepankki!$A:$D,4,FALSE()),""),"")</f>
        <v/>
      </c>
      <c r="I47" s="4"/>
    </row>
    <row r="48" customFormat="false" ht="23.85" hidden="false" customHeight="false" outlineLevel="0" collapsed="false">
      <c r="A48" s="45" t="s">
        <v>1477</v>
      </c>
      <c r="B48" s="46"/>
      <c r="C48" s="14" t="s">
        <v>1478</v>
      </c>
      <c r="D48" s="46"/>
      <c r="E48" s="46"/>
      <c r="F48" s="46"/>
      <c r="G48" s="46"/>
      <c r="H48" s="46"/>
      <c r="I48" s="46"/>
    </row>
    <row r="49" customFormat="false" ht="23.85" hidden="false" customHeight="false" outlineLevel="0" collapsed="false">
      <c r="A49" s="45" t="s">
        <v>1479</v>
      </c>
      <c r="B49" s="46"/>
      <c r="C49" s="14" t="s">
        <v>1480</v>
      </c>
      <c r="D49" s="46"/>
      <c r="E49" s="46"/>
      <c r="F49" s="46"/>
      <c r="G49" s="46"/>
      <c r="H49" s="46"/>
      <c r="I49" s="46"/>
    </row>
    <row r="51" customFormat="false" ht="22.35" hidden="false" customHeight="false" outlineLevel="0" collapsed="false">
      <c r="C51" s="28" t="s">
        <v>929</v>
      </c>
      <c r="D51" s="49" t="n">
        <f aca="false">IF(D3="",0,D3)+IF(D7="",0,D7)+IF(D11="",0,D11)+IF(D15="",0,D15)+IF(D20="",0,D20)+IF(D25="",0,D25)+IF(D29="",0,D29)+IF(D33="",0,D33)+IF(D37="",0,D37)+IF(D41="",0,D41)+IF(D44="",0,D44)+IF(D47="",0,D47)</f>
        <v>0</v>
      </c>
      <c r="E51" s="49" t="n">
        <f aca="false">IF(E3="",0,E3)+IF(E7="",0,E7)+IF(E11="",0,E11)+IF(E15="",0,E15)+IF(E20="",0,E20)+IF(E25="",0,E25)+IF(E29="",0,E29)+IF(E33="",0,E33)+IF(E37="",0,E37)+IF(E41="",0,E41)+IF(E44="",0,E44)+IF(E47="",0,E47)</f>
        <v>0</v>
      </c>
      <c r="G51" s="50" t="s">
        <v>1201</v>
      </c>
    </row>
    <row r="53" customFormat="false" ht="15" hidden="false" customHeight="true" outlineLevel="0" collapsed="false">
      <c r="A53" s="21" t="s">
        <v>931</v>
      </c>
      <c r="B53" s="21"/>
      <c r="C53" s="21"/>
      <c r="D53" s="21"/>
      <c r="E53" s="21"/>
      <c r="F53" s="21"/>
      <c r="G53" s="21"/>
      <c r="H53" s="21"/>
      <c r="I53" s="21"/>
    </row>
    <row r="54" customFormat="false" ht="30" hidden="false" customHeight="true" outlineLevel="0" collapsed="false">
      <c r="A54" s="37" t="s">
        <v>932</v>
      </c>
      <c r="B54" s="7" t="s">
        <v>933</v>
      </c>
      <c r="C54" s="7"/>
      <c r="D54" s="7"/>
      <c r="E54" s="7"/>
      <c r="F54" s="51"/>
      <c r="G54" s="51"/>
      <c r="H54" s="51"/>
      <c r="I54" s="51"/>
    </row>
    <row r="55" customFormat="false" ht="30" hidden="false" customHeight="true" outlineLevel="0" collapsed="false">
      <c r="A55" s="37" t="s">
        <v>934</v>
      </c>
      <c r="B55" s="7" t="s">
        <v>1481</v>
      </c>
      <c r="C55" s="7"/>
      <c r="D55" s="7"/>
      <c r="E55" s="7"/>
      <c r="F55" s="51"/>
      <c r="G55" s="51"/>
      <c r="H55" s="51"/>
      <c r="I55" s="51"/>
    </row>
    <row r="56" customFormat="false" ht="30" hidden="false" customHeight="true" outlineLevel="0" collapsed="false">
      <c r="A56" s="37" t="s">
        <v>936</v>
      </c>
      <c r="B56" s="7" t="s">
        <v>1482</v>
      </c>
      <c r="C56" s="7"/>
      <c r="D56" s="7"/>
      <c r="E56" s="7"/>
      <c r="F56" s="51"/>
      <c r="G56" s="51"/>
      <c r="H56" s="51"/>
      <c r="I56" s="51"/>
    </row>
    <row r="57" customFormat="false" ht="30" hidden="false" customHeight="true" outlineLevel="0" collapsed="false">
      <c r="A57" s="37" t="s">
        <v>938</v>
      </c>
      <c r="B57" s="7" t="s">
        <v>939</v>
      </c>
      <c r="C57" s="7"/>
      <c r="D57" s="7"/>
      <c r="E57" s="7"/>
      <c r="F57" s="51"/>
      <c r="G57" s="51"/>
      <c r="H57" s="51"/>
      <c r="I57" s="51"/>
    </row>
    <row r="58" customFormat="false" ht="30" hidden="false" customHeight="true" outlineLevel="0" collapsed="false">
      <c r="A58" s="37" t="s">
        <v>940</v>
      </c>
      <c r="B58" s="7" t="s">
        <v>941</v>
      </c>
      <c r="C58" s="7"/>
      <c r="D58" s="7"/>
      <c r="E58" s="7"/>
      <c r="F58" s="51"/>
      <c r="G58" s="51"/>
      <c r="H58" s="51"/>
      <c r="I58" s="51"/>
    </row>
    <row r="60" customFormat="false" ht="15" hidden="false" customHeight="true" outlineLevel="0" collapsed="false">
      <c r="A60" s="21" t="s">
        <v>942</v>
      </c>
      <c r="B60" s="21"/>
      <c r="C60" s="21"/>
      <c r="D60" s="21"/>
      <c r="E60" s="21"/>
      <c r="F60" s="21"/>
      <c r="G60" s="21"/>
      <c r="H60" s="21"/>
      <c r="I60" s="21"/>
    </row>
    <row r="61" customFormat="false" ht="25.5" hidden="false" customHeight="true" outlineLevel="0" collapsed="false">
      <c r="A61" s="23" t="s">
        <v>943</v>
      </c>
      <c r="B61" s="23"/>
      <c r="C61" s="23"/>
      <c r="D61" s="51"/>
      <c r="E61" s="51"/>
      <c r="F61" s="51"/>
      <c r="G61" s="51"/>
      <c r="H61" s="51"/>
      <c r="I61" s="51"/>
    </row>
    <row r="62" customFormat="false" ht="25.5" hidden="false" customHeight="true" outlineLevel="0" collapsed="false">
      <c r="A62" s="23" t="s">
        <v>944</v>
      </c>
      <c r="B62" s="23"/>
      <c r="C62" s="23"/>
      <c r="D62" s="51"/>
      <c r="E62" s="51"/>
      <c r="F62" s="51"/>
      <c r="G62" s="51"/>
      <c r="H62" s="51"/>
      <c r="I62" s="51"/>
    </row>
    <row r="63" customFormat="false" ht="25.5" hidden="false" customHeight="true" outlineLevel="0" collapsed="false">
      <c r="A63" s="23" t="s">
        <v>945</v>
      </c>
      <c r="B63" s="23"/>
      <c r="C63" s="23"/>
      <c r="D63" s="51"/>
      <c r="E63" s="51"/>
      <c r="F63" s="51"/>
      <c r="G63" s="51"/>
      <c r="H63" s="51"/>
      <c r="I63" s="51"/>
    </row>
    <row r="64" customFormat="false" ht="25.5" hidden="false" customHeight="true" outlineLevel="0" collapsed="false">
      <c r="A64" s="23" t="s">
        <v>946</v>
      </c>
      <c r="B64" s="23"/>
      <c r="C64" s="23"/>
      <c r="D64" s="51"/>
      <c r="E64" s="51"/>
      <c r="F64" s="51"/>
      <c r="G64" s="51"/>
      <c r="H64" s="51"/>
      <c r="I64" s="51"/>
    </row>
    <row r="65" customFormat="false" ht="25.5" hidden="false" customHeight="true" outlineLevel="0" collapsed="false">
      <c r="A65" s="23" t="s">
        <v>947</v>
      </c>
      <c r="B65" s="23"/>
      <c r="C65" s="23"/>
      <c r="D65" s="51"/>
      <c r="E65" s="51"/>
      <c r="F65" s="51"/>
      <c r="G65" s="51"/>
      <c r="H65" s="51"/>
      <c r="I65" s="51"/>
    </row>
    <row r="66" customFormat="false" ht="25.5" hidden="false" customHeight="true" outlineLevel="0" collapsed="false">
      <c r="A66" s="23" t="s">
        <v>948</v>
      </c>
      <c r="B66" s="23"/>
      <c r="C66" s="23"/>
      <c r="D66" s="51"/>
      <c r="E66" s="51"/>
      <c r="F66" s="51"/>
      <c r="G66" s="51"/>
      <c r="H66" s="51"/>
      <c r="I66" s="51"/>
    </row>
    <row r="67" customFormat="false" ht="25.5" hidden="false" customHeight="true" outlineLevel="0" collapsed="false">
      <c r="A67" s="23" t="s">
        <v>949</v>
      </c>
      <c r="B67" s="23"/>
      <c r="C67" s="23"/>
      <c r="D67" s="51"/>
      <c r="E67" s="51"/>
      <c r="F67" s="51"/>
      <c r="G67" s="51"/>
      <c r="H67" s="51"/>
      <c r="I67" s="51"/>
    </row>
  </sheetData>
  <mergeCells count="26">
    <mergeCell ref="A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A60:I60"/>
    <mergeCell ref="A61:C61"/>
    <mergeCell ref="D61:I61"/>
    <mergeCell ref="A62:C62"/>
    <mergeCell ref="D62:I62"/>
    <mergeCell ref="A63:C63"/>
    <mergeCell ref="D63:I63"/>
    <mergeCell ref="A64:C64"/>
    <mergeCell ref="D64:I64"/>
    <mergeCell ref="A65:C65"/>
    <mergeCell ref="D65:I65"/>
    <mergeCell ref="A66:C66"/>
    <mergeCell ref="D66:I66"/>
    <mergeCell ref="A67:C67"/>
    <mergeCell ref="D67:I67"/>
  </mergeCells>
  <dataValidations count="1">
    <dataValidation allowBlank="true" errorStyle="stop" operator="between" showDropDown="false" showErrorMessage="false" showInputMessage="false" sqref="D3:E3 D7:E7 D11:E11 D15:E15 D20:E20 D25:E25 D29:E29 D33:E33 D37:E37 D41:E41 D44:E44 D47:E4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2026-07-05T12:10:21Z</dcterms:created>
  <dc:creator>openpyxl</dc:creator>
  <dc:description/>
  <dc:language>en-US</dc:language>
  <cp:lastModifiedBy/>
  <dcterms:modified xsi:type="dcterms:W3CDTF">2026-07-05T15:59:17Z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