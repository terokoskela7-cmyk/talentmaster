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jeet" sheetId="1" state="visible" r:id="rId1"/>
    <sheet xmlns:r="http://schemas.openxmlformats.org/officeDocument/2006/relationships" name="Mittauslomake" sheetId="2" state="visible" r:id="rId2"/>
    <sheet xmlns:r="http://schemas.openxmlformats.org/officeDocument/2006/relationships" name="Yli-ikaisyys" sheetId="3" state="visible" r:id="rId3"/>
    <sheet xmlns:r="http://schemas.openxmlformats.org/officeDocument/2006/relationships" name="Kaav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00"/>
    <numFmt numFmtId="166" formatCode="0.0"/>
  </numFmts>
  <fonts count="20">
    <font>
      <name val="Calibri"/>
      <family val="2"/>
      <color theme="1"/>
      <sz val="11"/>
      <scheme val="minor"/>
    </font>
    <font>
      <name val="Arial"/>
      <b val="1"/>
      <color rgb="FFF5B700"/>
      <sz val="16"/>
    </font>
    <font>
      <name val="Arial"/>
      <color rgb="FFFFFFFF"/>
      <sz val="10"/>
    </font>
    <font>
      <name val="Arial"/>
      <b val="1"/>
      <color rgb="FFFFFFFF"/>
      <sz val="10"/>
    </font>
    <font>
      <name val="Arial"/>
      <color rgb="FF1A1A2E"/>
      <sz val="10"/>
    </font>
    <font>
      <name val="Arial"/>
      <color rgb="FF5D4037"/>
      <sz val="10"/>
    </font>
    <font>
      <name val="Arial"/>
      <color rgb="FF0D47A1"/>
      <sz val="10"/>
    </font>
    <font>
      <name val="Arial"/>
      <color rgb="FF666666"/>
      <sz val="10"/>
    </font>
    <font>
      <name val="Arial"/>
      <b val="1"/>
      <color rgb="FFFFFFFF"/>
      <sz val="13"/>
    </font>
    <font>
      <name val="Arial"/>
      <color rgb="FF666666"/>
      <sz val="9"/>
    </font>
    <font>
      <name val="Arial"/>
      <b val="1"/>
      <color rgb="FF1A1A2E"/>
      <sz val="10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color rgb="FF0D47A1"/>
      <sz val="9"/>
    </font>
    <font>
      <name val="Arial"/>
      <b val="1"/>
      <color rgb="FF0D47A1"/>
      <sz val="10"/>
    </font>
    <font>
      <name val="Arial"/>
      <b val="1"/>
      <color rgb="FF0D47A1"/>
      <sz val="9"/>
    </font>
    <font>
      <name val="Arial"/>
      <b val="1"/>
      <color rgb="FFFFFFFF"/>
      <sz val="12"/>
    </font>
    <font>
      <name val="Arial"/>
      <sz val="10"/>
    </font>
    <font>
      <name val="Arial"/>
      <b val="1"/>
      <color rgb="FF880E4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2D2D4A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FF9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1A4A2E"/>
      </patternFill>
    </fill>
    <fill>
      <patternFill patternType="solid">
        <fgColor rgb="FF1A2A4A"/>
      </patternFill>
    </fill>
    <fill>
      <patternFill patternType="solid">
        <fgColor rgb="FFF8F8F8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center" vertical="center"/>
    </xf>
    <xf numFmtId="166" fontId="13" fillId="7" borderId="1" applyAlignment="1" pivotButton="0" quotePrefix="0" xfId="0">
      <alignment horizontal="center" vertical="center"/>
    </xf>
    <xf numFmtId="2" fontId="14" fillId="7" borderId="1" applyAlignment="1" pivotButton="0" quotePrefix="0" xfId="0">
      <alignment horizontal="center" vertical="center"/>
    </xf>
    <xf numFmtId="2" fontId="13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2" fontId="18" fillId="12" borderId="1" applyAlignment="1" pivotButton="0" quotePrefix="0" xfId="0">
      <alignment horizontal="center" vertical="center"/>
    </xf>
    <xf numFmtId="0" fontId="19" fillId="11" borderId="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6" fillId="3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workbookViewId="0">
      <selection activeCell="A1" sqref="A1"/>
    </sheetView>
  </sheetViews>
  <sheetFormatPr baseColWidth="8" defaultRowHeight="15"/>
  <cols>
    <col width="3" customWidth="1" min="1" max="1"/>
    <col width="70" customWidth="1" min="2" max="2"/>
  </cols>
  <sheetData>
    <row r="1" ht="36" customHeight="1">
      <c r="B1" s="1" t="inlineStr">
        <is>
          <t>TalentMaster — Biologinen ika &amp; Yli-ikaisyyssaanto</t>
        </is>
      </c>
    </row>
    <row r="2">
      <c r="B2" s="2" t="inlineStr">
        <is>
          <t>Mirwald 2002 -kaava | Suomen Palloliitto yli-ikaisyyssaanto | TalentMaster pilotti 2026</t>
        </is>
      </c>
    </row>
    <row r="4" ht="20" customHeight="1">
      <c r="B4" s="3" t="inlineStr">
        <is>
          <t>YLEISKUVAUS</t>
        </is>
      </c>
    </row>
    <row r="5" ht="40" customHeight="1">
      <c r="B5" s="4" t="inlineStr">
        <is>
          <t>Tama pohja laskee pelaajan biologisen ian ja PHV-tilan Mirwald 2002 -kaavalla. Se tarkistaa automaattisesti tayttaako pelaaja Palloliiton yli-ikaisyyssaannon poikkeusluvan vaatimukset.</t>
        </is>
      </c>
    </row>
    <row r="6" ht="20" customHeight="1">
      <c r="B6" s="3" t="inlineStr">
        <is>
          <t>MITA MITATAAN</t>
        </is>
      </c>
    </row>
    <row r="7" ht="40" customHeight="1">
      <c r="B7" s="4" t="inlineStr">
        <is>
          <t>1. Seisomapituus (cm) — kaksi mittausta, jarjestelma laskee keskiarvon
2. Paino (kg) — kaksi mittausta, jarjestelma laskee keskiarvon
3. Istumapituus (cm) — pelaaja istuu tuolilla, mitataan istuinluista paalaen
4. Syntymapaivamaara ja testipaiva — jarjestelma laskee ian automaattisesti
5. Sukupuoli P/T — pojat ja tyto kayttavat eri kaavoja</t>
        </is>
      </c>
    </row>
    <row r="10" ht="20" customHeight="1">
      <c r="B10" s="3" t="inlineStr">
        <is>
          <t>YLI-IKAISYYSSAANTO</t>
        </is>
      </c>
    </row>
    <row r="11" ht="40" customHeight="1">
      <c r="B11" s="5" t="inlineStr">
        <is>
          <t>Palloliitto sallii poikkeusluvan pelaajalle pelata nuoremmassa ikäluokassa jos biologinen kypsyminen on myohäistä. Kynnys = APHV - 0.75 vuotta per syntymakuukausi.
Pojilla kynnys vaihtelee 14.05–14.97 ja tytoilla 12.15–13.07.
Jos Mirwald-PHV-ika &gt;= kynnys → VP voi hakea poikkeuslupaa Palloliitolta.</t>
        </is>
      </c>
    </row>
    <row r="13" ht="20" customHeight="1">
      <c r="B13" s="3" t="inlineStr">
        <is>
          <t>KELTAISET SOLUT</t>
        </is>
      </c>
    </row>
    <row r="14" ht="20" customHeight="1">
      <c r="B14" s="3" t="inlineStr">
        <is>
          <t>SINISET SOLUT</t>
        </is>
      </c>
    </row>
    <row r="15" ht="20" customHeight="1">
      <c r="B15" s="3" t="inlineStr">
        <is>
          <t>VALILEHDET</t>
        </is>
      </c>
    </row>
    <row r="16" ht="40" customHeight="1">
      <c r="B16" s="6" t="inlineStr">
        <is>
          <t>Mittauslomake = taytat tanne | Yli-ikaisyys = kynnysarvo-taulukko | Kaavat = selitykset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9B"/>
    <outlinePr summaryBelow="1" summaryRight="1"/>
    <pageSetUpPr/>
  </sheetPr>
  <dimension ref="A1:T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8" customWidth="1" min="4" max="4"/>
    <col width="12" customWidth="1" min="5" max="5"/>
    <col width="11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0" customWidth="1" min="15" max="15"/>
    <col width="11" customWidth="1" min="16" max="16"/>
    <col width="12" customWidth="1" min="17" max="17"/>
    <col width="14" customWidth="1" min="18" max="18"/>
    <col width="22" customWidth="1" min="19" max="19"/>
    <col width="20" customWidth="1" min="20" max="20"/>
  </cols>
  <sheetData>
    <row r="1" ht="28" customHeight="1">
      <c r="A1" s="7" t="inlineStr">
        <is>
          <t>BIOLOGINEN IKA - MITTAUSLOMAKE  |  Mirwald 2002  |  TalentMaster</t>
        </is>
      </c>
    </row>
    <row r="2" ht="16" customHeight="1">
      <c r="A2" s="8" t="inlineStr">
        <is>
          <t>Keltainen = syota tiedot  |  Sininen = laskettu automaattisesti  |  Vihrea/Punainen = yli-ikaisyys-tulos</t>
        </is>
      </c>
    </row>
    <row r="3" ht="18" customHeight="1">
      <c r="A3" s="9" t="inlineStr">
        <is>
          <t>Seura:</t>
        </is>
      </c>
      <c r="B3" s="10" t="n"/>
      <c r="D3" s="9" t="inlineStr">
        <is>
          <t>Kausi:</t>
        </is>
      </c>
      <c r="E3" s="10" t="n"/>
      <c r="G3" s="9" t="inlineStr">
        <is>
          <t>Arvioija:</t>
        </is>
      </c>
      <c r="H3" s="10" t="n"/>
    </row>
    <row r="4" ht="20" customHeight="1">
      <c r="A4" s="11" t="inlineStr">
        <is>
          <t>Perustiedot</t>
        </is>
      </c>
      <c r="H4" s="12" t="inlineStr">
        <is>
          <t>Mittaukset (syota)</t>
        </is>
      </c>
      <c r="O4" s="13" t="inlineStr">
        <is>
          <t>Laskentatulokset (automaattinen)</t>
        </is>
      </c>
    </row>
    <row r="5" ht="30" customHeight="1">
      <c r="A5" s="14" t="inlineStr">
        <is>
          <t>#</t>
        </is>
      </c>
      <c r="B5" s="14" t="inlineStr">
        <is>
          <t>Sukunimi</t>
        </is>
      </c>
      <c r="C5" s="14" t="inlineStr">
        <is>
          <t>Etunimi</t>
        </is>
      </c>
      <c r="D5" s="14" t="inlineStr">
        <is>
          <t>Sukup
(P/T)</t>
        </is>
      </c>
      <c r="E5" s="14" t="inlineStr">
        <is>
          <t>Syntymapvm</t>
        </is>
      </c>
      <c r="F5" s="14" t="inlineStr">
        <is>
          <t>Testipaiva</t>
        </is>
      </c>
      <c r="G5" s="15" t="inlineStr">
        <is>
          <t>Ika
(v)</t>
        </is>
      </c>
      <c r="H5" s="16" t="inlineStr">
        <is>
          <t>Pituus 1
(cm)</t>
        </is>
      </c>
      <c r="I5" s="16" t="inlineStr">
        <is>
          <t>Pituus 2
(cm)</t>
        </is>
      </c>
      <c r="J5" s="16" t="inlineStr">
        <is>
          <t>Pituus
(ka)</t>
        </is>
      </c>
      <c r="K5" s="16" t="inlineStr">
        <is>
          <t>Paino 1
(kg)</t>
        </is>
      </c>
      <c r="L5" s="16" t="inlineStr">
        <is>
          <t>Paino 2
(kg)</t>
        </is>
      </c>
      <c r="M5" s="16" t="inlineStr">
        <is>
          <t>Paino
(ka)</t>
        </is>
      </c>
      <c r="N5" s="16" t="inlineStr">
        <is>
          <t>Istuma-
pituus (cm)</t>
        </is>
      </c>
      <c r="O5" s="15" t="inlineStr">
        <is>
          <t>Jalkojen
pituus</t>
        </is>
      </c>
      <c r="P5" s="15" t="inlineStr">
        <is>
          <t>PHV-ika
(Mirwald)</t>
        </is>
      </c>
      <c r="Q5" s="15" t="inlineStr">
        <is>
          <t>Maturity
offset</t>
        </is>
      </c>
      <c r="R5" s="15" t="inlineStr">
        <is>
          <t>PHV-tila</t>
        </is>
      </c>
      <c r="S5" s="15" t="inlineStr">
        <is>
          <t>Yli-ikaisyys
poikkeuslupa?</t>
        </is>
      </c>
      <c r="T5" s="14" t="inlineStr">
        <is>
          <t>Huomiot</t>
        </is>
      </c>
    </row>
    <row r="6">
      <c r="A6" s="17" t="n">
        <v>1</v>
      </c>
      <c r="B6" s="10" t="n"/>
      <c r="C6" s="10" t="n"/>
      <c r="D6" s="10" t="n"/>
      <c r="E6" s="18" t="n"/>
      <c r="F6" s="18" t="n"/>
      <c r="G6" s="19">
        <f>IFERROR(IF(AND(F6&lt;&gt;"",E6&lt;&gt;""),ROUND((F6-E6)/365.25,3),""),"")</f>
        <v/>
      </c>
      <c r="H6" s="10" t="n"/>
      <c r="I6" s="10" t="n"/>
      <c r="J6" s="20">
        <f>IFERROR(IF(AND(H6&lt;&gt;"",I6&lt;&gt;""),AVERAGE(H6,I6),""),"")</f>
        <v/>
      </c>
      <c r="K6" s="10" t="n"/>
      <c r="L6" s="10" t="n"/>
      <c r="M6" s="20">
        <f>IFERROR(IF(AND(K6&lt;&gt;"",L6&lt;&gt;""),AVERAGE(K6,L6),""),"")</f>
        <v/>
      </c>
      <c r="N6" s="10" t="n"/>
      <c r="O6" s="20">
        <f>IFERROR(IF(AND(J6&lt;&gt;"",N6&lt;&gt;""),J6-N6,""),"")</f>
        <v/>
      </c>
      <c r="P6" s="21">
        <f>IFERROR(IF(Q6&lt;&gt;"",ROUND(G6-Q6,2),""),"")</f>
        <v/>
      </c>
      <c r="Q6" s="22">
        <f>IFERROR(IF(AND(D6&lt;&gt;"",G6&lt;&gt;"",J6&lt;&gt;"",M6&lt;&gt;"",N6&lt;&gt;"",O6&lt;&gt;""),IF(D6="P",-9.236+0.0002708*(O6*N6)-0.001663*(G6*O6)+0.007216*(G6*N6)+0.02292*(M6/J6*100),-9.376+0.0001882*(O6*N6)+0.0022*(G6*O6)+0.005841*(G6*N6)-0.002658*(G6*M6)+0.07693*(M6/J6*100)),""),"")</f>
        <v/>
      </c>
      <c r="R6" s="23">
        <f>IFERROR(IF(Q6&lt;&gt;"",IF(Q6&lt;-1,"Pre-PHV (&gt;1v ennen)",IF(Q6&lt;-0.5,"Lahestyy PHV (0.5-1v)",IF(Q6&lt;=0.5,"PHV-huippu (+-0.5v)",IF(Q6&lt;=1,"Post-PHV (0.5-1v jalk.)","Jalki-PHV (&gt;1v jalk.)")))),""),"")</f>
        <v/>
      </c>
      <c r="S6" s="24">
        <f>IFERROR(IF(AND(P6&lt;&gt;"",E6&lt;&gt;"",D6&lt;&gt;""),IF(D6="P",IF(P6&gt;=VLOOKUP(MONTH(E6),'Yli-ikaisyys'!$A$5:$B$16,2,FALSE),"KYLLA - poikkeuslupa mahdollinen","EI tayta ehtoja"),IF(P6&gt;=VLOOKUP(MONTH(E6),'Yli-ikaisyys'!$A$5:$C$16,3,FALSE),"KYLLA - poikkeuslupa mahdollinen","EI tayta ehtoja")),""),"")</f>
        <v/>
      </c>
      <c r="T6" s="10" t="n"/>
    </row>
    <row r="7">
      <c r="A7" s="25" t="n">
        <v>2</v>
      </c>
      <c r="B7" s="10" t="n"/>
      <c r="C7" s="10" t="n"/>
      <c r="D7" s="10" t="n"/>
      <c r="E7" s="18" t="n"/>
      <c r="F7" s="18" t="n"/>
      <c r="G7" s="19">
        <f>IFERROR(IF(AND(F7&lt;&gt;"",E7&lt;&gt;""),ROUND((F7-E7)/365.25,3),""),"")</f>
        <v/>
      </c>
      <c r="H7" s="10" t="n"/>
      <c r="I7" s="10" t="n"/>
      <c r="J7" s="20">
        <f>IFERROR(IF(AND(H7&lt;&gt;"",I7&lt;&gt;""),AVERAGE(H7,I7),""),"")</f>
        <v/>
      </c>
      <c r="K7" s="10" t="n"/>
      <c r="L7" s="10" t="n"/>
      <c r="M7" s="20">
        <f>IFERROR(IF(AND(K7&lt;&gt;"",L7&lt;&gt;""),AVERAGE(K7,L7),""),"")</f>
        <v/>
      </c>
      <c r="N7" s="10" t="n"/>
      <c r="O7" s="20">
        <f>IFERROR(IF(AND(J7&lt;&gt;"",N7&lt;&gt;""),J7-N7,""),"")</f>
        <v/>
      </c>
      <c r="P7" s="21">
        <f>IFERROR(IF(Q7&lt;&gt;"",ROUND(G7-Q7,2),""),"")</f>
        <v/>
      </c>
      <c r="Q7" s="22">
        <f>IFERROR(IF(AND(D7&lt;&gt;"",G7&lt;&gt;"",J7&lt;&gt;"",M7&lt;&gt;"",N7&lt;&gt;"",O7&lt;&gt;""),IF(D7="P",-9.236+0.0002708*(O7*N7)-0.001663*(G7*O7)+0.007216*(G7*N7)+0.02292*(M7/J7*100),-9.376+0.0001882*(O7*N7)+0.0022*(G7*O7)+0.005841*(G7*N7)-0.002658*(G7*M7)+0.07693*(M7/J7*100)),""),"")</f>
        <v/>
      </c>
      <c r="R7" s="23">
        <f>IFERROR(IF(Q7&lt;&gt;"",IF(Q7&lt;-1,"Pre-PHV (&gt;1v ennen)",IF(Q7&lt;-0.5,"Lahestyy PHV (0.5-1v)",IF(Q7&lt;=0.5,"PHV-huippu (+-0.5v)",IF(Q7&lt;=1,"Post-PHV (0.5-1v jalk.)","Jalki-PHV (&gt;1v jalk.)")))),""),"")</f>
        <v/>
      </c>
      <c r="S7" s="24">
        <f>IFERROR(IF(AND(P7&lt;&gt;"",E7&lt;&gt;"",D7&lt;&gt;""),IF(D7="P",IF(P7&gt;=VLOOKUP(MONTH(E7),'Yli-ikaisyys'!$A$5:$B$16,2,FALSE),"KYLLA - poikkeuslupa mahdollinen","EI tayta ehtoja"),IF(P7&gt;=VLOOKUP(MONTH(E7),'Yli-ikaisyys'!$A$5:$C$16,3,FALSE),"KYLLA - poikkeuslupa mahdollinen","EI tayta ehtoja")),""),"")</f>
        <v/>
      </c>
      <c r="T7" s="10" t="n"/>
    </row>
    <row r="8">
      <c r="A8" s="17" t="n">
        <v>3</v>
      </c>
      <c r="B8" s="10" t="n"/>
      <c r="C8" s="10" t="n"/>
      <c r="D8" s="10" t="n"/>
      <c r="E8" s="18" t="n"/>
      <c r="F8" s="18" t="n"/>
      <c r="G8" s="19">
        <f>IFERROR(IF(AND(F8&lt;&gt;"",E8&lt;&gt;""),ROUND((F8-E8)/365.25,3),""),"")</f>
        <v/>
      </c>
      <c r="H8" s="10" t="n"/>
      <c r="I8" s="10" t="n"/>
      <c r="J8" s="20">
        <f>IFERROR(IF(AND(H8&lt;&gt;"",I8&lt;&gt;""),AVERAGE(H8,I8),""),"")</f>
        <v/>
      </c>
      <c r="K8" s="10" t="n"/>
      <c r="L8" s="10" t="n"/>
      <c r="M8" s="20">
        <f>IFERROR(IF(AND(K8&lt;&gt;"",L8&lt;&gt;""),AVERAGE(K8,L8),""),"")</f>
        <v/>
      </c>
      <c r="N8" s="10" t="n"/>
      <c r="O8" s="20">
        <f>IFERROR(IF(AND(J8&lt;&gt;"",N8&lt;&gt;""),J8-N8,""),"")</f>
        <v/>
      </c>
      <c r="P8" s="21">
        <f>IFERROR(IF(Q8&lt;&gt;"",ROUND(G8-Q8,2),""),"")</f>
        <v/>
      </c>
      <c r="Q8" s="22">
        <f>IFERROR(IF(AND(D8&lt;&gt;"",G8&lt;&gt;"",J8&lt;&gt;"",M8&lt;&gt;"",N8&lt;&gt;"",O8&lt;&gt;""),IF(D8="P",-9.236+0.0002708*(O8*N8)-0.001663*(G8*O8)+0.007216*(G8*N8)+0.02292*(M8/J8*100),-9.376+0.0001882*(O8*N8)+0.0022*(G8*O8)+0.005841*(G8*N8)-0.002658*(G8*M8)+0.07693*(M8/J8*100)),""),"")</f>
        <v/>
      </c>
      <c r="R8" s="23">
        <f>IFERROR(IF(Q8&lt;&gt;"",IF(Q8&lt;-1,"Pre-PHV (&gt;1v ennen)",IF(Q8&lt;-0.5,"Lahestyy PHV (0.5-1v)",IF(Q8&lt;=0.5,"PHV-huippu (+-0.5v)",IF(Q8&lt;=1,"Post-PHV (0.5-1v jalk.)","Jalki-PHV (&gt;1v jalk.)")))),""),"")</f>
        <v/>
      </c>
      <c r="S8" s="24">
        <f>IFERROR(IF(AND(P8&lt;&gt;"",E8&lt;&gt;"",D8&lt;&gt;""),IF(D8="P",IF(P8&gt;=VLOOKUP(MONTH(E8),'Yli-ikaisyys'!$A$5:$B$16,2,FALSE),"KYLLA - poikkeuslupa mahdollinen","EI tayta ehtoja"),IF(P8&gt;=VLOOKUP(MONTH(E8),'Yli-ikaisyys'!$A$5:$C$16,3,FALSE),"KYLLA - poikkeuslupa mahdollinen","EI tayta ehtoja")),""),"")</f>
        <v/>
      </c>
      <c r="T8" s="10" t="n"/>
    </row>
    <row r="9">
      <c r="A9" s="25" t="n">
        <v>4</v>
      </c>
      <c r="B9" s="10" t="n"/>
      <c r="C9" s="10" t="n"/>
      <c r="D9" s="10" t="n"/>
      <c r="E9" s="18" t="n"/>
      <c r="F9" s="18" t="n"/>
      <c r="G9" s="19">
        <f>IFERROR(IF(AND(F9&lt;&gt;"",E9&lt;&gt;""),ROUND((F9-E9)/365.25,3),""),"")</f>
        <v/>
      </c>
      <c r="H9" s="10" t="n"/>
      <c r="I9" s="10" t="n"/>
      <c r="J9" s="20">
        <f>IFERROR(IF(AND(H9&lt;&gt;"",I9&lt;&gt;""),AVERAGE(H9,I9),""),"")</f>
        <v/>
      </c>
      <c r="K9" s="10" t="n"/>
      <c r="L9" s="10" t="n"/>
      <c r="M9" s="20">
        <f>IFERROR(IF(AND(K9&lt;&gt;"",L9&lt;&gt;""),AVERAGE(K9,L9),""),"")</f>
        <v/>
      </c>
      <c r="N9" s="10" t="n"/>
      <c r="O9" s="20">
        <f>IFERROR(IF(AND(J9&lt;&gt;"",N9&lt;&gt;""),J9-N9,""),"")</f>
        <v/>
      </c>
      <c r="P9" s="21">
        <f>IFERROR(IF(Q9&lt;&gt;"",ROUND(G9-Q9,2),""),"")</f>
        <v/>
      </c>
      <c r="Q9" s="22">
        <f>IFERROR(IF(AND(D9&lt;&gt;"",G9&lt;&gt;"",J9&lt;&gt;"",M9&lt;&gt;"",N9&lt;&gt;"",O9&lt;&gt;""),IF(D9="P",-9.236+0.0002708*(O9*N9)-0.001663*(G9*O9)+0.007216*(G9*N9)+0.02292*(M9/J9*100),-9.376+0.0001882*(O9*N9)+0.0022*(G9*O9)+0.005841*(G9*N9)-0.002658*(G9*M9)+0.07693*(M9/J9*100)),""),"")</f>
        <v/>
      </c>
      <c r="R9" s="23">
        <f>IFERROR(IF(Q9&lt;&gt;"",IF(Q9&lt;-1,"Pre-PHV (&gt;1v ennen)",IF(Q9&lt;-0.5,"Lahestyy PHV (0.5-1v)",IF(Q9&lt;=0.5,"PHV-huippu (+-0.5v)",IF(Q9&lt;=1,"Post-PHV (0.5-1v jalk.)","Jalki-PHV (&gt;1v jalk.)")))),""),"")</f>
        <v/>
      </c>
      <c r="S9" s="24">
        <f>IFERROR(IF(AND(P9&lt;&gt;"",E9&lt;&gt;"",D9&lt;&gt;""),IF(D9="P",IF(P9&gt;=VLOOKUP(MONTH(E9),'Yli-ikaisyys'!$A$5:$B$16,2,FALSE),"KYLLA - poikkeuslupa mahdollinen","EI tayta ehtoja"),IF(P9&gt;=VLOOKUP(MONTH(E9),'Yli-ikaisyys'!$A$5:$C$16,3,FALSE),"KYLLA - poikkeuslupa mahdollinen","EI tayta ehtoja")),""),"")</f>
        <v/>
      </c>
      <c r="T9" s="10" t="n"/>
    </row>
    <row r="10">
      <c r="A10" s="17" t="n">
        <v>5</v>
      </c>
      <c r="B10" s="10" t="n"/>
      <c r="C10" s="10" t="n"/>
      <c r="D10" s="10" t="n"/>
      <c r="E10" s="18" t="n"/>
      <c r="F10" s="18" t="n"/>
      <c r="G10" s="19">
        <f>IFERROR(IF(AND(F10&lt;&gt;"",E10&lt;&gt;""),ROUND((F10-E10)/365.25,3),""),"")</f>
        <v/>
      </c>
      <c r="H10" s="10" t="n"/>
      <c r="I10" s="10" t="n"/>
      <c r="J10" s="20">
        <f>IFERROR(IF(AND(H10&lt;&gt;"",I10&lt;&gt;""),AVERAGE(H10,I10),""),"")</f>
        <v/>
      </c>
      <c r="K10" s="10" t="n"/>
      <c r="L10" s="10" t="n"/>
      <c r="M10" s="20">
        <f>IFERROR(IF(AND(K10&lt;&gt;"",L10&lt;&gt;""),AVERAGE(K10,L10),""),"")</f>
        <v/>
      </c>
      <c r="N10" s="10" t="n"/>
      <c r="O10" s="20">
        <f>IFERROR(IF(AND(J10&lt;&gt;"",N10&lt;&gt;""),J10-N10,""),"")</f>
        <v/>
      </c>
      <c r="P10" s="21">
        <f>IFERROR(IF(Q10&lt;&gt;"",ROUND(G10-Q10,2),""),"")</f>
        <v/>
      </c>
      <c r="Q10" s="22">
        <f>IFERROR(IF(AND(D10&lt;&gt;"",G10&lt;&gt;"",J10&lt;&gt;"",M10&lt;&gt;"",N10&lt;&gt;"",O10&lt;&gt;""),IF(D10="P",-9.236+0.0002708*(O10*N10)-0.001663*(G10*O10)+0.007216*(G10*N10)+0.02292*(M10/J10*100),-9.376+0.0001882*(O10*N10)+0.0022*(G10*O10)+0.005841*(G10*N10)-0.002658*(G10*M10)+0.07693*(M10/J10*100)),""),"")</f>
        <v/>
      </c>
      <c r="R10" s="23">
        <f>IFERROR(IF(Q10&lt;&gt;"",IF(Q10&lt;-1,"Pre-PHV (&gt;1v ennen)",IF(Q10&lt;-0.5,"Lahestyy PHV (0.5-1v)",IF(Q10&lt;=0.5,"PHV-huippu (+-0.5v)",IF(Q10&lt;=1,"Post-PHV (0.5-1v jalk.)","Jalki-PHV (&gt;1v jalk.)")))),""),"")</f>
        <v/>
      </c>
      <c r="S10" s="24">
        <f>IFERROR(IF(AND(P10&lt;&gt;"",E10&lt;&gt;"",D10&lt;&gt;""),IF(D10="P",IF(P10&gt;=VLOOKUP(MONTH(E10),'Yli-ikaisyys'!$A$5:$B$16,2,FALSE),"KYLLA - poikkeuslupa mahdollinen","EI tayta ehtoja"),IF(P10&gt;=VLOOKUP(MONTH(E10),'Yli-ikaisyys'!$A$5:$C$16,3,FALSE),"KYLLA - poikkeuslupa mahdollinen","EI tayta ehtoja")),""),"")</f>
        <v/>
      </c>
      <c r="T10" s="10" t="n"/>
    </row>
    <row r="11">
      <c r="A11" s="25" t="n">
        <v>6</v>
      </c>
      <c r="B11" s="10" t="n"/>
      <c r="C11" s="10" t="n"/>
      <c r="D11" s="10" t="n"/>
      <c r="E11" s="18" t="n"/>
      <c r="F11" s="18" t="n"/>
      <c r="G11" s="19">
        <f>IFERROR(IF(AND(F11&lt;&gt;"",E11&lt;&gt;""),ROUND((F11-E11)/365.25,3),""),"")</f>
        <v/>
      </c>
      <c r="H11" s="10" t="n"/>
      <c r="I11" s="10" t="n"/>
      <c r="J11" s="20">
        <f>IFERROR(IF(AND(H11&lt;&gt;"",I11&lt;&gt;""),AVERAGE(H11,I11),""),"")</f>
        <v/>
      </c>
      <c r="K11" s="10" t="n"/>
      <c r="L11" s="10" t="n"/>
      <c r="M11" s="20">
        <f>IFERROR(IF(AND(K11&lt;&gt;"",L11&lt;&gt;""),AVERAGE(K11,L11),""),"")</f>
        <v/>
      </c>
      <c r="N11" s="10" t="n"/>
      <c r="O11" s="20">
        <f>IFERROR(IF(AND(J11&lt;&gt;"",N11&lt;&gt;""),J11-N11,""),"")</f>
        <v/>
      </c>
      <c r="P11" s="21">
        <f>IFERROR(IF(Q11&lt;&gt;"",ROUND(G11-Q11,2),""),"")</f>
        <v/>
      </c>
      <c r="Q11" s="22">
        <f>IFERROR(IF(AND(D11&lt;&gt;"",G11&lt;&gt;"",J11&lt;&gt;"",M11&lt;&gt;"",N11&lt;&gt;"",O11&lt;&gt;""),IF(D11="P",-9.236+0.0002708*(O11*N11)-0.001663*(G11*O11)+0.007216*(G11*N11)+0.02292*(M11/J11*100),-9.376+0.0001882*(O11*N11)+0.0022*(G11*O11)+0.005841*(G11*N11)-0.002658*(G11*M11)+0.07693*(M11/J11*100)),""),"")</f>
        <v/>
      </c>
      <c r="R11" s="23">
        <f>IFERROR(IF(Q11&lt;&gt;"",IF(Q11&lt;-1,"Pre-PHV (&gt;1v ennen)",IF(Q11&lt;-0.5,"Lahestyy PHV (0.5-1v)",IF(Q11&lt;=0.5,"PHV-huippu (+-0.5v)",IF(Q11&lt;=1,"Post-PHV (0.5-1v jalk.)","Jalki-PHV (&gt;1v jalk.)")))),""),"")</f>
        <v/>
      </c>
      <c r="S11" s="24">
        <f>IFERROR(IF(AND(P11&lt;&gt;"",E11&lt;&gt;"",D11&lt;&gt;""),IF(D11="P",IF(P11&gt;=VLOOKUP(MONTH(E11),'Yli-ikaisyys'!$A$5:$B$16,2,FALSE),"KYLLA - poikkeuslupa mahdollinen","EI tayta ehtoja"),IF(P11&gt;=VLOOKUP(MONTH(E11),'Yli-ikaisyys'!$A$5:$C$16,3,FALSE),"KYLLA - poikkeuslupa mahdollinen","EI tayta ehtoja")),""),"")</f>
        <v/>
      </c>
      <c r="T11" s="10" t="n"/>
    </row>
    <row r="12">
      <c r="A12" s="17" t="n">
        <v>7</v>
      </c>
      <c r="B12" s="10" t="n"/>
      <c r="C12" s="10" t="n"/>
      <c r="D12" s="10" t="n"/>
      <c r="E12" s="18" t="n"/>
      <c r="F12" s="18" t="n"/>
      <c r="G12" s="19">
        <f>IFERROR(IF(AND(F12&lt;&gt;"",E12&lt;&gt;""),ROUND((F12-E12)/365.25,3),""),"")</f>
        <v/>
      </c>
      <c r="H12" s="10" t="n"/>
      <c r="I12" s="10" t="n"/>
      <c r="J12" s="20">
        <f>IFERROR(IF(AND(H12&lt;&gt;"",I12&lt;&gt;""),AVERAGE(H12,I12),""),"")</f>
        <v/>
      </c>
      <c r="K12" s="10" t="n"/>
      <c r="L12" s="10" t="n"/>
      <c r="M12" s="20">
        <f>IFERROR(IF(AND(K12&lt;&gt;"",L12&lt;&gt;""),AVERAGE(K12,L12),""),"")</f>
        <v/>
      </c>
      <c r="N12" s="10" t="n"/>
      <c r="O12" s="20">
        <f>IFERROR(IF(AND(J12&lt;&gt;"",N12&lt;&gt;""),J12-N12,""),"")</f>
        <v/>
      </c>
      <c r="P12" s="21">
        <f>IFERROR(IF(Q12&lt;&gt;"",ROUND(G12-Q12,2),""),"")</f>
        <v/>
      </c>
      <c r="Q12" s="22">
        <f>IFERROR(IF(AND(D12&lt;&gt;"",G12&lt;&gt;"",J12&lt;&gt;"",M12&lt;&gt;"",N12&lt;&gt;"",O12&lt;&gt;""),IF(D12="P",-9.236+0.0002708*(O12*N12)-0.001663*(G12*O12)+0.007216*(G12*N12)+0.02292*(M12/J12*100),-9.376+0.0001882*(O12*N12)+0.0022*(G12*O12)+0.005841*(G12*N12)-0.002658*(G12*M12)+0.07693*(M12/J12*100)),""),"")</f>
        <v/>
      </c>
      <c r="R12" s="23">
        <f>IFERROR(IF(Q12&lt;&gt;"",IF(Q12&lt;-1,"Pre-PHV (&gt;1v ennen)",IF(Q12&lt;-0.5,"Lahestyy PHV (0.5-1v)",IF(Q12&lt;=0.5,"PHV-huippu (+-0.5v)",IF(Q12&lt;=1,"Post-PHV (0.5-1v jalk.)","Jalki-PHV (&gt;1v jalk.)")))),""),"")</f>
        <v/>
      </c>
      <c r="S12" s="24">
        <f>IFERROR(IF(AND(P12&lt;&gt;"",E12&lt;&gt;"",D12&lt;&gt;""),IF(D12="P",IF(P12&gt;=VLOOKUP(MONTH(E12),'Yli-ikaisyys'!$A$5:$B$16,2,FALSE),"KYLLA - poikkeuslupa mahdollinen","EI tayta ehtoja"),IF(P12&gt;=VLOOKUP(MONTH(E12),'Yli-ikaisyys'!$A$5:$C$16,3,FALSE),"KYLLA - poikkeuslupa mahdollinen","EI tayta ehtoja")),""),"")</f>
        <v/>
      </c>
      <c r="T12" s="10" t="n"/>
    </row>
    <row r="13">
      <c r="A13" s="25" t="n">
        <v>8</v>
      </c>
      <c r="B13" s="10" t="n"/>
      <c r="C13" s="10" t="n"/>
      <c r="D13" s="10" t="n"/>
      <c r="E13" s="18" t="n"/>
      <c r="F13" s="18" t="n"/>
      <c r="G13" s="19">
        <f>IFERROR(IF(AND(F13&lt;&gt;"",E13&lt;&gt;""),ROUND((F13-E13)/365.25,3),""),"")</f>
        <v/>
      </c>
      <c r="H13" s="10" t="n"/>
      <c r="I13" s="10" t="n"/>
      <c r="J13" s="20">
        <f>IFERROR(IF(AND(H13&lt;&gt;"",I13&lt;&gt;""),AVERAGE(H13,I13),""),"")</f>
        <v/>
      </c>
      <c r="K13" s="10" t="n"/>
      <c r="L13" s="10" t="n"/>
      <c r="M13" s="20">
        <f>IFERROR(IF(AND(K13&lt;&gt;"",L13&lt;&gt;""),AVERAGE(K13,L13),""),"")</f>
        <v/>
      </c>
      <c r="N13" s="10" t="n"/>
      <c r="O13" s="20">
        <f>IFERROR(IF(AND(J13&lt;&gt;"",N13&lt;&gt;""),J13-N13,""),"")</f>
        <v/>
      </c>
      <c r="P13" s="21">
        <f>IFERROR(IF(Q13&lt;&gt;"",ROUND(G13-Q13,2),""),"")</f>
        <v/>
      </c>
      <c r="Q13" s="22">
        <f>IFERROR(IF(AND(D13&lt;&gt;"",G13&lt;&gt;"",J13&lt;&gt;"",M13&lt;&gt;"",N13&lt;&gt;"",O13&lt;&gt;""),IF(D13="P",-9.236+0.0002708*(O13*N13)-0.001663*(G13*O13)+0.007216*(G13*N13)+0.02292*(M13/J13*100),-9.376+0.0001882*(O13*N13)+0.0022*(G13*O13)+0.005841*(G13*N13)-0.002658*(G13*M13)+0.07693*(M13/J13*100)),""),"")</f>
        <v/>
      </c>
      <c r="R13" s="23">
        <f>IFERROR(IF(Q13&lt;&gt;"",IF(Q13&lt;-1,"Pre-PHV (&gt;1v ennen)",IF(Q13&lt;-0.5,"Lahestyy PHV (0.5-1v)",IF(Q13&lt;=0.5,"PHV-huippu (+-0.5v)",IF(Q13&lt;=1,"Post-PHV (0.5-1v jalk.)","Jalki-PHV (&gt;1v jalk.)")))),""),"")</f>
        <v/>
      </c>
      <c r="S13" s="24">
        <f>IFERROR(IF(AND(P13&lt;&gt;"",E13&lt;&gt;"",D13&lt;&gt;""),IF(D13="P",IF(P13&gt;=VLOOKUP(MONTH(E13),'Yli-ikaisyys'!$A$5:$B$16,2,FALSE),"KYLLA - poikkeuslupa mahdollinen","EI tayta ehtoja"),IF(P13&gt;=VLOOKUP(MONTH(E13),'Yli-ikaisyys'!$A$5:$C$16,3,FALSE),"KYLLA - poikkeuslupa mahdollinen","EI tayta ehtoja")),""),"")</f>
        <v/>
      </c>
      <c r="T13" s="10" t="n"/>
    </row>
    <row r="14">
      <c r="A14" s="17" t="n">
        <v>9</v>
      </c>
      <c r="B14" s="10" t="n"/>
      <c r="C14" s="10" t="n"/>
      <c r="D14" s="10" t="n"/>
      <c r="E14" s="18" t="n"/>
      <c r="F14" s="18" t="n"/>
      <c r="G14" s="19">
        <f>IFERROR(IF(AND(F14&lt;&gt;"",E14&lt;&gt;""),ROUND((F14-E14)/365.25,3),""),"")</f>
        <v/>
      </c>
      <c r="H14" s="10" t="n"/>
      <c r="I14" s="10" t="n"/>
      <c r="J14" s="20">
        <f>IFERROR(IF(AND(H14&lt;&gt;"",I14&lt;&gt;""),AVERAGE(H14,I14),""),"")</f>
        <v/>
      </c>
      <c r="K14" s="10" t="n"/>
      <c r="L14" s="10" t="n"/>
      <c r="M14" s="20">
        <f>IFERROR(IF(AND(K14&lt;&gt;"",L14&lt;&gt;""),AVERAGE(K14,L14),""),"")</f>
        <v/>
      </c>
      <c r="N14" s="10" t="n"/>
      <c r="O14" s="20">
        <f>IFERROR(IF(AND(J14&lt;&gt;"",N14&lt;&gt;""),J14-N14,""),"")</f>
        <v/>
      </c>
      <c r="P14" s="21">
        <f>IFERROR(IF(Q14&lt;&gt;"",ROUND(G14-Q14,2),""),"")</f>
        <v/>
      </c>
      <c r="Q14" s="22">
        <f>IFERROR(IF(AND(D14&lt;&gt;"",G14&lt;&gt;"",J14&lt;&gt;"",M14&lt;&gt;"",N14&lt;&gt;"",O14&lt;&gt;""),IF(D14="P",-9.236+0.0002708*(O14*N14)-0.001663*(G14*O14)+0.007216*(G14*N14)+0.02292*(M14/J14*100),-9.376+0.0001882*(O14*N14)+0.0022*(G14*O14)+0.005841*(G14*N14)-0.002658*(G14*M14)+0.07693*(M14/J14*100)),""),"")</f>
        <v/>
      </c>
      <c r="R14" s="23">
        <f>IFERROR(IF(Q14&lt;&gt;"",IF(Q14&lt;-1,"Pre-PHV (&gt;1v ennen)",IF(Q14&lt;-0.5,"Lahestyy PHV (0.5-1v)",IF(Q14&lt;=0.5,"PHV-huippu (+-0.5v)",IF(Q14&lt;=1,"Post-PHV (0.5-1v jalk.)","Jalki-PHV (&gt;1v jalk.)")))),""),"")</f>
        <v/>
      </c>
      <c r="S14" s="24">
        <f>IFERROR(IF(AND(P14&lt;&gt;"",E14&lt;&gt;"",D14&lt;&gt;""),IF(D14="P",IF(P14&gt;=VLOOKUP(MONTH(E14),'Yli-ikaisyys'!$A$5:$B$16,2,FALSE),"KYLLA - poikkeuslupa mahdollinen","EI tayta ehtoja"),IF(P14&gt;=VLOOKUP(MONTH(E14),'Yli-ikaisyys'!$A$5:$C$16,3,FALSE),"KYLLA - poikkeuslupa mahdollinen","EI tayta ehtoja")),""),"")</f>
        <v/>
      </c>
      <c r="T14" s="10" t="n"/>
    </row>
    <row r="15">
      <c r="A15" s="25" t="n">
        <v>10</v>
      </c>
      <c r="B15" s="10" t="n"/>
      <c r="C15" s="10" t="n"/>
      <c r="D15" s="10" t="n"/>
      <c r="E15" s="18" t="n"/>
      <c r="F15" s="18" t="n"/>
      <c r="G15" s="19">
        <f>IFERROR(IF(AND(F15&lt;&gt;"",E15&lt;&gt;""),ROUND((F15-E15)/365.25,3),""),"")</f>
        <v/>
      </c>
      <c r="H15" s="10" t="n"/>
      <c r="I15" s="10" t="n"/>
      <c r="J15" s="20">
        <f>IFERROR(IF(AND(H15&lt;&gt;"",I15&lt;&gt;""),AVERAGE(H15,I15),""),"")</f>
        <v/>
      </c>
      <c r="K15" s="10" t="n"/>
      <c r="L15" s="10" t="n"/>
      <c r="M15" s="20">
        <f>IFERROR(IF(AND(K15&lt;&gt;"",L15&lt;&gt;""),AVERAGE(K15,L15),""),"")</f>
        <v/>
      </c>
      <c r="N15" s="10" t="n"/>
      <c r="O15" s="20">
        <f>IFERROR(IF(AND(J15&lt;&gt;"",N15&lt;&gt;""),J15-N15,""),"")</f>
        <v/>
      </c>
      <c r="P15" s="21">
        <f>IFERROR(IF(Q15&lt;&gt;"",ROUND(G15-Q15,2),""),"")</f>
        <v/>
      </c>
      <c r="Q15" s="22">
        <f>IFERROR(IF(AND(D15&lt;&gt;"",G15&lt;&gt;"",J15&lt;&gt;"",M15&lt;&gt;"",N15&lt;&gt;"",O15&lt;&gt;""),IF(D15="P",-9.236+0.0002708*(O15*N15)-0.001663*(G15*O15)+0.007216*(G15*N15)+0.02292*(M15/J15*100),-9.376+0.0001882*(O15*N15)+0.0022*(G15*O15)+0.005841*(G15*N15)-0.002658*(G15*M15)+0.07693*(M15/J15*100)),""),"")</f>
        <v/>
      </c>
      <c r="R15" s="23">
        <f>IFERROR(IF(Q15&lt;&gt;"",IF(Q15&lt;-1,"Pre-PHV (&gt;1v ennen)",IF(Q15&lt;-0.5,"Lahestyy PHV (0.5-1v)",IF(Q15&lt;=0.5,"PHV-huippu (+-0.5v)",IF(Q15&lt;=1,"Post-PHV (0.5-1v jalk.)","Jalki-PHV (&gt;1v jalk.)")))),""),"")</f>
        <v/>
      </c>
      <c r="S15" s="24">
        <f>IFERROR(IF(AND(P15&lt;&gt;"",E15&lt;&gt;"",D15&lt;&gt;""),IF(D15="P",IF(P15&gt;=VLOOKUP(MONTH(E15),'Yli-ikaisyys'!$A$5:$B$16,2,FALSE),"KYLLA - poikkeuslupa mahdollinen","EI tayta ehtoja"),IF(P15&gt;=VLOOKUP(MONTH(E15),'Yli-ikaisyys'!$A$5:$C$16,3,FALSE),"KYLLA - poikkeuslupa mahdollinen","EI tayta ehtoja")),""),"")</f>
        <v/>
      </c>
      <c r="T15" s="10" t="n"/>
    </row>
    <row r="16">
      <c r="A16" s="17" t="n">
        <v>11</v>
      </c>
      <c r="B16" s="10" t="n"/>
      <c r="C16" s="10" t="n"/>
      <c r="D16" s="10" t="n"/>
      <c r="E16" s="18" t="n"/>
      <c r="F16" s="18" t="n"/>
      <c r="G16" s="19">
        <f>IFERROR(IF(AND(F16&lt;&gt;"",E16&lt;&gt;""),ROUND((F16-E16)/365.25,3),""),"")</f>
        <v/>
      </c>
      <c r="H16" s="10" t="n"/>
      <c r="I16" s="10" t="n"/>
      <c r="J16" s="20">
        <f>IFERROR(IF(AND(H16&lt;&gt;"",I16&lt;&gt;""),AVERAGE(H16,I16),""),"")</f>
        <v/>
      </c>
      <c r="K16" s="10" t="n"/>
      <c r="L16" s="10" t="n"/>
      <c r="M16" s="20">
        <f>IFERROR(IF(AND(K16&lt;&gt;"",L16&lt;&gt;""),AVERAGE(K16,L16),""),"")</f>
        <v/>
      </c>
      <c r="N16" s="10" t="n"/>
      <c r="O16" s="20">
        <f>IFERROR(IF(AND(J16&lt;&gt;"",N16&lt;&gt;""),J16-N16,""),"")</f>
        <v/>
      </c>
      <c r="P16" s="21">
        <f>IFERROR(IF(Q16&lt;&gt;"",ROUND(G16-Q16,2),""),"")</f>
        <v/>
      </c>
      <c r="Q16" s="22">
        <f>IFERROR(IF(AND(D16&lt;&gt;"",G16&lt;&gt;"",J16&lt;&gt;"",M16&lt;&gt;"",N16&lt;&gt;"",O16&lt;&gt;""),IF(D16="P",-9.236+0.0002708*(O16*N16)-0.001663*(G16*O16)+0.007216*(G16*N16)+0.02292*(M16/J16*100),-9.376+0.0001882*(O16*N16)+0.0022*(G16*O16)+0.005841*(G16*N16)-0.002658*(G16*M16)+0.07693*(M16/J16*100)),""),"")</f>
        <v/>
      </c>
      <c r="R16" s="23">
        <f>IFERROR(IF(Q16&lt;&gt;"",IF(Q16&lt;-1,"Pre-PHV (&gt;1v ennen)",IF(Q16&lt;-0.5,"Lahestyy PHV (0.5-1v)",IF(Q16&lt;=0.5,"PHV-huippu (+-0.5v)",IF(Q16&lt;=1,"Post-PHV (0.5-1v jalk.)","Jalki-PHV (&gt;1v jalk.)")))),""),"")</f>
        <v/>
      </c>
      <c r="S16" s="24">
        <f>IFERROR(IF(AND(P16&lt;&gt;"",E16&lt;&gt;"",D16&lt;&gt;""),IF(D16="P",IF(P16&gt;=VLOOKUP(MONTH(E16),'Yli-ikaisyys'!$A$5:$B$16,2,FALSE),"KYLLA - poikkeuslupa mahdollinen","EI tayta ehtoja"),IF(P16&gt;=VLOOKUP(MONTH(E16),'Yli-ikaisyys'!$A$5:$C$16,3,FALSE),"KYLLA - poikkeuslupa mahdollinen","EI tayta ehtoja")),""),"")</f>
        <v/>
      </c>
      <c r="T16" s="10" t="n"/>
    </row>
    <row r="17">
      <c r="A17" s="25" t="n">
        <v>12</v>
      </c>
      <c r="B17" s="10" t="n"/>
      <c r="C17" s="10" t="n"/>
      <c r="D17" s="10" t="n"/>
      <c r="E17" s="18" t="n"/>
      <c r="F17" s="18" t="n"/>
      <c r="G17" s="19">
        <f>IFERROR(IF(AND(F17&lt;&gt;"",E17&lt;&gt;""),ROUND((F17-E17)/365.25,3),""),"")</f>
        <v/>
      </c>
      <c r="H17" s="10" t="n"/>
      <c r="I17" s="10" t="n"/>
      <c r="J17" s="20">
        <f>IFERROR(IF(AND(H17&lt;&gt;"",I17&lt;&gt;""),AVERAGE(H17,I17),""),"")</f>
        <v/>
      </c>
      <c r="K17" s="10" t="n"/>
      <c r="L17" s="10" t="n"/>
      <c r="M17" s="20">
        <f>IFERROR(IF(AND(K17&lt;&gt;"",L17&lt;&gt;""),AVERAGE(K17,L17),""),"")</f>
        <v/>
      </c>
      <c r="N17" s="10" t="n"/>
      <c r="O17" s="20">
        <f>IFERROR(IF(AND(J17&lt;&gt;"",N17&lt;&gt;""),J17-N17,""),"")</f>
        <v/>
      </c>
      <c r="P17" s="21">
        <f>IFERROR(IF(Q17&lt;&gt;"",ROUND(G17-Q17,2),""),"")</f>
        <v/>
      </c>
      <c r="Q17" s="22">
        <f>IFERROR(IF(AND(D17&lt;&gt;"",G17&lt;&gt;"",J17&lt;&gt;"",M17&lt;&gt;"",N17&lt;&gt;"",O17&lt;&gt;""),IF(D17="P",-9.236+0.0002708*(O17*N17)-0.001663*(G17*O17)+0.007216*(G17*N17)+0.02292*(M17/J17*100),-9.376+0.0001882*(O17*N17)+0.0022*(G17*O17)+0.005841*(G17*N17)-0.002658*(G17*M17)+0.07693*(M17/J17*100)),""),"")</f>
        <v/>
      </c>
      <c r="R17" s="23">
        <f>IFERROR(IF(Q17&lt;&gt;"",IF(Q17&lt;-1,"Pre-PHV (&gt;1v ennen)",IF(Q17&lt;-0.5,"Lahestyy PHV (0.5-1v)",IF(Q17&lt;=0.5,"PHV-huippu (+-0.5v)",IF(Q17&lt;=1,"Post-PHV (0.5-1v jalk.)","Jalki-PHV (&gt;1v jalk.)")))),""),"")</f>
        <v/>
      </c>
      <c r="S17" s="24">
        <f>IFERROR(IF(AND(P17&lt;&gt;"",E17&lt;&gt;"",D17&lt;&gt;""),IF(D17="P",IF(P17&gt;=VLOOKUP(MONTH(E17),'Yli-ikaisyys'!$A$5:$B$16,2,FALSE),"KYLLA - poikkeuslupa mahdollinen","EI tayta ehtoja"),IF(P17&gt;=VLOOKUP(MONTH(E17),'Yli-ikaisyys'!$A$5:$C$16,3,FALSE),"KYLLA - poikkeuslupa mahdollinen","EI tayta ehtoja")),""),"")</f>
        <v/>
      </c>
      <c r="T17" s="10" t="n"/>
    </row>
    <row r="18">
      <c r="A18" s="17" t="n">
        <v>13</v>
      </c>
      <c r="B18" s="10" t="n"/>
      <c r="C18" s="10" t="n"/>
      <c r="D18" s="10" t="n"/>
      <c r="E18" s="18" t="n"/>
      <c r="F18" s="18" t="n"/>
      <c r="G18" s="19">
        <f>IFERROR(IF(AND(F18&lt;&gt;"",E18&lt;&gt;""),ROUND((F18-E18)/365.25,3),""),"")</f>
        <v/>
      </c>
      <c r="H18" s="10" t="n"/>
      <c r="I18" s="10" t="n"/>
      <c r="J18" s="20">
        <f>IFERROR(IF(AND(H18&lt;&gt;"",I18&lt;&gt;""),AVERAGE(H18,I18),""),"")</f>
        <v/>
      </c>
      <c r="K18" s="10" t="n"/>
      <c r="L18" s="10" t="n"/>
      <c r="M18" s="20">
        <f>IFERROR(IF(AND(K18&lt;&gt;"",L18&lt;&gt;""),AVERAGE(K18,L18),""),"")</f>
        <v/>
      </c>
      <c r="N18" s="10" t="n"/>
      <c r="O18" s="20">
        <f>IFERROR(IF(AND(J18&lt;&gt;"",N18&lt;&gt;""),J18-N18,""),"")</f>
        <v/>
      </c>
      <c r="P18" s="21">
        <f>IFERROR(IF(Q18&lt;&gt;"",ROUND(G18-Q18,2),""),"")</f>
        <v/>
      </c>
      <c r="Q18" s="22">
        <f>IFERROR(IF(AND(D18&lt;&gt;"",G18&lt;&gt;"",J18&lt;&gt;"",M18&lt;&gt;"",N18&lt;&gt;"",O18&lt;&gt;""),IF(D18="P",-9.236+0.0002708*(O18*N18)-0.001663*(G18*O18)+0.007216*(G18*N18)+0.02292*(M18/J18*100),-9.376+0.0001882*(O18*N18)+0.0022*(G18*O18)+0.005841*(G18*N18)-0.002658*(G18*M18)+0.07693*(M18/J18*100)),""),"")</f>
        <v/>
      </c>
      <c r="R18" s="23">
        <f>IFERROR(IF(Q18&lt;&gt;"",IF(Q18&lt;-1,"Pre-PHV (&gt;1v ennen)",IF(Q18&lt;-0.5,"Lahestyy PHV (0.5-1v)",IF(Q18&lt;=0.5,"PHV-huippu (+-0.5v)",IF(Q18&lt;=1,"Post-PHV (0.5-1v jalk.)","Jalki-PHV (&gt;1v jalk.)")))),""),"")</f>
        <v/>
      </c>
      <c r="S18" s="24">
        <f>IFERROR(IF(AND(P18&lt;&gt;"",E18&lt;&gt;"",D18&lt;&gt;""),IF(D18="P",IF(P18&gt;=VLOOKUP(MONTH(E18),'Yli-ikaisyys'!$A$5:$B$16,2,FALSE),"KYLLA - poikkeuslupa mahdollinen","EI tayta ehtoja"),IF(P18&gt;=VLOOKUP(MONTH(E18),'Yli-ikaisyys'!$A$5:$C$16,3,FALSE),"KYLLA - poikkeuslupa mahdollinen","EI tayta ehtoja")),""),"")</f>
        <v/>
      </c>
      <c r="T18" s="10" t="n"/>
    </row>
    <row r="19">
      <c r="A19" s="25" t="n">
        <v>14</v>
      </c>
      <c r="B19" s="10" t="n"/>
      <c r="C19" s="10" t="n"/>
      <c r="D19" s="10" t="n"/>
      <c r="E19" s="18" t="n"/>
      <c r="F19" s="18" t="n"/>
      <c r="G19" s="19">
        <f>IFERROR(IF(AND(F19&lt;&gt;"",E19&lt;&gt;""),ROUND((F19-E19)/365.25,3),""),"")</f>
        <v/>
      </c>
      <c r="H19" s="10" t="n"/>
      <c r="I19" s="10" t="n"/>
      <c r="J19" s="20">
        <f>IFERROR(IF(AND(H19&lt;&gt;"",I19&lt;&gt;""),AVERAGE(H19,I19),""),"")</f>
        <v/>
      </c>
      <c r="K19" s="10" t="n"/>
      <c r="L19" s="10" t="n"/>
      <c r="M19" s="20">
        <f>IFERROR(IF(AND(K19&lt;&gt;"",L19&lt;&gt;""),AVERAGE(K19,L19),""),"")</f>
        <v/>
      </c>
      <c r="N19" s="10" t="n"/>
      <c r="O19" s="20">
        <f>IFERROR(IF(AND(J19&lt;&gt;"",N19&lt;&gt;""),J19-N19,""),"")</f>
        <v/>
      </c>
      <c r="P19" s="21">
        <f>IFERROR(IF(Q19&lt;&gt;"",ROUND(G19-Q19,2),""),"")</f>
        <v/>
      </c>
      <c r="Q19" s="22">
        <f>IFERROR(IF(AND(D19&lt;&gt;"",G19&lt;&gt;"",J19&lt;&gt;"",M19&lt;&gt;"",N19&lt;&gt;"",O19&lt;&gt;""),IF(D19="P",-9.236+0.0002708*(O19*N19)-0.001663*(G19*O19)+0.007216*(G19*N19)+0.02292*(M19/J19*100),-9.376+0.0001882*(O19*N19)+0.0022*(G19*O19)+0.005841*(G19*N19)-0.002658*(G19*M19)+0.07693*(M19/J19*100)),""),"")</f>
        <v/>
      </c>
      <c r="R19" s="23">
        <f>IFERROR(IF(Q19&lt;&gt;"",IF(Q19&lt;-1,"Pre-PHV (&gt;1v ennen)",IF(Q19&lt;-0.5,"Lahestyy PHV (0.5-1v)",IF(Q19&lt;=0.5,"PHV-huippu (+-0.5v)",IF(Q19&lt;=1,"Post-PHV (0.5-1v jalk.)","Jalki-PHV (&gt;1v jalk.)")))),""),"")</f>
        <v/>
      </c>
      <c r="S19" s="24">
        <f>IFERROR(IF(AND(P19&lt;&gt;"",E19&lt;&gt;"",D19&lt;&gt;""),IF(D19="P",IF(P19&gt;=VLOOKUP(MONTH(E19),'Yli-ikaisyys'!$A$5:$B$16,2,FALSE),"KYLLA - poikkeuslupa mahdollinen","EI tayta ehtoja"),IF(P19&gt;=VLOOKUP(MONTH(E19),'Yli-ikaisyys'!$A$5:$C$16,3,FALSE),"KYLLA - poikkeuslupa mahdollinen","EI tayta ehtoja")),""),"")</f>
        <v/>
      </c>
      <c r="T19" s="10" t="n"/>
    </row>
    <row r="20">
      <c r="A20" s="17" t="n">
        <v>15</v>
      </c>
      <c r="B20" s="10" t="n"/>
      <c r="C20" s="10" t="n"/>
      <c r="D20" s="10" t="n"/>
      <c r="E20" s="18" t="n"/>
      <c r="F20" s="18" t="n"/>
      <c r="G20" s="19">
        <f>IFERROR(IF(AND(F20&lt;&gt;"",E20&lt;&gt;""),ROUND((F20-E20)/365.25,3),""),"")</f>
        <v/>
      </c>
      <c r="H20" s="10" t="n"/>
      <c r="I20" s="10" t="n"/>
      <c r="J20" s="20">
        <f>IFERROR(IF(AND(H20&lt;&gt;"",I20&lt;&gt;""),AVERAGE(H20,I20),""),"")</f>
        <v/>
      </c>
      <c r="K20" s="10" t="n"/>
      <c r="L20" s="10" t="n"/>
      <c r="M20" s="20">
        <f>IFERROR(IF(AND(K20&lt;&gt;"",L20&lt;&gt;""),AVERAGE(K20,L20),""),"")</f>
        <v/>
      </c>
      <c r="N20" s="10" t="n"/>
      <c r="O20" s="20">
        <f>IFERROR(IF(AND(J20&lt;&gt;"",N20&lt;&gt;""),J20-N20,""),"")</f>
        <v/>
      </c>
      <c r="P20" s="21">
        <f>IFERROR(IF(Q20&lt;&gt;"",ROUND(G20-Q20,2),""),"")</f>
        <v/>
      </c>
      <c r="Q20" s="22">
        <f>IFERROR(IF(AND(D20&lt;&gt;"",G20&lt;&gt;"",J20&lt;&gt;"",M20&lt;&gt;"",N20&lt;&gt;"",O20&lt;&gt;""),IF(D20="P",-9.236+0.0002708*(O20*N20)-0.001663*(G20*O20)+0.007216*(G20*N20)+0.02292*(M20/J20*100),-9.376+0.0001882*(O20*N20)+0.0022*(G20*O20)+0.005841*(G20*N20)-0.002658*(G20*M20)+0.07693*(M20/J20*100)),""),"")</f>
        <v/>
      </c>
      <c r="R20" s="23">
        <f>IFERROR(IF(Q20&lt;&gt;"",IF(Q20&lt;-1,"Pre-PHV (&gt;1v ennen)",IF(Q20&lt;-0.5,"Lahestyy PHV (0.5-1v)",IF(Q20&lt;=0.5,"PHV-huippu (+-0.5v)",IF(Q20&lt;=1,"Post-PHV (0.5-1v jalk.)","Jalki-PHV (&gt;1v jalk.)")))),""),"")</f>
        <v/>
      </c>
      <c r="S20" s="24">
        <f>IFERROR(IF(AND(P20&lt;&gt;"",E20&lt;&gt;"",D20&lt;&gt;""),IF(D20="P",IF(P20&gt;=VLOOKUP(MONTH(E20),'Yli-ikaisyys'!$A$5:$B$16,2,FALSE),"KYLLA - poikkeuslupa mahdollinen","EI tayta ehtoja"),IF(P20&gt;=VLOOKUP(MONTH(E20),'Yli-ikaisyys'!$A$5:$C$16,3,FALSE),"KYLLA - poikkeuslupa mahdollinen","EI tayta ehtoja")),""),"")</f>
        <v/>
      </c>
      <c r="T20" s="10" t="n"/>
    </row>
    <row r="21">
      <c r="A21" s="25" t="n">
        <v>16</v>
      </c>
      <c r="B21" s="10" t="n"/>
      <c r="C21" s="10" t="n"/>
      <c r="D21" s="10" t="n"/>
      <c r="E21" s="18" t="n"/>
      <c r="F21" s="18" t="n"/>
      <c r="G21" s="19">
        <f>IFERROR(IF(AND(F21&lt;&gt;"",E21&lt;&gt;""),ROUND((F21-E21)/365.25,3),""),"")</f>
        <v/>
      </c>
      <c r="H21" s="10" t="n"/>
      <c r="I21" s="10" t="n"/>
      <c r="J21" s="20">
        <f>IFERROR(IF(AND(H21&lt;&gt;"",I21&lt;&gt;""),AVERAGE(H21,I21),""),"")</f>
        <v/>
      </c>
      <c r="K21" s="10" t="n"/>
      <c r="L21" s="10" t="n"/>
      <c r="M21" s="20">
        <f>IFERROR(IF(AND(K21&lt;&gt;"",L21&lt;&gt;""),AVERAGE(K21,L21),""),"")</f>
        <v/>
      </c>
      <c r="N21" s="10" t="n"/>
      <c r="O21" s="20">
        <f>IFERROR(IF(AND(J21&lt;&gt;"",N21&lt;&gt;""),J21-N21,""),"")</f>
        <v/>
      </c>
      <c r="P21" s="21">
        <f>IFERROR(IF(Q21&lt;&gt;"",ROUND(G21-Q21,2),""),"")</f>
        <v/>
      </c>
      <c r="Q21" s="22">
        <f>IFERROR(IF(AND(D21&lt;&gt;"",G21&lt;&gt;"",J21&lt;&gt;"",M21&lt;&gt;"",N21&lt;&gt;"",O21&lt;&gt;""),IF(D21="P",-9.236+0.0002708*(O21*N21)-0.001663*(G21*O21)+0.007216*(G21*N21)+0.02292*(M21/J21*100),-9.376+0.0001882*(O21*N21)+0.0022*(G21*O21)+0.005841*(G21*N21)-0.002658*(G21*M21)+0.07693*(M21/J21*100)),""),"")</f>
        <v/>
      </c>
      <c r="R21" s="23">
        <f>IFERROR(IF(Q21&lt;&gt;"",IF(Q21&lt;-1,"Pre-PHV (&gt;1v ennen)",IF(Q21&lt;-0.5,"Lahestyy PHV (0.5-1v)",IF(Q21&lt;=0.5,"PHV-huippu (+-0.5v)",IF(Q21&lt;=1,"Post-PHV (0.5-1v jalk.)","Jalki-PHV (&gt;1v jalk.)")))),""),"")</f>
        <v/>
      </c>
      <c r="S21" s="24">
        <f>IFERROR(IF(AND(P21&lt;&gt;"",E21&lt;&gt;"",D21&lt;&gt;""),IF(D21="P",IF(P21&gt;=VLOOKUP(MONTH(E21),'Yli-ikaisyys'!$A$5:$B$16,2,FALSE),"KYLLA - poikkeuslupa mahdollinen","EI tayta ehtoja"),IF(P21&gt;=VLOOKUP(MONTH(E21),'Yli-ikaisyys'!$A$5:$C$16,3,FALSE),"KYLLA - poikkeuslupa mahdollinen","EI tayta ehtoja")),""),"")</f>
        <v/>
      </c>
      <c r="T21" s="10" t="n"/>
    </row>
    <row r="22">
      <c r="A22" s="17" t="n">
        <v>17</v>
      </c>
      <c r="B22" s="10" t="n"/>
      <c r="C22" s="10" t="n"/>
      <c r="D22" s="10" t="n"/>
      <c r="E22" s="18" t="n"/>
      <c r="F22" s="18" t="n"/>
      <c r="G22" s="19">
        <f>IFERROR(IF(AND(F22&lt;&gt;"",E22&lt;&gt;""),ROUND((F22-E22)/365.25,3),""),"")</f>
        <v/>
      </c>
      <c r="H22" s="10" t="n"/>
      <c r="I22" s="10" t="n"/>
      <c r="J22" s="20">
        <f>IFERROR(IF(AND(H22&lt;&gt;"",I22&lt;&gt;""),AVERAGE(H22,I22),""),"")</f>
        <v/>
      </c>
      <c r="K22" s="10" t="n"/>
      <c r="L22" s="10" t="n"/>
      <c r="M22" s="20">
        <f>IFERROR(IF(AND(K22&lt;&gt;"",L22&lt;&gt;""),AVERAGE(K22,L22),""),"")</f>
        <v/>
      </c>
      <c r="N22" s="10" t="n"/>
      <c r="O22" s="20">
        <f>IFERROR(IF(AND(J22&lt;&gt;"",N22&lt;&gt;""),J22-N22,""),"")</f>
        <v/>
      </c>
      <c r="P22" s="21">
        <f>IFERROR(IF(Q22&lt;&gt;"",ROUND(G22-Q22,2),""),"")</f>
        <v/>
      </c>
      <c r="Q22" s="22">
        <f>IFERROR(IF(AND(D22&lt;&gt;"",G22&lt;&gt;"",J22&lt;&gt;"",M22&lt;&gt;"",N22&lt;&gt;"",O22&lt;&gt;""),IF(D22="P",-9.236+0.0002708*(O22*N22)-0.001663*(G22*O22)+0.007216*(G22*N22)+0.02292*(M22/J22*100),-9.376+0.0001882*(O22*N22)+0.0022*(G22*O22)+0.005841*(G22*N22)-0.002658*(G22*M22)+0.07693*(M22/J22*100)),""),"")</f>
        <v/>
      </c>
      <c r="R22" s="23">
        <f>IFERROR(IF(Q22&lt;&gt;"",IF(Q22&lt;-1,"Pre-PHV (&gt;1v ennen)",IF(Q22&lt;-0.5,"Lahestyy PHV (0.5-1v)",IF(Q22&lt;=0.5,"PHV-huippu (+-0.5v)",IF(Q22&lt;=1,"Post-PHV (0.5-1v jalk.)","Jalki-PHV (&gt;1v jalk.)")))),""),"")</f>
        <v/>
      </c>
      <c r="S22" s="24">
        <f>IFERROR(IF(AND(P22&lt;&gt;"",E22&lt;&gt;"",D22&lt;&gt;""),IF(D22="P",IF(P22&gt;=VLOOKUP(MONTH(E22),'Yli-ikaisyys'!$A$5:$B$16,2,FALSE),"KYLLA - poikkeuslupa mahdollinen","EI tayta ehtoja"),IF(P22&gt;=VLOOKUP(MONTH(E22),'Yli-ikaisyys'!$A$5:$C$16,3,FALSE),"KYLLA - poikkeuslupa mahdollinen","EI tayta ehtoja")),""),"")</f>
        <v/>
      </c>
      <c r="T22" s="10" t="n"/>
    </row>
    <row r="23">
      <c r="A23" s="25" t="n">
        <v>18</v>
      </c>
      <c r="B23" s="10" t="n"/>
      <c r="C23" s="10" t="n"/>
      <c r="D23" s="10" t="n"/>
      <c r="E23" s="18" t="n"/>
      <c r="F23" s="18" t="n"/>
      <c r="G23" s="19">
        <f>IFERROR(IF(AND(F23&lt;&gt;"",E23&lt;&gt;""),ROUND((F23-E23)/365.25,3),""),"")</f>
        <v/>
      </c>
      <c r="H23" s="10" t="n"/>
      <c r="I23" s="10" t="n"/>
      <c r="J23" s="20">
        <f>IFERROR(IF(AND(H23&lt;&gt;"",I23&lt;&gt;""),AVERAGE(H23,I23),""),"")</f>
        <v/>
      </c>
      <c r="K23" s="10" t="n"/>
      <c r="L23" s="10" t="n"/>
      <c r="M23" s="20">
        <f>IFERROR(IF(AND(K23&lt;&gt;"",L23&lt;&gt;""),AVERAGE(K23,L23),""),"")</f>
        <v/>
      </c>
      <c r="N23" s="10" t="n"/>
      <c r="O23" s="20">
        <f>IFERROR(IF(AND(J23&lt;&gt;"",N23&lt;&gt;""),J23-N23,""),"")</f>
        <v/>
      </c>
      <c r="P23" s="21">
        <f>IFERROR(IF(Q23&lt;&gt;"",ROUND(G23-Q23,2),""),"")</f>
        <v/>
      </c>
      <c r="Q23" s="22">
        <f>IFERROR(IF(AND(D23&lt;&gt;"",G23&lt;&gt;"",J23&lt;&gt;"",M23&lt;&gt;"",N23&lt;&gt;"",O23&lt;&gt;""),IF(D23="P",-9.236+0.0002708*(O23*N23)-0.001663*(G23*O23)+0.007216*(G23*N23)+0.02292*(M23/J23*100),-9.376+0.0001882*(O23*N23)+0.0022*(G23*O23)+0.005841*(G23*N23)-0.002658*(G23*M23)+0.07693*(M23/J23*100)),""),"")</f>
        <v/>
      </c>
      <c r="R23" s="23">
        <f>IFERROR(IF(Q23&lt;&gt;"",IF(Q23&lt;-1,"Pre-PHV (&gt;1v ennen)",IF(Q23&lt;-0.5,"Lahestyy PHV (0.5-1v)",IF(Q23&lt;=0.5,"PHV-huippu (+-0.5v)",IF(Q23&lt;=1,"Post-PHV (0.5-1v jalk.)","Jalki-PHV (&gt;1v jalk.)")))),""),"")</f>
        <v/>
      </c>
      <c r="S23" s="24">
        <f>IFERROR(IF(AND(P23&lt;&gt;"",E23&lt;&gt;"",D23&lt;&gt;""),IF(D23="P",IF(P23&gt;=VLOOKUP(MONTH(E23),'Yli-ikaisyys'!$A$5:$B$16,2,FALSE),"KYLLA - poikkeuslupa mahdollinen","EI tayta ehtoja"),IF(P23&gt;=VLOOKUP(MONTH(E23),'Yli-ikaisyys'!$A$5:$C$16,3,FALSE),"KYLLA - poikkeuslupa mahdollinen","EI tayta ehtoja")),""),"")</f>
        <v/>
      </c>
      <c r="T23" s="10" t="n"/>
    </row>
    <row r="24">
      <c r="A24" s="17" t="n">
        <v>19</v>
      </c>
      <c r="B24" s="10" t="n"/>
      <c r="C24" s="10" t="n"/>
      <c r="D24" s="10" t="n"/>
      <c r="E24" s="18" t="n"/>
      <c r="F24" s="18" t="n"/>
      <c r="G24" s="19">
        <f>IFERROR(IF(AND(F24&lt;&gt;"",E24&lt;&gt;""),ROUND((F24-E24)/365.25,3),""),"")</f>
        <v/>
      </c>
      <c r="H24" s="10" t="n"/>
      <c r="I24" s="10" t="n"/>
      <c r="J24" s="20">
        <f>IFERROR(IF(AND(H24&lt;&gt;"",I24&lt;&gt;""),AVERAGE(H24,I24),""),"")</f>
        <v/>
      </c>
      <c r="K24" s="10" t="n"/>
      <c r="L24" s="10" t="n"/>
      <c r="M24" s="20">
        <f>IFERROR(IF(AND(K24&lt;&gt;"",L24&lt;&gt;""),AVERAGE(K24,L24),""),"")</f>
        <v/>
      </c>
      <c r="N24" s="10" t="n"/>
      <c r="O24" s="20">
        <f>IFERROR(IF(AND(J24&lt;&gt;"",N24&lt;&gt;""),J24-N24,""),"")</f>
        <v/>
      </c>
      <c r="P24" s="21">
        <f>IFERROR(IF(Q24&lt;&gt;"",ROUND(G24-Q24,2),""),"")</f>
        <v/>
      </c>
      <c r="Q24" s="22">
        <f>IFERROR(IF(AND(D24&lt;&gt;"",G24&lt;&gt;"",J24&lt;&gt;"",M24&lt;&gt;"",N24&lt;&gt;"",O24&lt;&gt;""),IF(D24="P",-9.236+0.0002708*(O24*N24)-0.001663*(G24*O24)+0.007216*(G24*N24)+0.02292*(M24/J24*100),-9.376+0.0001882*(O24*N24)+0.0022*(G24*O24)+0.005841*(G24*N24)-0.002658*(G24*M24)+0.07693*(M24/J24*100)),""),"")</f>
        <v/>
      </c>
      <c r="R24" s="23">
        <f>IFERROR(IF(Q24&lt;&gt;"",IF(Q24&lt;-1,"Pre-PHV (&gt;1v ennen)",IF(Q24&lt;-0.5,"Lahestyy PHV (0.5-1v)",IF(Q24&lt;=0.5,"PHV-huippu (+-0.5v)",IF(Q24&lt;=1,"Post-PHV (0.5-1v jalk.)","Jalki-PHV (&gt;1v jalk.)")))),""),"")</f>
        <v/>
      </c>
      <c r="S24" s="24">
        <f>IFERROR(IF(AND(P24&lt;&gt;"",E24&lt;&gt;"",D24&lt;&gt;""),IF(D24="P",IF(P24&gt;=VLOOKUP(MONTH(E24),'Yli-ikaisyys'!$A$5:$B$16,2,FALSE),"KYLLA - poikkeuslupa mahdollinen","EI tayta ehtoja"),IF(P24&gt;=VLOOKUP(MONTH(E24),'Yli-ikaisyys'!$A$5:$C$16,3,FALSE),"KYLLA - poikkeuslupa mahdollinen","EI tayta ehtoja")),""),"")</f>
        <v/>
      </c>
      <c r="T24" s="10" t="n"/>
    </row>
    <row r="25">
      <c r="A25" s="25" t="n">
        <v>20</v>
      </c>
      <c r="B25" s="10" t="n"/>
      <c r="C25" s="10" t="n"/>
      <c r="D25" s="10" t="n"/>
      <c r="E25" s="18" t="n"/>
      <c r="F25" s="18" t="n"/>
      <c r="G25" s="19">
        <f>IFERROR(IF(AND(F25&lt;&gt;"",E25&lt;&gt;""),ROUND((F25-E25)/365.25,3),""),"")</f>
        <v/>
      </c>
      <c r="H25" s="10" t="n"/>
      <c r="I25" s="10" t="n"/>
      <c r="J25" s="20">
        <f>IFERROR(IF(AND(H25&lt;&gt;"",I25&lt;&gt;""),AVERAGE(H25,I25),""),"")</f>
        <v/>
      </c>
      <c r="K25" s="10" t="n"/>
      <c r="L25" s="10" t="n"/>
      <c r="M25" s="20">
        <f>IFERROR(IF(AND(K25&lt;&gt;"",L25&lt;&gt;""),AVERAGE(K25,L25),""),"")</f>
        <v/>
      </c>
      <c r="N25" s="10" t="n"/>
      <c r="O25" s="20">
        <f>IFERROR(IF(AND(J25&lt;&gt;"",N25&lt;&gt;""),J25-N25,""),"")</f>
        <v/>
      </c>
      <c r="P25" s="21">
        <f>IFERROR(IF(Q25&lt;&gt;"",ROUND(G25-Q25,2),""),"")</f>
        <v/>
      </c>
      <c r="Q25" s="22">
        <f>IFERROR(IF(AND(D25&lt;&gt;"",G25&lt;&gt;"",J25&lt;&gt;"",M25&lt;&gt;"",N25&lt;&gt;"",O25&lt;&gt;""),IF(D25="P",-9.236+0.0002708*(O25*N25)-0.001663*(G25*O25)+0.007216*(G25*N25)+0.02292*(M25/J25*100),-9.376+0.0001882*(O25*N25)+0.0022*(G25*O25)+0.005841*(G25*N25)-0.002658*(G25*M25)+0.07693*(M25/J25*100)),""),"")</f>
        <v/>
      </c>
      <c r="R25" s="23">
        <f>IFERROR(IF(Q25&lt;&gt;"",IF(Q25&lt;-1,"Pre-PHV (&gt;1v ennen)",IF(Q25&lt;-0.5,"Lahestyy PHV (0.5-1v)",IF(Q25&lt;=0.5,"PHV-huippu (+-0.5v)",IF(Q25&lt;=1,"Post-PHV (0.5-1v jalk.)","Jalki-PHV (&gt;1v jalk.)")))),""),"")</f>
        <v/>
      </c>
      <c r="S25" s="24">
        <f>IFERROR(IF(AND(P25&lt;&gt;"",E25&lt;&gt;"",D25&lt;&gt;""),IF(D25="P",IF(P25&gt;=VLOOKUP(MONTH(E25),'Yli-ikaisyys'!$A$5:$B$16,2,FALSE),"KYLLA - poikkeuslupa mahdollinen","EI tayta ehtoja"),IF(P25&gt;=VLOOKUP(MONTH(E25),'Yli-ikaisyys'!$A$5:$C$16,3,FALSE),"KYLLA - poikkeuslupa mahdollinen","EI tayta ehtoja")),""),"")</f>
        <v/>
      </c>
      <c r="T25" s="10" t="n"/>
    </row>
    <row r="26">
      <c r="A26" s="17" t="n">
        <v>21</v>
      </c>
      <c r="B26" s="10" t="n"/>
      <c r="C26" s="10" t="n"/>
      <c r="D26" s="10" t="n"/>
      <c r="E26" s="18" t="n"/>
      <c r="F26" s="18" t="n"/>
      <c r="G26" s="19">
        <f>IFERROR(IF(AND(F26&lt;&gt;"",E26&lt;&gt;""),ROUND((F26-E26)/365.25,3),""),"")</f>
        <v/>
      </c>
      <c r="H26" s="10" t="n"/>
      <c r="I26" s="10" t="n"/>
      <c r="J26" s="20">
        <f>IFERROR(IF(AND(H26&lt;&gt;"",I26&lt;&gt;""),AVERAGE(H26,I26),""),"")</f>
        <v/>
      </c>
      <c r="K26" s="10" t="n"/>
      <c r="L26" s="10" t="n"/>
      <c r="M26" s="20">
        <f>IFERROR(IF(AND(K26&lt;&gt;"",L26&lt;&gt;""),AVERAGE(K26,L26),""),"")</f>
        <v/>
      </c>
      <c r="N26" s="10" t="n"/>
      <c r="O26" s="20">
        <f>IFERROR(IF(AND(J26&lt;&gt;"",N26&lt;&gt;""),J26-N26,""),"")</f>
        <v/>
      </c>
      <c r="P26" s="21">
        <f>IFERROR(IF(Q26&lt;&gt;"",ROUND(G26-Q26,2),""),"")</f>
        <v/>
      </c>
      <c r="Q26" s="22">
        <f>IFERROR(IF(AND(D26&lt;&gt;"",G26&lt;&gt;"",J26&lt;&gt;"",M26&lt;&gt;"",N26&lt;&gt;"",O26&lt;&gt;""),IF(D26="P",-9.236+0.0002708*(O26*N26)-0.001663*(G26*O26)+0.007216*(G26*N26)+0.02292*(M26/J26*100),-9.376+0.0001882*(O26*N26)+0.0022*(G26*O26)+0.005841*(G26*N26)-0.002658*(G26*M26)+0.07693*(M26/J26*100)),""),"")</f>
        <v/>
      </c>
      <c r="R26" s="23">
        <f>IFERROR(IF(Q26&lt;&gt;"",IF(Q26&lt;-1,"Pre-PHV (&gt;1v ennen)",IF(Q26&lt;-0.5,"Lahestyy PHV (0.5-1v)",IF(Q26&lt;=0.5,"PHV-huippu (+-0.5v)",IF(Q26&lt;=1,"Post-PHV (0.5-1v jalk.)","Jalki-PHV (&gt;1v jalk.)")))),""),"")</f>
        <v/>
      </c>
      <c r="S26" s="24">
        <f>IFERROR(IF(AND(P26&lt;&gt;"",E26&lt;&gt;"",D26&lt;&gt;""),IF(D26="P",IF(P26&gt;=VLOOKUP(MONTH(E26),'Yli-ikaisyys'!$A$5:$B$16,2,FALSE),"KYLLA - poikkeuslupa mahdollinen","EI tayta ehtoja"),IF(P26&gt;=VLOOKUP(MONTH(E26),'Yli-ikaisyys'!$A$5:$C$16,3,FALSE),"KYLLA - poikkeuslupa mahdollinen","EI tayta ehtoja")),""),"")</f>
        <v/>
      </c>
      <c r="T26" s="10" t="n"/>
    </row>
    <row r="27">
      <c r="A27" s="25" t="n">
        <v>22</v>
      </c>
      <c r="B27" s="10" t="n"/>
      <c r="C27" s="10" t="n"/>
      <c r="D27" s="10" t="n"/>
      <c r="E27" s="18" t="n"/>
      <c r="F27" s="18" t="n"/>
      <c r="G27" s="19">
        <f>IFERROR(IF(AND(F27&lt;&gt;"",E27&lt;&gt;""),ROUND((F27-E27)/365.25,3),""),"")</f>
        <v/>
      </c>
      <c r="H27" s="10" t="n"/>
      <c r="I27" s="10" t="n"/>
      <c r="J27" s="20">
        <f>IFERROR(IF(AND(H27&lt;&gt;"",I27&lt;&gt;""),AVERAGE(H27,I27),""),"")</f>
        <v/>
      </c>
      <c r="K27" s="10" t="n"/>
      <c r="L27" s="10" t="n"/>
      <c r="M27" s="20">
        <f>IFERROR(IF(AND(K27&lt;&gt;"",L27&lt;&gt;""),AVERAGE(K27,L27),""),"")</f>
        <v/>
      </c>
      <c r="N27" s="10" t="n"/>
      <c r="O27" s="20">
        <f>IFERROR(IF(AND(J27&lt;&gt;"",N27&lt;&gt;""),J27-N27,""),"")</f>
        <v/>
      </c>
      <c r="P27" s="21">
        <f>IFERROR(IF(Q27&lt;&gt;"",ROUND(G27-Q27,2),""),"")</f>
        <v/>
      </c>
      <c r="Q27" s="22">
        <f>IFERROR(IF(AND(D27&lt;&gt;"",G27&lt;&gt;"",J27&lt;&gt;"",M27&lt;&gt;"",N27&lt;&gt;"",O27&lt;&gt;""),IF(D27="P",-9.236+0.0002708*(O27*N27)-0.001663*(G27*O27)+0.007216*(G27*N27)+0.02292*(M27/J27*100),-9.376+0.0001882*(O27*N27)+0.0022*(G27*O27)+0.005841*(G27*N27)-0.002658*(G27*M27)+0.07693*(M27/J27*100)),""),"")</f>
        <v/>
      </c>
      <c r="R27" s="23">
        <f>IFERROR(IF(Q27&lt;&gt;"",IF(Q27&lt;-1,"Pre-PHV (&gt;1v ennen)",IF(Q27&lt;-0.5,"Lahestyy PHV (0.5-1v)",IF(Q27&lt;=0.5,"PHV-huippu (+-0.5v)",IF(Q27&lt;=1,"Post-PHV (0.5-1v jalk.)","Jalki-PHV (&gt;1v jalk.)")))),""),"")</f>
        <v/>
      </c>
      <c r="S27" s="24">
        <f>IFERROR(IF(AND(P27&lt;&gt;"",E27&lt;&gt;"",D27&lt;&gt;""),IF(D27="P",IF(P27&gt;=VLOOKUP(MONTH(E27),'Yli-ikaisyys'!$A$5:$B$16,2,FALSE),"KYLLA - poikkeuslupa mahdollinen","EI tayta ehtoja"),IF(P27&gt;=VLOOKUP(MONTH(E27),'Yli-ikaisyys'!$A$5:$C$16,3,FALSE),"KYLLA - poikkeuslupa mahdollinen","EI tayta ehtoja")),""),"")</f>
        <v/>
      </c>
      <c r="T27" s="10" t="n"/>
    </row>
    <row r="28">
      <c r="A28" s="17" t="n">
        <v>23</v>
      </c>
      <c r="B28" s="10" t="n"/>
      <c r="C28" s="10" t="n"/>
      <c r="D28" s="10" t="n"/>
      <c r="E28" s="18" t="n"/>
      <c r="F28" s="18" t="n"/>
      <c r="G28" s="19">
        <f>IFERROR(IF(AND(F28&lt;&gt;"",E28&lt;&gt;""),ROUND((F28-E28)/365.25,3),""),"")</f>
        <v/>
      </c>
      <c r="H28" s="10" t="n"/>
      <c r="I28" s="10" t="n"/>
      <c r="J28" s="20">
        <f>IFERROR(IF(AND(H28&lt;&gt;"",I28&lt;&gt;""),AVERAGE(H28,I28),""),"")</f>
        <v/>
      </c>
      <c r="K28" s="10" t="n"/>
      <c r="L28" s="10" t="n"/>
      <c r="M28" s="20">
        <f>IFERROR(IF(AND(K28&lt;&gt;"",L28&lt;&gt;""),AVERAGE(K28,L28),""),"")</f>
        <v/>
      </c>
      <c r="N28" s="10" t="n"/>
      <c r="O28" s="20">
        <f>IFERROR(IF(AND(J28&lt;&gt;"",N28&lt;&gt;""),J28-N28,""),"")</f>
        <v/>
      </c>
      <c r="P28" s="21">
        <f>IFERROR(IF(Q28&lt;&gt;"",ROUND(G28-Q28,2),""),"")</f>
        <v/>
      </c>
      <c r="Q28" s="22">
        <f>IFERROR(IF(AND(D28&lt;&gt;"",G28&lt;&gt;"",J28&lt;&gt;"",M28&lt;&gt;"",N28&lt;&gt;"",O28&lt;&gt;""),IF(D28="P",-9.236+0.0002708*(O28*N28)-0.001663*(G28*O28)+0.007216*(G28*N28)+0.02292*(M28/J28*100),-9.376+0.0001882*(O28*N28)+0.0022*(G28*O28)+0.005841*(G28*N28)-0.002658*(G28*M28)+0.07693*(M28/J28*100)),""),"")</f>
        <v/>
      </c>
      <c r="R28" s="23">
        <f>IFERROR(IF(Q28&lt;&gt;"",IF(Q28&lt;-1,"Pre-PHV (&gt;1v ennen)",IF(Q28&lt;-0.5,"Lahestyy PHV (0.5-1v)",IF(Q28&lt;=0.5,"PHV-huippu (+-0.5v)",IF(Q28&lt;=1,"Post-PHV (0.5-1v jalk.)","Jalki-PHV (&gt;1v jalk.)")))),""),"")</f>
        <v/>
      </c>
      <c r="S28" s="24">
        <f>IFERROR(IF(AND(P28&lt;&gt;"",E28&lt;&gt;"",D28&lt;&gt;""),IF(D28="P",IF(P28&gt;=VLOOKUP(MONTH(E28),'Yli-ikaisyys'!$A$5:$B$16,2,FALSE),"KYLLA - poikkeuslupa mahdollinen","EI tayta ehtoja"),IF(P28&gt;=VLOOKUP(MONTH(E28),'Yli-ikaisyys'!$A$5:$C$16,3,FALSE),"KYLLA - poikkeuslupa mahdollinen","EI tayta ehtoja")),""),"")</f>
        <v/>
      </c>
      <c r="T28" s="10" t="n"/>
    </row>
    <row r="29">
      <c r="A29" s="25" t="n">
        <v>24</v>
      </c>
      <c r="B29" s="10" t="n"/>
      <c r="C29" s="10" t="n"/>
      <c r="D29" s="10" t="n"/>
      <c r="E29" s="18" t="n"/>
      <c r="F29" s="18" t="n"/>
      <c r="G29" s="19">
        <f>IFERROR(IF(AND(F29&lt;&gt;"",E29&lt;&gt;""),ROUND((F29-E29)/365.25,3),""),"")</f>
        <v/>
      </c>
      <c r="H29" s="10" t="n"/>
      <c r="I29" s="10" t="n"/>
      <c r="J29" s="20">
        <f>IFERROR(IF(AND(H29&lt;&gt;"",I29&lt;&gt;""),AVERAGE(H29,I29),""),"")</f>
        <v/>
      </c>
      <c r="K29" s="10" t="n"/>
      <c r="L29" s="10" t="n"/>
      <c r="M29" s="20">
        <f>IFERROR(IF(AND(K29&lt;&gt;"",L29&lt;&gt;""),AVERAGE(K29,L29),""),"")</f>
        <v/>
      </c>
      <c r="N29" s="10" t="n"/>
      <c r="O29" s="20">
        <f>IFERROR(IF(AND(J29&lt;&gt;"",N29&lt;&gt;""),J29-N29,""),"")</f>
        <v/>
      </c>
      <c r="P29" s="21">
        <f>IFERROR(IF(Q29&lt;&gt;"",ROUND(G29-Q29,2),""),"")</f>
        <v/>
      </c>
      <c r="Q29" s="22">
        <f>IFERROR(IF(AND(D29&lt;&gt;"",G29&lt;&gt;"",J29&lt;&gt;"",M29&lt;&gt;"",N29&lt;&gt;"",O29&lt;&gt;""),IF(D29="P",-9.236+0.0002708*(O29*N29)-0.001663*(G29*O29)+0.007216*(G29*N29)+0.02292*(M29/J29*100),-9.376+0.0001882*(O29*N29)+0.0022*(G29*O29)+0.005841*(G29*N29)-0.002658*(G29*M29)+0.07693*(M29/J29*100)),""),"")</f>
        <v/>
      </c>
      <c r="R29" s="23">
        <f>IFERROR(IF(Q29&lt;&gt;"",IF(Q29&lt;-1,"Pre-PHV (&gt;1v ennen)",IF(Q29&lt;-0.5,"Lahestyy PHV (0.5-1v)",IF(Q29&lt;=0.5,"PHV-huippu (+-0.5v)",IF(Q29&lt;=1,"Post-PHV (0.5-1v jalk.)","Jalki-PHV (&gt;1v jalk.)")))),""),"")</f>
        <v/>
      </c>
      <c r="S29" s="24">
        <f>IFERROR(IF(AND(P29&lt;&gt;"",E29&lt;&gt;"",D29&lt;&gt;""),IF(D29="P",IF(P29&gt;=VLOOKUP(MONTH(E29),'Yli-ikaisyys'!$A$5:$B$16,2,FALSE),"KYLLA - poikkeuslupa mahdollinen","EI tayta ehtoja"),IF(P29&gt;=VLOOKUP(MONTH(E29),'Yli-ikaisyys'!$A$5:$C$16,3,FALSE),"KYLLA - poikkeuslupa mahdollinen","EI tayta ehtoja")),""),"")</f>
        <v/>
      </c>
      <c r="T29" s="10" t="n"/>
    </row>
    <row r="30">
      <c r="A30" s="17" t="n">
        <v>25</v>
      </c>
      <c r="B30" s="10" t="n"/>
      <c r="C30" s="10" t="n"/>
      <c r="D30" s="10" t="n"/>
      <c r="E30" s="18" t="n"/>
      <c r="F30" s="18" t="n"/>
      <c r="G30" s="19">
        <f>IFERROR(IF(AND(F30&lt;&gt;"",E30&lt;&gt;""),ROUND((F30-E30)/365.25,3),""),"")</f>
        <v/>
      </c>
      <c r="H30" s="10" t="n"/>
      <c r="I30" s="10" t="n"/>
      <c r="J30" s="20">
        <f>IFERROR(IF(AND(H30&lt;&gt;"",I30&lt;&gt;""),AVERAGE(H30,I30),""),"")</f>
        <v/>
      </c>
      <c r="K30" s="10" t="n"/>
      <c r="L30" s="10" t="n"/>
      <c r="M30" s="20">
        <f>IFERROR(IF(AND(K30&lt;&gt;"",L30&lt;&gt;""),AVERAGE(K30,L30),""),"")</f>
        <v/>
      </c>
      <c r="N30" s="10" t="n"/>
      <c r="O30" s="20">
        <f>IFERROR(IF(AND(J30&lt;&gt;"",N30&lt;&gt;""),J30-N30,""),"")</f>
        <v/>
      </c>
      <c r="P30" s="21">
        <f>IFERROR(IF(Q30&lt;&gt;"",ROUND(G30-Q30,2),""),"")</f>
        <v/>
      </c>
      <c r="Q30" s="22">
        <f>IFERROR(IF(AND(D30&lt;&gt;"",G30&lt;&gt;"",J30&lt;&gt;"",M30&lt;&gt;"",N30&lt;&gt;"",O30&lt;&gt;""),IF(D30="P",-9.236+0.0002708*(O30*N30)-0.001663*(G30*O30)+0.007216*(G30*N30)+0.02292*(M30/J30*100),-9.376+0.0001882*(O30*N30)+0.0022*(G30*O30)+0.005841*(G30*N30)-0.002658*(G30*M30)+0.07693*(M30/J30*100)),""),"")</f>
        <v/>
      </c>
      <c r="R30" s="23">
        <f>IFERROR(IF(Q30&lt;&gt;"",IF(Q30&lt;-1,"Pre-PHV (&gt;1v ennen)",IF(Q30&lt;-0.5,"Lahestyy PHV (0.5-1v)",IF(Q30&lt;=0.5,"PHV-huippu (+-0.5v)",IF(Q30&lt;=1,"Post-PHV (0.5-1v jalk.)","Jalki-PHV (&gt;1v jalk.)")))),""),"")</f>
        <v/>
      </c>
      <c r="S30" s="24">
        <f>IFERROR(IF(AND(P30&lt;&gt;"",E30&lt;&gt;"",D30&lt;&gt;""),IF(D30="P",IF(P30&gt;=VLOOKUP(MONTH(E30),'Yli-ikaisyys'!$A$5:$B$16,2,FALSE),"KYLLA - poikkeuslupa mahdollinen","EI tayta ehtoja"),IF(P30&gt;=VLOOKUP(MONTH(E30),'Yli-ikaisyys'!$A$5:$C$16,3,FALSE),"KYLLA - poikkeuslupa mahdollinen","EI tayta ehtoja")),""),"")</f>
        <v/>
      </c>
      <c r="T30" s="10" t="n"/>
    </row>
    <row r="31">
      <c r="A31" s="25" t="n">
        <v>26</v>
      </c>
      <c r="B31" s="10" t="n"/>
      <c r="C31" s="10" t="n"/>
      <c r="D31" s="10" t="n"/>
      <c r="E31" s="18" t="n"/>
      <c r="F31" s="18" t="n"/>
      <c r="G31" s="19">
        <f>IFERROR(IF(AND(F31&lt;&gt;"",E31&lt;&gt;""),ROUND((F31-E31)/365.25,3),""),"")</f>
        <v/>
      </c>
      <c r="H31" s="10" t="n"/>
      <c r="I31" s="10" t="n"/>
      <c r="J31" s="20">
        <f>IFERROR(IF(AND(H31&lt;&gt;"",I31&lt;&gt;""),AVERAGE(H31,I31),""),"")</f>
        <v/>
      </c>
      <c r="K31" s="10" t="n"/>
      <c r="L31" s="10" t="n"/>
      <c r="M31" s="20">
        <f>IFERROR(IF(AND(K31&lt;&gt;"",L31&lt;&gt;""),AVERAGE(K31,L31),""),"")</f>
        <v/>
      </c>
      <c r="N31" s="10" t="n"/>
      <c r="O31" s="20">
        <f>IFERROR(IF(AND(J31&lt;&gt;"",N31&lt;&gt;""),J31-N31,""),"")</f>
        <v/>
      </c>
      <c r="P31" s="21">
        <f>IFERROR(IF(Q31&lt;&gt;"",ROUND(G31-Q31,2),""),"")</f>
        <v/>
      </c>
      <c r="Q31" s="22">
        <f>IFERROR(IF(AND(D31&lt;&gt;"",G31&lt;&gt;"",J31&lt;&gt;"",M31&lt;&gt;"",N31&lt;&gt;"",O31&lt;&gt;""),IF(D31="P",-9.236+0.0002708*(O31*N31)-0.001663*(G31*O31)+0.007216*(G31*N31)+0.02292*(M31/J31*100),-9.376+0.0001882*(O31*N31)+0.0022*(G31*O31)+0.005841*(G31*N31)-0.002658*(G31*M31)+0.07693*(M31/J31*100)),""),"")</f>
        <v/>
      </c>
      <c r="R31" s="23">
        <f>IFERROR(IF(Q31&lt;&gt;"",IF(Q31&lt;-1,"Pre-PHV (&gt;1v ennen)",IF(Q31&lt;-0.5,"Lahestyy PHV (0.5-1v)",IF(Q31&lt;=0.5,"PHV-huippu (+-0.5v)",IF(Q31&lt;=1,"Post-PHV (0.5-1v jalk.)","Jalki-PHV (&gt;1v jalk.)")))),""),"")</f>
        <v/>
      </c>
      <c r="S31" s="24">
        <f>IFERROR(IF(AND(P31&lt;&gt;"",E31&lt;&gt;"",D31&lt;&gt;""),IF(D31="P",IF(P31&gt;=VLOOKUP(MONTH(E31),'Yli-ikaisyys'!$A$5:$B$16,2,FALSE),"KYLLA - poikkeuslupa mahdollinen","EI tayta ehtoja"),IF(P31&gt;=VLOOKUP(MONTH(E31),'Yli-ikaisyys'!$A$5:$C$16,3,FALSE),"KYLLA - poikkeuslupa mahdollinen","EI tayta ehtoja")),""),"")</f>
        <v/>
      </c>
      <c r="T31" s="10" t="n"/>
    </row>
    <row r="32">
      <c r="A32" s="17" t="n">
        <v>27</v>
      </c>
      <c r="B32" s="10" t="n"/>
      <c r="C32" s="10" t="n"/>
      <c r="D32" s="10" t="n"/>
      <c r="E32" s="18" t="n"/>
      <c r="F32" s="18" t="n"/>
      <c r="G32" s="19">
        <f>IFERROR(IF(AND(F32&lt;&gt;"",E32&lt;&gt;""),ROUND((F32-E32)/365.25,3),""),"")</f>
        <v/>
      </c>
      <c r="H32" s="10" t="n"/>
      <c r="I32" s="10" t="n"/>
      <c r="J32" s="20">
        <f>IFERROR(IF(AND(H32&lt;&gt;"",I32&lt;&gt;""),AVERAGE(H32,I32),""),"")</f>
        <v/>
      </c>
      <c r="K32" s="10" t="n"/>
      <c r="L32" s="10" t="n"/>
      <c r="M32" s="20">
        <f>IFERROR(IF(AND(K32&lt;&gt;"",L32&lt;&gt;""),AVERAGE(K32,L32),""),"")</f>
        <v/>
      </c>
      <c r="N32" s="10" t="n"/>
      <c r="O32" s="20">
        <f>IFERROR(IF(AND(J32&lt;&gt;"",N32&lt;&gt;""),J32-N32,""),"")</f>
        <v/>
      </c>
      <c r="P32" s="21">
        <f>IFERROR(IF(Q32&lt;&gt;"",ROUND(G32-Q32,2),""),"")</f>
        <v/>
      </c>
      <c r="Q32" s="22">
        <f>IFERROR(IF(AND(D32&lt;&gt;"",G32&lt;&gt;"",J32&lt;&gt;"",M32&lt;&gt;"",N32&lt;&gt;"",O32&lt;&gt;""),IF(D32="P",-9.236+0.0002708*(O32*N32)-0.001663*(G32*O32)+0.007216*(G32*N32)+0.02292*(M32/J32*100),-9.376+0.0001882*(O32*N32)+0.0022*(G32*O32)+0.005841*(G32*N32)-0.002658*(G32*M32)+0.07693*(M32/J32*100)),""),"")</f>
        <v/>
      </c>
      <c r="R32" s="23">
        <f>IFERROR(IF(Q32&lt;&gt;"",IF(Q32&lt;-1,"Pre-PHV (&gt;1v ennen)",IF(Q32&lt;-0.5,"Lahestyy PHV (0.5-1v)",IF(Q32&lt;=0.5,"PHV-huippu (+-0.5v)",IF(Q32&lt;=1,"Post-PHV (0.5-1v jalk.)","Jalki-PHV (&gt;1v jalk.)")))),""),"")</f>
        <v/>
      </c>
      <c r="S32" s="24">
        <f>IFERROR(IF(AND(P32&lt;&gt;"",E32&lt;&gt;"",D32&lt;&gt;""),IF(D32="P",IF(P32&gt;=VLOOKUP(MONTH(E32),'Yli-ikaisyys'!$A$5:$B$16,2,FALSE),"KYLLA - poikkeuslupa mahdollinen","EI tayta ehtoja"),IF(P32&gt;=VLOOKUP(MONTH(E32),'Yli-ikaisyys'!$A$5:$C$16,3,FALSE),"KYLLA - poikkeuslupa mahdollinen","EI tayta ehtoja")),""),"")</f>
        <v/>
      </c>
      <c r="T32" s="10" t="n"/>
    </row>
    <row r="33">
      <c r="A33" s="25" t="n">
        <v>28</v>
      </c>
      <c r="B33" s="10" t="n"/>
      <c r="C33" s="10" t="n"/>
      <c r="D33" s="10" t="n"/>
      <c r="E33" s="18" t="n"/>
      <c r="F33" s="18" t="n"/>
      <c r="G33" s="19">
        <f>IFERROR(IF(AND(F33&lt;&gt;"",E33&lt;&gt;""),ROUND((F33-E33)/365.25,3),""),"")</f>
        <v/>
      </c>
      <c r="H33" s="10" t="n"/>
      <c r="I33" s="10" t="n"/>
      <c r="J33" s="20">
        <f>IFERROR(IF(AND(H33&lt;&gt;"",I33&lt;&gt;""),AVERAGE(H33,I33),""),"")</f>
        <v/>
      </c>
      <c r="K33" s="10" t="n"/>
      <c r="L33" s="10" t="n"/>
      <c r="M33" s="20">
        <f>IFERROR(IF(AND(K33&lt;&gt;"",L33&lt;&gt;""),AVERAGE(K33,L33),""),"")</f>
        <v/>
      </c>
      <c r="N33" s="10" t="n"/>
      <c r="O33" s="20">
        <f>IFERROR(IF(AND(J33&lt;&gt;"",N33&lt;&gt;""),J33-N33,""),"")</f>
        <v/>
      </c>
      <c r="P33" s="21">
        <f>IFERROR(IF(Q33&lt;&gt;"",ROUND(G33-Q33,2),""),"")</f>
        <v/>
      </c>
      <c r="Q33" s="22">
        <f>IFERROR(IF(AND(D33&lt;&gt;"",G33&lt;&gt;"",J33&lt;&gt;"",M33&lt;&gt;"",N33&lt;&gt;"",O33&lt;&gt;""),IF(D33="P",-9.236+0.0002708*(O33*N33)-0.001663*(G33*O33)+0.007216*(G33*N33)+0.02292*(M33/J33*100),-9.376+0.0001882*(O33*N33)+0.0022*(G33*O33)+0.005841*(G33*N33)-0.002658*(G33*M33)+0.07693*(M33/J33*100)),""),"")</f>
        <v/>
      </c>
      <c r="R33" s="23">
        <f>IFERROR(IF(Q33&lt;&gt;"",IF(Q33&lt;-1,"Pre-PHV (&gt;1v ennen)",IF(Q33&lt;-0.5,"Lahestyy PHV (0.5-1v)",IF(Q33&lt;=0.5,"PHV-huippu (+-0.5v)",IF(Q33&lt;=1,"Post-PHV (0.5-1v jalk.)","Jalki-PHV (&gt;1v jalk.)")))),""),"")</f>
        <v/>
      </c>
      <c r="S33" s="24">
        <f>IFERROR(IF(AND(P33&lt;&gt;"",E33&lt;&gt;"",D33&lt;&gt;""),IF(D33="P",IF(P33&gt;=VLOOKUP(MONTH(E33),'Yli-ikaisyys'!$A$5:$B$16,2,FALSE),"KYLLA - poikkeuslupa mahdollinen","EI tayta ehtoja"),IF(P33&gt;=VLOOKUP(MONTH(E33),'Yli-ikaisyys'!$A$5:$C$16,3,FALSE),"KYLLA - poikkeuslupa mahdollinen","EI tayta ehtoja")),""),"")</f>
        <v/>
      </c>
      <c r="T33" s="10" t="n"/>
    </row>
    <row r="34">
      <c r="A34" s="17" t="n">
        <v>29</v>
      </c>
      <c r="B34" s="10" t="n"/>
      <c r="C34" s="10" t="n"/>
      <c r="D34" s="10" t="n"/>
      <c r="E34" s="18" t="n"/>
      <c r="F34" s="18" t="n"/>
      <c r="G34" s="19">
        <f>IFERROR(IF(AND(F34&lt;&gt;"",E34&lt;&gt;""),ROUND((F34-E34)/365.25,3),""),"")</f>
        <v/>
      </c>
      <c r="H34" s="10" t="n"/>
      <c r="I34" s="10" t="n"/>
      <c r="J34" s="20">
        <f>IFERROR(IF(AND(H34&lt;&gt;"",I34&lt;&gt;""),AVERAGE(H34,I34),""),"")</f>
        <v/>
      </c>
      <c r="K34" s="10" t="n"/>
      <c r="L34" s="10" t="n"/>
      <c r="M34" s="20">
        <f>IFERROR(IF(AND(K34&lt;&gt;"",L34&lt;&gt;""),AVERAGE(K34,L34),""),"")</f>
        <v/>
      </c>
      <c r="N34" s="10" t="n"/>
      <c r="O34" s="20">
        <f>IFERROR(IF(AND(J34&lt;&gt;"",N34&lt;&gt;""),J34-N34,""),"")</f>
        <v/>
      </c>
      <c r="P34" s="21">
        <f>IFERROR(IF(Q34&lt;&gt;"",ROUND(G34-Q34,2),""),"")</f>
        <v/>
      </c>
      <c r="Q34" s="22">
        <f>IFERROR(IF(AND(D34&lt;&gt;"",G34&lt;&gt;"",J34&lt;&gt;"",M34&lt;&gt;"",N34&lt;&gt;"",O34&lt;&gt;""),IF(D34="P",-9.236+0.0002708*(O34*N34)-0.001663*(G34*O34)+0.007216*(G34*N34)+0.02292*(M34/J34*100),-9.376+0.0001882*(O34*N34)+0.0022*(G34*O34)+0.005841*(G34*N34)-0.002658*(G34*M34)+0.07693*(M34/J34*100)),""),"")</f>
        <v/>
      </c>
      <c r="R34" s="23">
        <f>IFERROR(IF(Q34&lt;&gt;"",IF(Q34&lt;-1,"Pre-PHV (&gt;1v ennen)",IF(Q34&lt;-0.5,"Lahestyy PHV (0.5-1v)",IF(Q34&lt;=0.5,"PHV-huippu (+-0.5v)",IF(Q34&lt;=1,"Post-PHV (0.5-1v jalk.)","Jalki-PHV (&gt;1v jalk.)")))),""),"")</f>
        <v/>
      </c>
      <c r="S34" s="24">
        <f>IFERROR(IF(AND(P34&lt;&gt;"",E34&lt;&gt;"",D34&lt;&gt;""),IF(D34="P",IF(P34&gt;=VLOOKUP(MONTH(E34),'Yli-ikaisyys'!$A$5:$B$16,2,FALSE),"KYLLA - poikkeuslupa mahdollinen","EI tayta ehtoja"),IF(P34&gt;=VLOOKUP(MONTH(E34),'Yli-ikaisyys'!$A$5:$C$16,3,FALSE),"KYLLA - poikkeuslupa mahdollinen","EI tayta ehtoja")),""),"")</f>
        <v/>
      </c>
      <c r="T34" s="10" t="n"/>
    </row>
    <row r="35">
      <c r="A35" s="25" t="n">
        <v>30</v>
      </c>
      <c r="B35" s="10" t="n"/>
      <c r="C35" s="10" t="n"/>
      <c r="D35" s="10" t="n"/>
      <c r="E35" s="18" t="n"/>
      <c r="F35" s="18" t="n"/>
      <c r="G35" s="19">
        <f>IFERROR(IF(AND(F35&lt;&gt;"",E35&lt;&gt;""),ROUND((F35-E35)/365.25,3),""),"")</f>
        <v/>
      </c>
      <c r="H35" s="10" t="n"/>
      <c r="I35" s="10" t="n"/>
      <c r="J35" s="20">
        <f>IFERROR(IF(AND(H35&lt;&gt;"",I35&lt;&gt;""),AVERAGE(H35,I35),""),"")</f>
        <v/>
      </c>
      <c r="K35" s="10" t="n"/>
      <c r="L35" s="10" t="n"/>
      <c r="M35" s="20">
        <f>IFERROR(IF(AND(K35&lt;&gt;"",L35&lt;&gt;""),AVERAGE(K35,L35),""),"")</f>
        <v/>
      </c>
      <c r="N35" s="10" t="n"/>
      <c r="O35" s="20">
        <f>IFERROR(IF(AND(J35&lt;&gt;"",N35&lt;&gt;""),J35-N35,""),"")</f>
        <v/>
      </c>
      <c r="P35" s="21">
        <f>IFERROR(IF(Q35&lt;&gt;"",ROUND(G35-Q35,2),""),"")</f>
        <v/>
      </c>
      <c r="Q35" s="22">
        <f>IFERROR(IF(AND(D35&lt;&gt;"",G35&lt;&gt;"",J35&lt;&gt;"",M35&lt;&gt;"",N35&lt;&gt;"",O35&lt;&gt;""),IF(D35="P",-9.236+0.0002708*(O35*N35)-0.001663*(G35*O35)+0.007216*(G35*N35)+0.02292*(M35/J35*100),-9.376+0.0001882*(O35*N35)+0.0022*(G35*O35)+0.005841*(G35*N35)-0.002658*(G35*M35)+0.07693*(M35/J35*100)),""),"")</f>
        <v/>
      </c>
      <c r="R35" s="23">
        <f>IFERROR(IF(Q35&lt;&gt;"",IF(Q35&lt;-1,"Pre-PHV (&gt;1v ennen)",IF(Q35&lt;-0.5,"Lahestyy PHV (0.5-1v)",IF(Q35&lt;=0.5,"PHV-huippu (+-0.5v)",IF(Q35&lt;=1,"Post-PHV (0.5-1v jalk.)","Jalki-PHV (&gt;1v jalk.)")))),""),"")</f>
        <v/>
      </c>
      <c r="S35" s="24">
        <f>IFERROR(IF(AND(P35&lt;&gt;"",E35&lt;&gt;"",D35&lt;&gt;""),IF(D35="P",IF(P35&gt;=VLOOKUP(MONTH(E35),'Yli-ikaisyys'!$A$5:$B$16,2,FALSE),"KYLLA - poikkeuslupa mahdollinen","EI tayta ehtoja"),IF(P35&gt;=VLOOKUP(MONTH(E35),'Yli-ikaisyys'!$A$5:$C$16,3,FALSE),"KYLLA - poikkeuslupa mahdollinen","EI tayta ehtoja")),""),"")</f>
        <v/>
      </c>
      <c r="T35" s="10" t="n"/>
    </row>
    <row r="36">
      <c r="A36" s="17" t="n">
        <v>31</v>
      </c>
      <c r="B36" s="10" t="n"/>
      <c r="C36" s="10" t="n"/>
      <c r="D36" s="10" t="n"/>
      <c r="E36" s="18" t="n"/>
      <c r="F36" s="18" t="n"/>
      <c r="G36" s="19">
        <f>IFERROR(IF(AND(F36&lt;&gt;"",E36&lt;&gt;""),ROUND((F36-E36)/365.25,3),""),"")</f>
        <v/>
      </c>
      <c r="H36" s="10" t="n"/>
      <c r="I36" s="10" t="n"/>
      <c r="J36" s="20">
        <f>IFERROR(IF(AND(H36&lt;&gt;"",I36&lt;&gt;""),AVERAGE(H36,I36),""),"")</f>
        <v/>
      </c>
      <c r="K36" s="10" t="n"/>
      <c r="L36" s="10" t="n"/>
      <c r="M36" s="20">
        <f>IFERROR(IF(AND(K36&lt;&gt;"",L36&lt;&gt;""),AVERAGE(K36,L36),""),"")</f>
        <v/>
      </c>
      <c r="N36" s="10" t="n"/>
      <c r="O36" s="20">
        <f>IFERROR(IF(AND(J36&lt;&gt;"",N36&lt;&gt;""),J36-N36,""),"")</f>
        <v/>
      </c>
      <c r="P36" s="21">
        <f>IFERROR(IF(Q36&lt;&gt;"",ROUND(G36-Q36,2),""),"")</f>
        <v/>
      </c>
      <c r="Q36" s="22">
        <f>IFERROR(IF(AND(D36&lt;&gt;"",G36&lt;&gt;"",J36&lt;&gt;"",M36&lt;&gt;"",N36&lt;&gt;"",O36&lt;&gt;""),IF(D36="P",-9.236+0.0002708*(O36*N36)-0.001663*(G36*O36)+0.007216*(G36*N36)+0.02292*(M36/J36*100),-9.376+0.0001882*(O36*N36)+0.0022*(G36*O36)+0.005841*(G36*N36)-0.002658*(G36*M36)+0.07693*(M36/J36*100)),""),"")</f>
        <v/>
      </c>
      <c r="R36" s="23">
        <f>IFERROR(IF(Q36&lt;&gt;"",IF(Q36&lt;-1,"Pre-PHV (&gt;1v ennen)",IF(Q36&lt;-0.5,"Lahestyy PHV (0.5-1v)",IF(Q36&lt;=0.5,"PHV-huippu (+-0.5v)",IF(Q36&lt;=1,"Post-PHV (0.5-1v jalk.)","Jalki-PHV (&gt;1v jalk.)")))),""),"")</f>
        <v/>
      </c>
      <c r="S36" s="24">
        <f>IFERROR(IF(AND(P36&lt;&gt;"",E36&lt;&gt;"",D36&lt;&gt;""),IF(D36="P",IF(P36&gt;=VLOOKUP(MONTH(E36),'Yli-ikaisyys'!$A$5:$B$16,2,FALSE),"KYLLA - poikkeuslupa mahdollinen","EI tayta ehtoja"),IF(P36&gt;=VLOOKUP(MONTH(E36),'Yli-ikaisyys'!$A$5:$C$16,3,FALSE),"KYLLA - poikkeuslupa mahdollinen","EI tayta ehtoja")),""),"")</f>
        <v/>
      </c>
      <c r="T36" s="10" t="n"/>
    </row>
    <row r="37">
      <c r="A37" s="25" t="n">
        <v>32</v>
      </c>
      <c r="B37" s="10" t="n"/>
      <c r="C37" s="10" t="n"/>
      <c r="D37" s="10" t="n"/>
      <c r="E37" s="18" t="n"/>
      <c r="F37" s="18" t="n"/>
      <c r="G37" s="19">
        <f>IFERROR(IF(AND(F37&lt;&gt;"",E37&lt;&gt;""),ROUND((F37-E37)/365.25,3),""),"")</f>
        <v/>
      </c>
      <c r="H37" s="10" t="n"/>
      <c r="I37" s="10" t="n"/>
      <c r="J37" s="20">
        <f>IFERROR(IF(AND(H37&lt;&gt;"",I37&lt;&gt;""),AVERAGE(H37,I37),""),"")</f>
        <v/>
      </c>
      <c r="K37" s="10" t="n"/>
      <c r="L37" s="10" t="n"/>
      <c r="M37" s="20">
        <f>IFERROR(IF(AND(K37&lt;&gt;"",L37&lt;&gt;""),AVERAGE(K37,L37),""),"")</f>
        <v/>
      </c>
      <c r="N37" s="10" t="n"/>
      <c r="O37" s="20">
        <f>IFERROR(IF(AND(J37&lt;&gt;"",N37&lt;&gt;""),J37-N37,""),"")</f>
        <v/>
      </c>
      <c r="P37" s="21">
        <f>IFERROR(IF(Q37&lt;&gt;"",ROUND(G37-Q37,2),""),"")</f>
        <v/>
      </c>
      <c r="Q37" s="22">
        <f>IFERROR(IF(AND(D37&lt;&gt;"",G37&lt;&gt;"",J37&lt;&gt;"",M37&lt;&gt;"",N37&lt;&gt;"",O37&lt;&gt;""),IF(D37="P",-9.236+0.0002708*(O37*N37)-0.001663*(G37*O37)+0.007216*(G37*N37)+0.02292*(M37/J37*100),-9.376+0.0001882*(O37*N37)+0.0022*(G37*O37)+0.005841*(G37*N37)-0.002658*(G37*M37)+0.07693*(M37/J37*100)),""),"")</f>
        <v/>
      </c>
      <c r="R37" s="23">
        <f>IFERROR(IF(Q37&lt;&gt;"",IF(Q37&lt;-1,"Pre-PHV (&gt;1v ennen)",IF(Q37&lt;-0.5,"Lahestyy PHV (0.5-1v)",IF(Q37&lt;=0.5,"PHV-huippu (+-0.5v)",IF(Q37&lt;=1,"Post-PHV (0.5-1v jalk.)","Jalki-PHV (&gt;1v jalk.)")))),""),"")</f>
        <v/>
      </c>
      <c r="S37" s="24">
        <f>IFERROR(IF(AND(P37&lt;&gt;"",E37&lt;&gt;"",D37&lt;&gt;""),IF(D37="P",IF(P37&gt;=VLOOKUP(MONTH(E37),'Yli-ikaisyys'!$A$5:$B$16,2,FALSE),"KYLLA - poikkeuslupa mahdollinen","EI tayta ehtoja"),IF(P37&gt;=VLOOKUP(MONTH(E37),'Yli-ikaisyys'!$A$5:$C$16,3,FALSE),"KYLLA - poikkeuslupa mahdollinen","EI tayta ehtoja")),""),"")</f>
        <v/>
      </c>
      <c r="T37" s="10" t="n"/>
    </row>
    <row r="38">
      <c r="A38" s="17" t="n">
        <v>33</v>
      </c>
      <c r="B38" s="10" t="n"/>
      <c r="C38" s="10" t="n"/>
      <c r="D38" s="10" t="n"/>
      <c r="E38" s="18" t="n"/>
      <c r="F38" s="18" t="n"/>
      <c r="G38" s="19">
        <f>IFERROR(IF(AND(F38&lt;&gt;"",E38&lt;&gt;""),ROUND((F38-E38)/365.25,3),""),"")</f>
        <v/>
      </c>
      <c r="H38" s="10" t="n"/>
      <c r="I38" s="10" t="n"/>
      <c r="J38" s="20">
        <f>IFERROR(IF(AND(H38&lt;&gt;"",I38&lt;&gt;""),AVERAGE(H38,I38),""),"")</f>
        <v/>
      </c>
      <c r="K38" s="10" t="n"/>
      <c r="L38" s="10" t="n"/>
      <c r="M38" s="20">
        <f>IFERROR(IF(AND(K38&lt;&gt;"",L38&lt;&gt;""),AVERAGE(K38,L38),""),"")</f>
        <v/>
      </c>
      <c r="N38" s="10" t="n"/>
      <c r="O38" s="20">
        <f>IFERROR(IF(AND(J38&lt;&gt;"",N38&lt;&gt;""),J38-N38,""),"")</f>
        <v/>
      </c>
      <c r="P38" s="21">
        <f>IFERROR(IF(Q38&lt;&gt;"",ROUND(G38-Q38,2),""),"")</f>
        <v/>
      </c>
      <c r="Q38" s="22">
        <f>IFERROR(IF(AND(D38&lt;&gt;"",G38&lt;&gt;"",J38&lt;&gt;"",M38&lt;&gt;"",N38&lt;&gt;"",O38&lt;&gt;""),IF(D38="P",-9.236+0.0002708*(O38*N38)-0.001663*(G38*O38)+0.007216*(G38*N38)+0.02292*(M38/J38*100),-9.376+0.0001882*(O38*N38)+0.0022*(G38*O38)+0.005841*(G38*N38)-0.002658*(G38*M38)+0.07693*(M38/J38*100)),""),"")</f>
        <v/>
      </c>
      <c r="R38" s="23">
        <f>IFERROR(IF(Q38&lt;&gt;"",IF(Q38&lt;-1,"Pre-PHV (&gt;1v ennen)",IF(Q38&lt;-0.5,"Lahestyy PHV (0.5-1v)",IF(Q38&lt;=0.5,"PHV-huippu (+-0.5v)",IF(Q38&lt;=1,"Post-PHV (0.5-1v jalk.)","Jalki-PHV (&gt;1v jalk.)")))),""),"")</f>
        <v/>
      </c>
      <c r="S38" s="24">
        <f>IFERROR(IF(AND(P38&lt;&gt;"",E38&lt;&gt;"",D38&lt;&gt;""),IF(D38="P",IF(P38&gt;=VLOOKUP(MONTH(E38),'Yli-ikaisyys'!$A$5:$B$16,2,FALSE),"KYLLA - poikkeuslupa mahdollinen","EI tayta ehtoja"),IF(P38&gt;=VLOOKUP(MONTH(E38),'Yli-ikaisyys'!$A$5:$C$16,3,FALSE),"KYLLA - poikkeuslupa mahdollinen","EI tayta ehtoja")),""),"")</f>
        <v/>
      </c>
      <c r="T38" s="10" t="n"/>
    </row>
    <row r="39">
      <c r="A39" s="25" t="n">
        <v>34</v>
      </c>
      <c r="B39" s="10" t="n"/>
      <c r="C39" s="10" t="n"/>
      <c r="D39" s="10" t="n"/>
      <c r="E39" s="18" t="n"/>
      <c r="F39" s="18" t="n"/>
      <c r="G39" s="19">
        <f>IFERROR(IF(AND(F39&lt;&gt;"",E39&lt;&gt;""),ROUND((F39-E39)/365.25,3),""),"")</f>
        <v/>
      </c>
      <c r="H39" s="10" t="n"/>
      <c r="I39" s="10" t="n"/>
      <c r="J39" s="20">
        <f>IFERROR(IF(AND(H39&lt;&gt;"",I39&lt;&gt;""),AVERAGE(H39,I39),""),"")</f>
        <v/>
      </c>
      <c r="K39" s="10" t="n"/>
      <c r="L39" s="10" t="n"/>
      <c r="M39" s="20">
        <f>IFERROR(IF(AND(K39&lt;&gt;"",L39&lt;&gt;""),AVERAGE(K39,L39),""),"")</f>
        <v/>
      </c>
      <c r="N39" s="10" t="n"/>
      <c r="O39" s="20">
        <f>IFERROR(IF(AND(J39&lt;&gt;"",N39&lt;&gt;""),J39-N39,""),"")</f>
        <v/>
      </c>
      <c r="P39" s="21">
        <f>IFERROR(IF(Q39&lt;&gt;"",ROUND(G39-Q39,2),""),"")</f>
        <v/>
      </c>
      <c r="Q39" s="22">
        <f>IFERROR(IF(AND(D39&lt;&gt;"",G39&lt;&gt;"",J39&lt;&gt;"",M39&lt;&gt;"",N39&lt;&gt;"",O39&lt;&gt;""),IF(D39="P",-9.236+0.0002708*(O39*N39)-0.001663*(G39*O39)+0.007216*(G39*N39)+0.02292*(M39/J39*100),-9.376+0.0001882*(O39*N39)+0.0022*(G39*O39)+0.005841*(G39*N39)-0.002658*(G39*M39)+0.07693*(M39/J39*100)),""),"")</f>
        <v/>
      </c>
      <c r="R39" s="23">
        <f>IFERROR(IF(Q39&lt;&gt;"",IF(Q39&lt;-1,"Pre-PHV (&gt;1v ennen)",IF(Q39&lt;-0.5,"Lahestyy PHV (0.5-1v)",IF(Q39&lt;=0.5,"PHV-huippu (+-0.5v)",IF(Q39&lt;=1,"Post-PHV (0.5-1v jalk.)","Jalki-PHV (&gt;1v jalk.)")))),""),"")</f>
        <v/>
      </c>
      <c r="S39" s="24">
        <f>IFERROR(IF(AND(P39&lt;&gt;"",E39&lt;&gt;"",D39&lt;&gt;""),IF(D39="P",IF(P39&gt;=VLOOKUP(MONTH(E39),'Yli-ikaisyys'!$A$5:$B$16,2,FALSE),"KYLLA - poikkeuslupa mahdollinen","EI tayta ehtoja"),IF(P39&gt;=VLOOKUP(MONTH(E39),'Yli-ikaisyys'!$A$5:$C$16,3,FALSE),"KYLLA - poikkeuslupa mahdollinen","EI tayta ehtoja")),""),"")</f>
        <v/>
      </c>
      <c r="T39" s="10" t="n"/>
    </row>
    <row r="40">
      <c r="A40" s="17" t="n">
        <v>35</v>
      </c>
      <c r="B40" s="10" t="n"/>
      <c r="C40" s="10" t="n"/>
      <c r="D40" s="10" t="n"/>
      <c r="E40" s="18" t="n"/>
      <c r="F40" s="18" t="n"/>
      <c r="G40" s="19">
        <f>IFERROR(IF(AND(F40&lt;&gt;"",E40&lt;&gt;""),ROUND((F40-E40)/365.25,3),""),"")</f>
        <v/>
      </c>
      <c r="H40" s="10" t="n"/>
      <c r="I40" s="10" t="n"/>
      <c r="J40" s="20">
        <f>IFERROR(IF(AND(H40&lt;&gt;"",I40&lt;&gt;""),AVERAGE(H40,I40),""),"")</f>
        <v/>
      </c>
      <c r="K40" s="10" t="n"/>
      <c r="L40" s="10" t="n"/>
      <c r="M40" s="20">
        <f>IFERROR(IF(AND(K40&lt;&gt;"",L40&lt;&gt;""),AVERAGE(K40,L40),""),"")</f>
        <v/>
      </c>
      <c r="N40" s="10" t="n"/>
      <c r="O40" s="20">
        <f>IFERROR(IF(AND(J40&lt;&gt;"",N40&lt;&gt;""),J40-N40,""),"")</f>
        <v/>
      </c>
      <c r="P40" s="21">
        <f>IFERROR(IF(Q40&lt;&gt;"",ROUND(G40-Q40,2),""),"")</f>
        <v/>
      </c>
      <c r="Q40" s="22">
        <f>IFERROR(IF(AND(D40&lt;&gt;"",G40&lt;&gt;"",J40&lt;&gt;"",M40&lt;&gt;"",N40&lt;&gt;"",O40&lt;&gt;""),IF(D40="P",-9.236+0.0002708*(O40*N40)-0.001663*(G40*O40)+0.007216*(G40*N40)+0.02292*(M40/J40*100),-9.376+0.0001882*(O40*N40)+0.0022*(G40*O40)+0.005841*(G40*N40)-0.002658*(G40*M40)+0.07693*(M40/J40*100)),""),"")</f>
        <v/>
      </c>
      <c r="R40" s="23">
        <f>IFERROR(IF(Q40&lt;&gt;"",IF(Q40&lt;-1,"Pre-PHV (&gt;1v ennen)",IF(Q40&lt;-0.5,"Lahestyy PHV (0.5-1v)",IF(Q40&lt;=0.5,"PHV-huippu (+-0.5v)",IF(Q40&lt;=1,"Post-PHV (0.5-1v jalk.)","Jalki-PHV (&gt;1v jalk.)")))),""),"")</f>
        <v/>
      </c>
      <c r="S40" s="24">
        <f>IFERROR(IF(AND(P40&lt;&gt;"",E40&lt;&gt;"",D40&lt;&gt;""),IF(D40="P",IF(P40&gt;=VLOOKUP(MONTH(E40),'Yli-ikaisyys'!$A$5:$B$16,2,FALSE),"KYLLA - poikkeuslupa mahdollinen","EI tayta ehtoja"),IF(P40&gt;=VLOOKUP(MONTH(E40),'Yli-ikaisyys'!$A$5:$C$16,3,FALSE),"KYLLA - poikkeuslupa mahdollinen","EI tayta ehtoja")),""),"")</f>
        <v/>
      </c>
      <c r="T40" s="10" t="n"/>
    </row>
    <row r="41">
      <c r="A41" s="25" t="n">
        <v>36</v>
      </c>
      <c r="B41" s="10" t="n"/>
      <c r="C41" s="10" t="n"/>
      <c r="D41" s="10" t="n"/>
      <c r="E41" s="18" t="n"/>
      <c r="F41" s="18" t="n"/>
      <c r="G41" s="19">
        <f>IFERROR(IF(AND(F41&lt;&gt;"",E41&lt;&gt;""),ROUND((F41-E41)/365.25,3),""),"")</f>
        <v/>
      </c>
      <c r="H41" s="10" t="n"/>
      <c r="I41" s="10" t="n"/>
      <c r="J41" s="20">
        <f>IFERROR(IF(AND(H41&lt;&gt;"",I41&lt;&gt;""),AVERAGE(H41,I41),""),"")</f>
        <v/>
      </c>
      <c r="K41" s="10" t="n"/>
      <c r="L41" s="10" t="n"/>
      <c r="M41" s="20">
        <f>IFERROR(IF(AND(K41&lt;&gt;"",L41&lt;&gt;""),AVERAGE(K41,L41),""),"")</f>
        <v/>
      </c>
      <c r="N41" s="10" t="n"/>
      <c r="O41" s="20">
        <f>IFERROR(IF(AND(J41&lt;&gt;"",N41&lt;&gt;""),J41-N41,""),"")</f>
        <v/>
      </c>
      <c r="P41" s="21">
        <f>IFERROR(IF(Q41&lt;&gt;"",ROUND(G41-Q41,2),""),"")</f>
        <v/>
      </c>
      <c r="Q41" s="22">
        <f>IFERROR(IF(AND(D41&lt;&gt;"",G41&lt;&gt;"",J41&lt;&gt;"",M41&lt;&gt;"",N41&lt;&gt;"",O41&lt;&gt;""),IF(D41="P",-9.236+0.0002708*(O41*N41)-0.001663*(G41*O41)+0.007216*(G41*N41)+0.02292*(M41/J41*100),-9.376+0.0001882*(O41*N41)+0.0022*(G41*O41)+0.005841*(G41*N41)-0.002658*(G41*M41)+0.07693*(M41/J41*100)),""),"")</f>
        <v/>
      </c>
      <c r="R41" s="23">
        <f>IFERROR(IF(Q41&lt;&gt;"",IF(Q41&lt;-1,"Pre-PHV (&gt;1v ennen)",IF(Q41&lt;-0.5,"Lahestyy PHV (0.5-1v)",IF(Q41&lt;=0.5,"PHV-huippu (+-0.5v)",IF(Q41&lt;=1,"Post-PHV (0.5-1v jalk.)","Jalki-PHV (&gt;1v jalk.)")))),""),"")</f>
        <v/>
      </c>
      <c r="S41" s="24">
        <f>IFERROR(IF(AND(P41&lt;&gt;"",E41&lt;&gt;"",D41&lt;&gt;""),IF(D41="P",IF(P41&gt;=VLOOKUP(MONTH(E41),'Yli-ikaisyys'!$A$5:$B$16,2,FALSE),"KYLLA - poikkeuslupa mahdollinen","EI tayta ehtoja"),IF(P41&gt;=VLOOKUP(MONTH(E41),'Yli-ikaisyys'!$A$5:$C$16,3,FALSE),"KYLLA - poikkeuslupa mahdollinen","EI tayta ehtoja")),""),"")</f>
        <v/>
      </c>
      <c r="T41" s="10" t="n"/>
    </row>
    <row r="42">
      <c r="A42" s="17" t="n">
        <v>37</v>
      </c>
      <c r="B42" s="10" t="n"/>
      <c r="C42" s="10" t="n"/>
      <c r="D42" s="10" t="n"/>
      <c r="E42" s="18" t="n"/>
      <c r="F42" s="18" t="n"/>
      <c r="G42" s="19">
        <f>IFERROR(IF(AND(F42&lt;&gt;"",E42&lt;&gt;""),ROUND((F42-E42)/365.25,3),""),"")</f>
        <v/>
      </c>
      <c r="H42" s="10" t="n"/>
      <c r="I42" s="10" t="n"/>
      <c r="J42" s="20">
        <f>IFERROR(IF(AND(H42&lt;&gt;"",I42&lt;&gt;""),AVERAGE(H42,I42),""),"")</f>
        <v/>
      </c>
      <c r="K42" s="10" t="n"/>
      <c r="L42" s="10" t="n"/>
      <c r="M42" s="20">
        <f>IFERROR(IF(AND(K42&lt;&gt;"",L42&lt;&gt;""),AVERAGE(K42,L42),""),"")</f>
        <v/>
      </c>
      <c r="N42" s="10" t="n"/>
      <c r="O42" s="20">
        <f>IFERROR(IF(AND(J42&lt;&gt;"",N42&lt;&gt;""),J42-N42,""),"")</f>
        <v/>
      </c>
      <c r="P42" s="21">
        <f>IFERROR(IF(Q42&lt;&gt;"",ROUND(G42-Q42,2),""),"")</f>
        <v/>
      </c>
      <c r="Q42" s="22">
        <f>IFERROR(IF(AND(D42&lt;&gt;"",G42&lt;&gt;"",J42&lt;&gt;"",M42&lt;&gt;"",N42&lt;&gt;"",O42&lt;&gt;""),IF(D42="P",-9.236+0.0002708*(O42*N42)-0.001663*(G42*O42)+0.007216*(G42*N42)+0.02292*(M42/J42*100),-9.376+0.0001882*(O42*N42)+0.0022*(G42*O42)+0.005841*(G42*N42)-0.002658*(G42*M42)+0.07693*(M42/J42*100)),""),"")</f>
        <v/>
      </c>
      <c r="R42" s="23">
        <f>IFERROR(IF(Q42&lt;&gt;"",IF(Q42&lt;-1,"Pre-PHV (&gt;1v ennen)",IF(Q42&lt;-0.5,"Lahestyy PHV (0.5-1v)",IF(Q42&lt;=0.5,"PHV-huippu (+-0.5v)",IF(Q42&lt;=1,"Post-PHV (0.5-1v jalk.)","Jalki-PHV (&gt;1v jalk.)")))),""),"")</f>
        <v/>
      </c>
      <c r="S42" s="24">
        <f>IFERROR(IF(AND(P42&lt;&gt;"",E42&lt;&gt;"",D42&lt;&gt;""),IF(D42="P",IF(P42&gt;=VLOOKUP(MONTH(E42),'Yli-ikaisyys'!$A$5:$B$16,2,FALSE),"KYLLA - poikkeuslupa mahdollinen","EI tayta ehtoja"),IF(P42&gt;=VLOOKUP(MONTH(E42),'Yli-ikaisyys'!$A$5:$C$16,3,FALSE),"KYLLA - poikkeuslupa mahdollinen","EI tayta ehtoja")),""),"")</f>
        <v/>
      </c>
      <c r="T42" s="10" t="n"/>
    </row>
    <row r="43">
      <c r="A43" s="25" t="n">
        <v>38</v>
      </c>
      <c r="B43" s="10" t="n"/>
      <c r="C43" s="10" t="n"/>
      <c r="D43" s="10" t="n"/>
      <c r="E43" s="18" t="n"/>
      <c r="F43" s="18" t="n"/>
      <c r="G43" s="19">
        <f>IFERROR(IF(AND(F43&lt;&gt;"",E43&lt;&gt;""),ROUND((F43-E43)/365.25,3),""),"")</f>
        <v/>
      </c>
      <c r="H43" s="10" t="n"/>
      <c r="I43" s="10" t="n"/>
      <c r="J43" s="20">
        <f>IFERROR(IF(AND(H43&lt;&gt;"",I43&lt;&gt;""),AVERAGE(H43,I43),""),"")</f>
        <v/>
      </c>
      <c r="K43" s="10" t="n"/>
      <c r="L43" s="10" t="n"/>
      <c r="M43" s="20">
        <f>IFERROR(IF(AND(K43&lt;&gt;"",L43&lt;&gt;""),AVERAGE(K43,L43),""),"")</f>
        <v/>
      </c>
      <c r="N43" s="10" t="n"/>
      <c r="O43" s="20">
        <f>IFERROR(IF(AND(J43&lt;&gt;"",N43&lt;&gt;""),J43-N43,""),"")</f>
        <v/>
      </c>
      <c r="P43" s="21">
        <f>IFERROR(IF(Q43&lt;&gt;"",ROUND(G43-Q43,2),""),"")</f>
        <v/>
      </c>
      <c r="Q43" s="22">
        <f>IFERROR(IF(AND(D43&lt;&gt;"",G43&lt;&gt;"",J43&lt;&gt;"",M43&lt;&gt;"",N43&lt;&gt;"",O43&lt;&gt;""),IF(D43="P",-9.236+0.0002708*(O43*N43)-0.001663*(G43*O43)+0.007216*(G43*N43)+0.02292*(M43/J43*100),-9.376+0.0001882*(O43*N43)+0.0022*(G43*O43)+0.005841*(G43*N43)-0.002658*(G43*M43)+0.07693*(M43/J43*100)),""),"")</f>
        <v/>
      </c>
      <c r="R43" s="23">
        <f>IFERROR(IF(Q43&lt;&gt;"",IF(Q43&lt;-1,"Pre-PHV (&gt;1v ennen)",IF(Q43&lt;-0.5,"Lahestyy PHV (0.5-1v)",IF(Q43&lt;=0.5,"PHV-huippu (+-0.5v)",IF(Q43&lt;=1,"Post-PHV (0.5-1v jalk.)","Jalki-PHV (&gt;1v jalk.)")))),""),"")</f>
        <v/>
      </c>
      <c r="S43" s="24">
        <f>IFERROR(IF(AND(P43&lt;&gt;"",E43&lt;&gt;"",D43&lt;&gt;""),IF(D43="P",IF(P43&gt;=VLOOKUP(MONTH(E43),'Yli-ikaisyys'!$A$5:$B$16,2,FALSE),"KYLLA - poikkeuslupa mahdollinen","EI tayta ehtoja"),IF(P43&gt;=VLOOKUP(MONTH(E43),'Yli-ikaisyys'!$A$5:$C$16,3,FALSE),"KYLLA - poikkeuslupa mahdollinen","EI tayta ehtoja")),""),"")</f>
        <v/>
      </c>
      <c r="T43" s="10" t="n"/>
    </row>
    <row r="44">
      <c r="A44" s="17" t="n">
        <v>39</v>
      </c>
      <c r="B44" s="10" t="n"/>
      <c r="C44" s="10" t="n"/>
      <c r="D44" s="10" t="n"/>
      <c r="E44" s="18" t="n"/>
      <c r="F44" s="18" t="n"/>
      <c r="G44" s="19">
        <f>IFERROR(IF(AND(F44&lt;&gt;"",E44&lt;&gt;""),ROUND((F44-E44)/365.25,3),""),"")</f>
        <v/>
      </c>
      <c r="H44" s="10" t="n"/>
      <c r="I44" s="10" t="n"/>
      <c r="J44" s="20">
        <f>IFERROR(IF(AND(H44&lt;&gt;"",I44&lt;&gt;""),AVERAGE(H44,I44),""),"")</f>
        <v/>
      </c>
      <c r="K44" s="10" t="n"/>
      <c r="L44" s="10" t="n"/>
      <c r="M44" s="20">
        <f>IFERROR(IF(AND(K44&lt;&gt;"",L44&lt;&gt;""),AVERAGE(K44,L44),""),"")</f>
        <v/>
      </c>
      <c r="N44" s="10" t="n"/>
      <c r="O44" s="20">
        <f>IFERROR(IF(AND(J44&lt;&gt;"",N44&lt;&gt;""),J44-N44,""),"")</f>
        <v/>
      </c>
      <c r="P44" s="21">
        <f>IFERROR(IF(Q44&lt;&gt;"",ROUND(G44-Q44,2),""),"")</f>
        <v/>
      </c>
      <c r="Q44" s="22">
        <f>IFERROR(IF(AND(D44&lt;&gt;"",G44&lt;&gt;"",J44&lt;&gt;"",M44&lt;&gt;"",N44&lt;&gt;"",O44&lt;&gt;""),IF(D44="P",-9.236+0.0002708*(O44*N44)-0.001663*(G44*O44)+0.007216*(G44*N44)+0.02292*(M44/J44*100),-9.376+0.0001882*(O44*N44)+0.0022*(G44*O44)+0.005841*(G44*N44)-0.002658*(G44*M44)+0.07693*(M44/J44*100)),""),"")</f>
        <v/>
      </c>
      <c r="R44" s="23">
        <f>IFERROR(IF(Q44&lt;&gt;"",IF(Q44&lt;-1,"Pre-PHV (&gt;1v ennen)",IF(Q44&lt;-0.5,"Lahestyy PHV (0.5-1v)",IF(Q44&lt;=0.5,"PHV-huippu (+-0.5v)",IF(Q44&lt;=1,"Post-PHV (0.5-1v jalk.)","Jalki-PHV (&gt;1v jalk.)")))),""),"")</f>
        <v/>
      </c>
      <c r="S44" s="24">
        <f>IFERROR(IF(AND(P44&lt;&gt;"",E44&lt;&gt;"",D44&lt;&gt;""),IF(D44="P",IF(P44&gt;=VLOOKUP(MONTH(E44),'Yli-ikaisyys'!$A$5:$B$16,2,FALSE),"KYLLA - poikkeuslupa mahdollinen","EI tayta ehtoja"),IF(P44&gt;=VLOOKUP(MONTH(E44),'Yli-ikaisyys'!$A$5:$C$16,3,FALSE),"KYLLA - poikkeuslupa mahdollinen","EI tayta ehtoja")),""),"")</f>
        <v/>
      </c>
      <c r="T44" s="10" t="n"/>
    </row>
    <row r="45">
      <c r="A45" s="25" t="n">
        <v>40</v>
      </c>
      <c r="B45" s="10" t="n"/>
      <c r="C45" s="10" t="n"/>
      <c r="D45" s="10" t="n"/>
      <c r="E45" s="18" t="n"/>
      <c r="F45" s="18" t="n"/>
      <c r="G45" s="19">
        <f>IFERROR(IF(AND(F45&lt;&gt;"",E45&lt;&gt;""),ROUND((F45-E45)/365.25,3),""),"")</f>
        <v/>
      </c>
      <c r="H45" s="10" t="n"/>
      <c r="I45" s="10" t="n"/>
      <c r="J45" s="20">
        <f>IFERROR(IF(AND(H45&lt;&gt;"",I45&lt;&gt;""),AVERAGE(H45,I45),""),"")</f>
        <v/>
      </c>
      <c r="K45" s="10" t="n"/>
      <c r="L45" s="10" t="n"/>
      <c r="M45" s="20">
        <f>IFERROR(IF(AND(K45&lt;&gt;"",L45&lt;&gt;""),AVERAGE(K45,L45),""),"")</f>
        <v/>
      </c>
      <c r="N45" s="10" t="n"/>
      <c r="O45" s="20">
        <f>IFERROR(IF(AND(J45&lt;&gt;"",N45&lt;&gt;""),J45-N45,""),"")</f>
        <v/>
      </c>
      <c r="P45" s="21">
        <f>IFERROR(IF(Q45&lt;&gt;"",ROUND(G45-Q45,2),""),"")</f>
        <v/>
      </c>
      <c r="Q45" s="22">
        <f>IFERROR(IF(AND(D45&lt;&gt;"",G45&lt;&gt;"",J45&lt;&gt;"",M45&lt;&gt;"",N45&lt;&gt;"",O45&lt;&gt;""),IF(D45="P",-9.236+0.0002708*(O45*N45)-0.001663*(G45*O45)+0.007216*(G45*N45)+0.02292*(M45/J45*100),-9.376+0.0001882*(O45*N45)+0.0022*(G45*O45)+0.005841*(G45*N45)-0.002658*(G45*M45)+0.07693*(M45/J45*100)),""),"")</f>
        <v/>
      </c>
      <c r="R45" s="23">
        <f>IFERROR(IF(Q45&lt;&gt;"",IF(Q45&lt;-1,"Pre-PHV (&gt;1v ennen)",IF(Q45&lt;-0.5,"Lahestyy PHV (0.5-1v)",IF(Q45&lt;=0.5,"PHV-huippu (+-0.5v)",IF(Q45&lt;=1,"Post-PHV (0.5-1v jalk.)","Jalki-PHV (&gt;1v jalk.)")))),""),"")</f>
        <v/>
      </c>
      <c r="S45" s="24">
        <f>IFERROR(IF(AND(P45&lt;&gt;"",E45&lt;&gt;"",D45&lt;&gt;""),IF(D45="P",IF(P45&gt;=VLOOKUP(MONTH(E45),'Yli-ikaisyys'!$A$5:$B$16,2,FALSE),"KYLLA - poikkeuslupa mahdollinen","EI tayta ehtoja"),IF(P45&gt;=VLOOKUP(MONTH(E45),'Yli-ikaisyys'!$A$5:$C$16,3,FALSE),"KYLLA - poikkeuslupa mahdollinen","EI tayta ehtoja")),""),"")</f>
        <v/>
      </c>
      <c r="T45" s="10" t="n"/>
    </row>
    <row r="46">
      <c r="A46" s="17" t="n">
        <v>41</v>
      </c>
      <c r="B46" s="10" t="n"/>
      <c r="C46" s="10" t="n"/>
      <c r="D46" s="10" t="n"/>
      <c r="E46" s="18" t="n"/>
      <c r="F46" s="18" t="n"/>
      <c r="G46" s="19">
        <f>IFERROR(IF(AND(F46&lt;&gt;"",E46&lt;&gt;""),ROUND((F46-E46)/365.25,3),""),"")</f>
        <v/>
      </c>
      <c r="H46" s="10" t="n"/>
      <c r="I46" s="10" t="n"/>
      <c r="J46" s="20">
        <f>IFERROR(IF(AND(H46&lt;&gt;"",I46&lt;&gt;""),AVERAGE(H46,I46),""),"")</f>
        <v/>
      </c>
      <c r="K46" s="10" t="n"/>
      <c r="L46" s="10" t="n"/>
      <c r="M46" s="20">
        <f>IFERROR(IF(AND(K46&lt;&gt;"",L46&lt;&gt;""),AVERAGE(K46,L46),""),"")</f>
        <v/>
      </c>
      <c r="N46" s="10" t="n"/>
      <c r="O46" s="20">
        <f>IFERROR(IF(AND(J46&lt;&gt;"",N46&lt;&gt;""),J46-N46,""),"")</f>
        <v/>
      </c>
      <c r="P46" s="21">
        <f>IFERROR(IF(Q46&lt;&gt;"",ROUND(G46-Q46,2),""),"")</f>
        <v/>
      </c>
      <c r="Q46" s="22">
        <f>IFERROR(IF(AND(D46&lt;&gt;"",G46&lt;&gt;"",J46&lt;&gt;"",M46&lt;&gt;"",N46&lt;&gt;"",O46&lt;&gt;""),IF(D46="P",-9.236+0.0002708*(O46*N46)-0.001663*(G46*O46)+0.007216*(G46*N46)+0.02292*(M46/J46*100),-9.376+0.0001882*(O46*N46)+0.0022*(G46*O46)+0.005841*(G46*N46)-0.002658*(G46*M46)+0.07693*(M46/J46*100)),""),"")</f>
        <v/>
      </c>
      <c r="R46" s="23">
        <f>IFERROR(IF(Q46&lt;&gt;"",IF(Q46&lt;-1,"Pre-PHV (&gt;1v ennen)",IF(Q46&lt;-0.5,"Lahestyy PHV (0.5-1v)",IF(Q46&lt;=0.5,"PHV-huippu (+-0.5v)",IF(Q46&lt;=1,"Post-PHV (0.5-1v jalk.)","Jalki-PHV (&gt;1v jalk.)")))),""),"")</f>
        <v/>
      </c>
      <c r="S46" s="24">
        <f>IFERROR(IF(AND(P46&lt;&gt;"",E46&lt;&gt;"",D46&lt;&gt;""),IF(D46="P",IF(P46&gt;=VLOOKUP(MONTH(E46),'Yli-ikaisyys'!$A$5:$B$16,2,FALSE),"KYLLA - poikkeuslupa mahdollinen","EI tayta ehtoja"),IF(P46&gt;=VLOOKUP(MONTH(E46),'Yli-ikaisyys'!$A$5:$C$16,3,FALSE),"KYLLA - poikkeuslupa mahdollinen","EI tayta ehtoja")),""),"")</f>
        <v/>
      </c>
      <c r="T46" s="10" t="n"/>
    </row>
    <row r="47">
      <c r="A47" s="25" t="n">
        <v>42</v>
      </c>
      <c r="B47" s="10" t="n"/>
      <c r="C47" s="10" t="n"/>
      <c r="D47" s="10" t="n"/>
      <c r="E47" s="18" t="n"/>
      <c r="F47" s="18" t="n"/>
      <c r="G47" s="19">
        <f>IFERROR(IF(AND(F47&lt;&gt;"",E47&lt;&gt;""),ROUND((F47-E47)/365.25,3),""),"")</f>
        <v/>
      </c>
      <c r="H47" s="10" t="n"/>
      <c r="I47" s="10" t="n"/>
      <c r="J47" s="20">
        <f>IFERROR(IF(AND(H47&lt;&gt;"",I47&lt;&gt;""),AVERAGE(H47,I47),""),"")</f>
        <v/>
      </c>
      <c r="K47" s="10" t="n"/>
      <c r="L47" s="10" t="n"/>
      <c r="M47" s="20">
        <f>IFERROR(IF(AND(K47&lt;&gt;"",L47&lt;&gt;""),AVERAGE(K47,L47),""),"")</f>
        <v/>
      </c>
      <c r="N47" s="10" t="n"/>
      <c r="O47" s="20">
        <f>IFERROR(IF(AND(J47&lt;&gt;"",N47&lt;&gt;""),J47-N47,""),"")</f>
        <v/>
      </c>
      <c r="P47" s="21">
        <f>IFERROR(IF(Q47&lt;&gt;"",ROUND(G47-Q47,2),""),"")</f>
        <v/>
      </c>
      <c r="Q47" s="22">
        <f>IFERROR(IF(AND(D47&lt;&gt;"",G47&lt;&gt;"",J47&lt;&gt;"",M47&lt;&gt;"",N47&lt;&gt;"",O47&lt;&gt;""),IF(D47="P",-9.236+0.0002708*(O47*N47)-0.001663*(G47*O47)+0.007216*(G47*N47)+0.02292*(M47/J47*100),-9.376+0.0001882*(O47*N47)+0.0022*(G47*O47)+0.005841*(G47*N47)-0.002658*(G47*M47)+0.07693*(M47/J47*100)),""),"")</f>
        <v/>
      </c>
      <c r="R47" s="23">
        <f>IFERROR(IF(Q47&lt;&gt;"",IF(Q47&lt;-1,"Pre-PHV (&gt;1v ennen)",IF(Q47&lt;-0.5,"Lahestyy PHV (0.5-1v)",IF(Q47&lt;=0.5,"PHV-huippu (+-0.5v)",IF(Q47&lt;=1,"Post-PHV (0.5-1v jalk.)","Jalki-PHV (&gt;1v jalk.)")))),""),"")</f>
        <v/>
      </c>
      <c r="S47" s="24">
        <f>IFERROR(IF(AND(P47&lt;&gt;"",E47&lt;&gt;"",D47&lt;&gt;""),IF(D47="P",IF(P47&gt;=VLOOKUP(MONTH(E47),'Yli-ikaisyys'!$A$5:$B$16,2,FALSE),"KYLLA - poikkeuslupa mahdollinen","EI tayta ehtoja"),IF(P47&gt;=VLOOKUP(MONTH(E47),'Yli-ikaisyys'!$A$5:$C$16,3,FALSE),"KYLLA - poikkeuslupa mahdollinen","EI tayta ehtoja")),""),"")</f>
        <v/>
      </c>
      <c r="T47" s="10" t="n"/>
    </row>
    <row r="48">
      <c r="A48" s="17" t="n">
        <v>43</v>
      </c>
      <c r="B48" s="10" t="n"/>
      <c r="C48" s="10" t="n"/>
      <c r="D48" s="10" t="n"/>
      <c r="E48" s="18" t="n"/>
      <c r="F48" s="18" t="n"/>
      <c r="G48" s="19">
        <f>IFERROR(IF(AND(F48&lt;&gt;"",E48&lt;&gt;""),ROUND((F48-E48)/365.25,3),""),"")</f>
        <v/>
      </c>
      <c r="H48" s="10" t="n"/>
      <c r="I48" s="10" t="n"/>
      <c r="J48" s="20">
        <f>IFERROR(IF(AND(H48&lt;&gt;"",I48&lt;&gt;""),AVERAGE(H48,I48),""),"")</f>
        <v/>
      </c>
      <c r="K48" s="10" t="n"/>
      <c r="L48" s="10" t="n"/>
      <c r="M48" s="20">
        <f>IFERROR(IF(AND(K48&lt;&gt;"",L48&lt;&gt;""),AVERAGE(K48,L48),""),"")</f>
        <v/>
      </c>
      <c r="N48" s="10" t="n"/>
      <c r="O48" s="20">
        <f>IFERROR(IF(AND(J48&lt;&gt;"",N48&lt;&gt;""),J48-N48,""),"")</f>
        <v/>
      </c>
      <c r="P48" s="21">
        <f>IFERROR(IF(Q48&lt;&gt;"",ROUND(G48-Q48,2),""),"")</f>
        <v/>
      </c>
      <c r="Q48" s="22">
        <f>IFERROR(IF(AND(D48&lt;&gt;"",G48&lt;&gt;"",J48&lt;&gt;"",M48&lt;&gt;"",N48&lt;&gt;"",O48&lt;&gt;""),IF(D48="P",-9.236+0.0002708*(O48*N48)-0.001663*(G48*O48)+0.007216*(G48*N48)+0.02292*(M48/J48*100),-9.376+0.0001882*(O48*N48)+0.0022*(G48*O48)+0.005841*(G48*N48)-0.002658*(G48*M48)+0.07693*(M48/J48*100)),""),"")</f>
        <v/>
      </c>
      <c r="R48" s="23">
        <f>IFERROR(IF(Q48&lt;&gt;"",IF(Q48&lt;-1,"Pre-PHV (&gt;1v ennen)",IF(Q48&lt;-0.5,"Lahestyy PHV (0.5-1v)",IF(Q48&lt;=0.5,"PHV-huippu (+-0.5v)",IF(Q48&lt;=1,"Post-PHV (0.5-1v jalk.)","Jalki-PHV (&gt;1v jalk.)")))),""),"")</f>
        <v/>
      </c>
      <c r="S48" s="24">
        <f>IFERROR(IF(AND(P48&lt;&gt;"",E48&lt;&gt;"",D48&lt;&gt;""),IF(D48="P",IF(P48&gt;=VLOOKUP(MONTH(E48),'Yli-ikaisyys'!$A$5:$B$16,2,FALSE),"KYLLA - poikkeuslupa mahdollinen","EI tayta ehtoja"),IF(P48&gt;=VLOOKUP(MONTH(E48),'Yli-ikaisyys'!$A$5:$C$16,3,FALSE),"KYLLA - poikkeuslupa mahdollinen","EI tayta ehtoja")),""),"")</f>
        <v/>
      </c>
      <c r="T48" s="10" t="n"/>
    </row>
    <row r="49">
      <c r="A49" s="25" t="n">
        <v>44</v>
      </c>
      <c r="B49" s="10" t="n"/>
      <c r="C49" s="10" t="n"/>
      <c r="D49" s="10" t="n"/>
      <c r="E49" s="18" t="n"/>
      <c r="F49" s="18" t="n"/>
      <c r="G49" s="19">
        <f>IFERROR(IF(AND(F49&lt;&gt;"",E49&lt;&gt;""),ROUND((F49-E49)/365.25,3),""),"")</f>
        <v/>
      </c>
      <c r="H49" s="10" t="n"/>
      <c r="I49" s="10" t="n"/>
      <c r="J49" s="20">
        <f>IFERROR(IF(AND(H49&lt;&gt;"",I49&lt;&gt;""),AVERAGE(H49,I49),""),"")</f>
        <v/>
      </c>
      <c r="K49" s="10" t="n"/>
      <c r="L49" s="10" t="n"/>
      <c r="M49" s="20">
        <f>IFERROR(IF(AND(K49&lt;&gt;"",L49&lt;&gt;""),AVERAGE(K49,L49),""),"")</f>
        <v/>
      </c>
      <c r="N49" s="10" t="n"/>
      <c r="O49" s="20">
        <f>IFERROR(IF(AND(J49&lt;&gt;"",N49&lt;&gt;""),J49-N49,""),"")</f>
        <v/>
      </c>
      <c r="P49" s="21">
        <f>IFERROR(IF(Q49&lt;&gt;"",ROUND(G49-Q49,2),""),"")</f>
        <v/>
      </c>
      <c r="Q49" s="22">
        <f>IFERROR(IF(AND(D49&lt;&gt;"",G49&lt;&gt;"",J49&lt;&gt;"",M49&lt;&gt;"",N49&lt;&gt;"",O49&lt;&gt;""),IF(D49="P",-9.236+0.0002708*(O49*N49)-0.001663*(G49*O49)+0.007216*(G49*N49)+0.02292*(M49/J49*100),-9.376+0.0001882*(O49*N49)+0.0022*(G49*O49)+0.005841*(G49*N49)-0.002658*(G49*M49)+0.07693*(M49/J49*100)),""),"")</f>
        <v/>
      </c>
      <c r="R49" s="23">
        <f>IFERROR(IF(Q49&lt;&gt;"",IF(Q49&lt;-1,"Pre-PHV (&gt;1v ennen)",IF(Q49&lt;-0.5,"Lahestyy PHV (0.5-1v)",IF(Q49&lt;=0.5,"PHV-huippu (+-0.5v)",IF(Q49&lt;=1,"Post-PHV (0.5-1v jalk.)","Jalki-PHV (&gt;1v jalk.)")))),""),"")</f>
        <v/>
      </c>
      <c r="S49" s="24">
        <f>IFERROR(IF(AND(P49&lt;&gt;"",E49&lt;&gt;"",D49&lt;&gt;""),IF(D49="P",IF(P49&gt;=VLOOKUP(MONTH(E49),'Yli-ikaisyys'!$A$5:$B$16,2,FALSE),"KYLLA - poikkeuslupa mahdollinen","EI tayta ehtoja"),IF(P49&gt;=VLOOKUP(MONTH(E49),'Yli-ikaisyys'!$A$5:$C$16,3,FALSE),"KYLLA - poikkeuslupa mahdollinen","EI tayta ehtoja")),""),"")</f>
        <v/>
      </c>
      <c r="T49" s="10" t="n"/>
    </row>
    <row r="50">
      <c r="A50" s="17" t="n">
        <v>45</v>
      </c>
      <c r="B50" s="10" t="n"/>
      <c r="C50" s="10" t="n"/>
      <c r="D50" s="10" t="n"/>
      <c r="E50" s="18" t="n"/>
      <c r="F50" s="18" t="n"/>
      <c r="G50" s="19">
        <f>IFERROR(IF(AND(F50&lt;&gt;"",E50&lt;&gt;""),ROUND((F50-E50)/365.25,3),""),"")</f>
        <v/>
      </c>
      <c r="H50" s="10" t="n"/>
      <c r="I50" s="10" t="n"/>
      <c r="J50" s="20">
        <f>IFERROR(IF(AND(H50&lt;&gt;"",I50&lt;&gt;""),AVERAGE(H50,I50),""),"")</f>
        <v/>
      </c>
      <c r="K50" s="10" t="n"/>
      <c r="L50" s="10" t="n"/>
      <c r="M50" s="20">
        <f>IFERROR(IF(AND(K50&lt;&gt;"",L50&lt;&gt;""),AVERAGE(K50,L50),""),"")</f>
        <v/>
      </c>
      <c r="N50" s="10" t="n"/>
      <c r="O50" s="20">
        <f>IFERROR(IF(AND(J50&lt;&gt;"",N50&lt;&gt;""),J50-N50,""),"")</f>
        <v/>
      </c>
      <c r="P50" s="21">
        <f>IFERROR(IF(Q50&lt;&gt;"",ROUND(G50-Q50,2),""),"")</f>
        <v/>
      </c>
      <c r="Q50" s="22">
        <f>IFERROR(IF(AND(D50&lt;&gt;"",G50&lt;&gt;"",J50&lt;&gt;"",M50&lt;&gt;"",N50&lt;&gt;"",O50&lt;&gt;""),IF(D50="P",-9.236+0.0002708*(O50*N50)-0.001663*(G50*O50)+0.007216*(G50*N50)+0.02292*(M50/J50*100),-9.376+0.0001882*(O50*N50)+0.0022*(G50*O50)+0.005841*(G50*N50)-0.002658*(G50*M50)+0.07693*(M50/J50*100)),""),"")</f>
        <v/>
      </c>
      <c r="R50" s="23">
        <f>IFERROR(IF(Q50&lt;&gt;"",IF(Q50&lt;-1,"Pre-PHV (&gt;1v ennen)",IF(Q50&lt;-0.5,"Lahestyy PHV (0.5-1v)",IF(Q50&lt;=0.5,"PHV-huippu (+-0.5v)",IF(Q50&lt;=1,"Post-PHV (0.5-1v jalk.)","Jalki-PHV (&gt;1v jalk.)")))),""),"")</f>
        <v/>
      </c>
      <c r="S50" s="24">
        <f>IFERROR(IF(AND(P50&lt;&gt;"",E50&lt;&gt;"",D50&lt;&gt;""),IF(D50="P",IF(P50&gt;=VLOOKUP(MONTH(E50),'Yli-ikaisyys'!$A$5:$B$16,2,FALSE),"KYLLA - poikkeuslupa mahdollinen","EI tayta ehtoja"),IF(P50&gt;=VLOOKUP(MONTH(E50),'Yli-ikaisyys'!$A$5:$C$16,3,FALSE),"KYLLA - poikkeuslupa mahdollinen","EI tayta ehtoja")),""),"")</f>
        <v/>
      </c>
      <c r="T50" s="10" t="n"/>
    </row>
    <row r="51">
      <c r="A51" s="25" t="n">
        <v>46</v>
      </c>
      <c r="B51" s="10" t="n"/>
      <c r="C51" s="10" t="n"/>
      <c r="D51" s="10" t="n"/>
      <c r="E51" s="18" t="n"/>
      <c r="F51" s="18" t="n"/>
      <c r="G51" s="19">
        <f>IFERROR(IF(AND(F51&lt;&gt;"",E51&lt;&gt;""),ROUND((F51-E51)/365.25,3),""),"")</f>
        <v/>
      </c>
      <c r="H51" s="10" t="n"/>
      <c r="I51" s="10" t="n"/>
      <c r="J51" s="20">
        <f>IFERROR(IF(AND(H51&lt;&gt;"",I51&lt;&gt;""),AVERAGE(H51,I51),""),"")</f>
        <v/>
      </c>
      <c r="K51" s="10" t="n"/>
      <c r="L51" s="10" t="n"/>
      <c r="M51" s="20">
        <f>IFERROR(IF(AND(K51&lt;&gt;"",L51&lt;&gt;""),AVERAGE(K51,L51),""),"")</f>
        <v/>
      </c>
      <c r="N51" s="10" t="n"/>
      <c r="O51" s="20">
        <f>IFERROR(IF(AND(J51&lt;&gt;"",N51&lt;&gt;""),J51-N51,""),"")</f>
        <v/>
      </c>
      <c r="P51" s="21">
        <f>IFERROR(IF(Q51&lt;&gt;"",ROUND(G51-Q51,2),""),"")</f>
        <v/>
      </c>
      <c r="Q51" s="22">
        <f>IFERROR(IF(AND(D51&lt;&gt;"",G51&lt;&gt;"",J51&lt;&gt;"",M51&lt;&gt;"",N51&lt;&gt;"",O51&lt;&gt;""),IF(D51="P",-9.236+0.0002708*(O51*N51)-0.001663*(G51*O51)+0.007216*(G51*N51)+0.02292*(M51/J51*100),-9.376+0.0001882*(O51*N51)+0.0022*(G51*O51)+0.005841*(G51*N51)-0.002658*(G51*M51)+0.07693*(M51/J51*100)),""),"")</f>
        <v/>
      </c>
      <c r="R51" s="23">
        <f>IFERROR(IF(Q51&lt;&gt;"",IF(Q51&lt;-1,"Pre-PHV (&gt;1v ennen)",IF(Q51&lt;-0.5,"Lahestyy PHV (0.5-1v)",IF(Q51&lt;=0.5,"PHV-huippu (+-0.5v)",IF(Q51&lt;=1,"Post-PHV (0.5-1v jalk.)","Jalki-PHV (&gt;1v jalk.)")))),""),"")</f>
        <v/>
      </c>
      <c r="S51" s="24">
        <f>IFERROR(IF(AND(P51&lt;&gt;"",E51&lt;&gt;"",D51&lt;&gt;""),IF(D51="P",IF(P51&gt;=VLOOKUP(MONTH(E51),'Yli-ikaisyys'!$A$5:$B$16,2,FALSE),"KYLLA - poikkeuslupa mahdollinen","EI tayta ehtoja"),IF(P51&gt;=VLOOKUP(MONTH(E51),'Yli-ikaisyys'!$A$5:$C$16,3,FALSE),"KYLLA - poikkeuslupa mahdollinen","EI tayta ehtoja")),""),"")</f>
        <v/>
      </c>
      <c r="T51" s="10" t="n"/>
    </row>
    <row r="52">
      <c r="A52" s="17" t="n">
        <v>47</v>
      </c>
      <c r="B52" s="10" t="n"/>
      <c r="C52" s="10" t="n"/>
      <c r="D52" s="10" t="n"/>
      <c r="E52" s="18" t="n"/>
      <c r="F52" s="18" t="n"/>
      <c r="G52" s="19">
        <f>IFERROR(IF(AND(F52&lt;&gt;"",E52&lt;&gt;""),ROUND((F52-E52)/365.25,3),""),"")</f>
        <v/>
      </c>
      <c r="H52" s="10" t="n"/>
      <c r="I52" s="10" t="n"/>
      <c r="J52" s="20">
        <f>IFERROR(IF(AND(H52&lt;&gt;"",I52&lt;&gt;""),AVERAGE(H52,I52),""),"")</f>
        <v/>
      </c>
      <c r="K52" s="10" t="n"/>
      <c r="L52" s="10" t="n"/>
      <c r="M52" s="20">
        <f>IFERROR(IF(AND(K52&lt;&gt;"",L52&lt;&gt;""),AVERAGE(K52,L52),""),"")</f>
        <v/>
      </c>
      <c r="N52" s="10" t="n"/>
      <c r="O52" s="20">
        <f>IFERROR(IF(AND(J52&lt;&gt;"",N52&lt;&gt;""),J52-N52,""),"")</f>
        <v/>
      </c>
      <c r="P52" s="21">
        <f>IFERROR(IF(Q52&lt;&gt;"",ROUND(G52-Q52,2),""),"")</f>
        <v/>
      </c>
      <c r="Q52" s="22">
        <f>IFERROR(IF(AND(D52&lt;&gt;"",G52&lt;&gt;"",J52&lt;&gt;"",M52&lt;&gt;"",N52&lt;&gt;"",O52&lt;&gt;""),IF(D52="P",-9.236+0.0002708*(O52*N52)-0.001663*(G52*O52)+0.007216*(G52*N52)+0.02292*(M52/J52*100),-9.376+0.0001882*(O52*N52)+0.0022*(G52*O52)+0.005841*(G52*N52)-0.002658*(G52*M52)+0.07693*(M52/J52*100)),""),"")</f>
        <v/>
      </c>
      <c r="R52" s="23">
        <f>IFERROR(IF(Q52&lt;&gt;"",IF(Q52&lt;-1,"Pre-PHV (&gt;1v ennen)",IF(Q52&lt;-0.5,"Lahestyy PHV (0.5-1v)",IF(Q52&lt;=0.5,"PHV-huippu (+-0.5v)",IF(Q52&lt;=1,"Post-PHV (0.5-1v jalk.)","Jalki-PHV (&gt;1v jalk.)")))),""),"")</f>
        <v/>
      </c>
      <c r="S52" s="24">
        <f>IFERROR(IF(AND(P52&lt;&gt;"",E52&lt;&gt;"",D52&lt;&gt;""),IF(D52="P",IF(P52&gt;=VLOOKUP(MONTH(E52),'Yli-ikaisyys'!$A$5:$B$16,2,FALSE),"KYLLA - poikkeuslupa mahdollinen","EI tayta ehtoja"),IF(P52&gt;=VLOOKUP(MONTH(E52),'Yli-ikaisyys'!$A$5:$C$16,3,FALSE),"KYLLA - poikkeuslupa mahdollinen","EI tayta ehtoja")),""),"")</f>
        <v/>
      </c>
      <c r="T52" s="10" t="n"/>
    </row>
    <row r="53">
      <c r="A53" s="25" t="n">
        <v>48</v>
      </c>
      <c r="B53" s="10" t="n"/>
      <c r="C53" s="10" t="n"/>
      <c r="D53" s="10" t="n"/>
      <c r="E53" s="18" t="n"/>
      <c r="F53" s="18" t="n"/>
      <c r="G53" s="19">
        <f>IFERROR(IF(AND(F53&lt;&gt;"",E53&lt;&gt;""),ROUND((F53-E53)/365.25,3),""),"")</f>
        <v/>
      </c>
      <c r="H53" s="10" t="n"/>
      <c r="I53" s="10" t="n"/>
      <c r="J53" s="20">
        <f>IFERROR(IF(AND(H53&lt;&gt;"",I53&lt;&gt;""),AVERAGE(H53,I53),""),"")</f>
        <v/>
      </c>
      <c r="K53" s="10" t="n"/>
      <c r="L53" s="10" t="n"/>
      <c r="M53" s="20">
        <f>IFERROR(IF(AND(K53&lt;&gt;"",L53&lt;&gt;""),AVERAGE(K53,L53),""),"")</f>
        <v/>
      </c>
      <c r="N53" s="10" t="n"/>
      <c r="O53" s="20">
        <f>IFERROR(IF(AND(J53&lt;&gt;"",N53&lt;&gt;""),J53-N53,""),"")</f>
        <v/>
      </c>
      <c r="P53" s="21">
        <f>IFERROR(IF(Q53&lt;&gt;"",ROUND(G53-Q53,2),""),"")</f>
        <v/>
      </c>
      <c r="Q53" s="22">
        <f>IFERROR(IF(AND(D53&lt;&gt;"",G53&lt;&gt;"",J53&lt;&gt;"",M53&lt;&gt;"",N53&lt;&gt;"",O53&lt;&gt;""),IF(D53="P",-9.236+0.0002708*(O53*N53)-0.001663*(G53*O53)+0.007216*(G53*N53)+0.02292*(M53/J53*100),-9.376+0.0001882*(O53*N53)+0.0022*(G53*O53)+0.005841*(G53*N53)-0.002658*(G53*M53)+0.07693*(M53/J53*100)),""),"")</f>
        <v/>
      </c>
      <c r="R53" s="23">
        <f>IFERROR(IF(Q53&lt;&gt;"",IF(Q53&lt;-1,"Pre-PHV (&gt;1v ennen)",IF(Q53&lt;-0.5,"Lahestyy PHV (0.5-1v)",IF(Q53&lt;=0.5,"PHV-huippu (+-0.5v)",IF(Q53&lt;=1,"Post-PHV (0.5-1v jalk.)","Jalki-PHV (&gt;1v jalk.)")))),""),"")</f>
        <v/>
      </c>
      <c r="S53" s="24">
        <f>IFERROR(IF(AND(P53&lt;&gt;"",E53&lt;&gt;"",D53&lt;&gt;""),IF(D53="P",IF(P53&gt;=VLOOKUP(MONTH(E53),'Yli-ikaisyys'!$A$5:$B$16,2,FALSE),"KYLLA - poikkeuslupa mahdollinen","EI tayta ehtoja"),IF(P53&gt;=VLOOKUP(MONTH(E53),'Yli-ikaisyys'!$A$5:$C$16,3,FALSE),"KYLLA - poikkeuslupa mahdollinen","EI tayta ehtoja")),""),"")</f>
        <v/>
      </c>
      <c r="T53" s="10" t="n"/>
    </row>
    <row r="54">
      <c r="A54" s="17" t="n">
        <v>49</v>
      </c>
      <c r="B54" s="10" t="n"/>
      <c r="C54" s="10" t="n"/>
      <c r="D54" s="10" t="n"/>
      <c r="E54" s="18" t="n"/>
      <c r="F54" s="18" t="n"/>
      <c r="G54" s="19">
        <f>IFERROR(IF(AND(F54&lt;&gt;"",E54&lt;&gt;""),ROUND((F54-E54)/365.25,3),""),"")</f>
        <v/>
      </c>
      <c r="H54" s="10" t="n"/>
      <c r="I54" s="10" t="n"/>
      <c r="J54" s="20">
        <f>IFERROR(IF(AND(H54&lt;&gt;"",I54&lt;&gt;""),AVERAGE(H54,I54),""),"")</f>
        <v/>
      </c>
      <c r="K54" s="10" t="n"/>
      <c r="L54" s="10" t="n"/>
      <c r="M54" s="20">
        <f>IFERROR(IF(AND(K54&lt;&gt;"",L54&lt;&gt;""),AVERAGE(K54,L54),""),"")</f>
        <v/>
      </c>
      <c r="N54" s="10" t="n"/>
      <c r="O54" s="20">
        <f>IFERROR(IF(AND(J54&lt;&gt;"",N54&lt;&gt;""),J54-N54,""),"")</f>
        <v/>
      </c>
      <c r="P54" s="21">
        <f>IFERROR(IF(Q54&lt;&gt;"",ROUND(G54-Q54,2),""),"")</f>
        <v/>
      </c>
      <c r="Q54" s="22">
        <f>IFERROR(IF(AND(D54&lt;&gt;"",G54&lt;&gt;"",J54&lt;&gt;"",M54&lt;&gt;"",N54&lt;&gt;"",O54&lt;&gt;""),IF(D54="P",-9.236+0.0002708*(O54*N54)-0.001663*(G54*O54)+0.007216*(G54*N54)+0.02292*(M54/J54*100),-9.376+0.0001882*(O54*N54)+0.0022*(G54*O54)+0.005841*(G54*N54)-0.002658*(G54*M54)+0.07693*(M54/J54*100)),""),"")</f>
        <v/>
      </c>
      <c r="R54" s="23">
        <f>IFERROR(IF(Q54&lt;&gt;"",IF(Q54&lt;-1,"Pre-PHV (&gt;1v ennen)",IF(Q54&lt;-0.5,"Lahestyy PHV (0.5-1v)",IF(Q54&lt;=0.5,"PHV-huippu (+-0.5v)",IF(Q54&lt;=1,"Post-PHV (0.5-1v jalk.)","Jalki-PHV (&gt;1v jalk.)")))),""),"")</f>
        <v/>
      </c>
      <c r="S54" s="24">
        <f>IFERROR(IF(AND(P54&lt;&gt;"",E54&lt;&gt;"",D54&lt;&gt;""),IF(D54="P",IF(P54&gt;=VLOOKUP(MONTH(E54),'Yli-ikaisyys'!$A$5:$B$16,2,FALSE),"KYLLA - poikkeuslupa mahdollinen","EI tayta ehtoja"),IF(P54&gt;=VLOOKUP(MONTH(E54),'Yli-ikaisyys'!$A$5:$C$16,3,FALSE),"KYLLA - poikkeuslupa mahdollinen","EI tayta ehtoja")),""),"")</f>
        <v/>
      </c>
      <c r="T54" s="10" t="n"/>
    </row>
    <row r="55">
      <c r="A55" s="25" t="n">
        <v>50</v>
      </c>
      <c r="B55" s="10" t="n"/>
      <c r="C55" s="10" t="n"/>
      <c r="D55" s="10" t="n"/>
      <c r="E55" s="18" t="n"/>
      <c r="F55" s="18" t="n"/>
      <c r="G55" s="19">
        <f>IFERROR(IF(AND(F55&lt;&gt;"",E55&lt;&gt;""),ROUND((F55-E55)/365.25,3),""),"")</f>
        <v/>
      </c>
      <c r="H55" s="10" t="n"/>
      <c r="I55" s="10" t="n"/>
      <c r="J55" s="20">
        <f>IFERROR(IF(AND(H55&lt;&gt;"",I55&lt;&gt;""),AVERAGE(H55,I55),""),"")</f>
        <v/>
      </c>
      <c r="K55" s="10" t="n"/>
      <c r="L55" s="10" t="n"/>
      <c r="M55" s="20">
        <f>IFERROR(IF(AND(K55&lt;&gt;"",L55&lt;&gt;""),AVERAGE(K55,L55),""),"")</f>
        <v/>
      </c>
      <c r="N55" s="10" t="n"/>
      <c r="O55" s="20">
        <f>IFERROR(IF(AND(J55&lt;&gt;"",N55&lt;&gt;""),J55-N55,""),"")</f>
        <v/>
      </c>
      <c r="P55" s="21">
        <f>IFERROR(IF(Q55&lt;&gt;"",ROUND(G55-Q55,2),""),"")</f>
        <v/>
      </c>
      <c r="Q55" s="22">
        <f>IFERROR(IF(AND(D55&lt;&gt;"",G55&lt;&gt;"",J55&lt;&gt;"",M55&lt;&gt;"",N55&lt;&gt;"",O55&lt;&gt;""),IF(D55="P",-9.236+0.0002708*(O55*N55)-0.001663*(G55*O55)+0.007216*(G55*N55)+0.02292*(M55/J55*100),-9.376+0.0001882*(O55*N55)+0.0022*(G55*O55)+0.005841*(G55*N55)-0.002658*(G55*M55)+0.07693*(M55/J55*100)),""),"")</f>
        <v/>
      </c>
      <c r="R55" s="23">
        <f>IFERROR(IF(Q55&lt;&gt;"",IF(Q55&lt;-1,"Pre-PHV (&gt;1v ennen)",IF(Q55&lt;-0.5,"Lahestyy PHV (0.5-1v)",IF(Q55&lt;=0.5,"PHV-huippu (+-0.5v)",IF(Q55&lt;=1,"Post-PHV (0.5-1v jalk.)","Jalki-PHV (&gt;1v jalk.)")))),""),"")</f>
        <v/>
      </c>
      <c r="S55" s="24">
        <f>IFERROR(IF(AND(P55&lt;&gt;"",E55&lt;&gt;"",D55&lt;&gt;""),IF(D55="P",IF(P55&gt;=VLOOKUP(MONTH(E55),'Yli-ikaisyys'!$A$5:$B$16,2,FALSE),"KYLLA - poikkeuslupa mahdollinen","EI tayta ehtoja"),IF(P55&gt;=VLOOKUP(MONTH(E55),'Yli-ikaisyys'!$A$5:$C$16,3,FALSE),"KYLLA - poikkeuslupa mahdollinen","EI tayta ehtoja")),""),"")</f>
        <v/>
      </c>
      <c r="T55" s="10" t="n"/>
    </row>
  </sheetData>
  <mergeCells count="5">
    <mergeCell ref="A1:T1"/>
    <mergeCell ref="H4:N4"/>
    <mergeCell ref="A2:T2"/>
    <mergeCell ref="A4:F4"/>
    <mergeCell ref="O4:S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B7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26" t="inlineStr">
        <is>
          <t>Yli-ikaisyyssaannon kynnysarvot — Suomen Palloliitto  |  APHV - 0.75 vuotta</t>
        </is>
      </c>
    </row>
    <row r="2" ht="28" customHeight="1">
      <c r="A2" s="27" t="inlineStr">
        <is>
          <t>Jos PHV-ika (Mirwald) &gt;= kynnys → poikkeuslupa mahdollinen. VP hakee Palloliitolta lupaa pelata nuoremmassa ikäluokassa.</t>
        </is>
      </c>
    </row>
    <row r="4" ht="22" customHeight="1">
      <c r="A4" s="28" t="inlineStr">
        <is>
          <t>Kk (nro)</t>
        </is>
      </c>
      <c r="B4" s="28" t="inlineStr">
        <is>
          <t>POJAT kynnys</t>
        </is>
      </c>
      <c r="C4" s="28" t="inlineStr">
        <is>
          <t>TYTO kynnys</t>
        </is>
      </c>
      <c r="D4" s="28" t="inlineStr">
        <is>
          <t>Kuukausi</t>
        </is>
      </c>
    </row>
    <row r="5" ht="18" customHeight="1">
      <c r="A5" s="25" t="n">
        <v>1</v>
      </c>
      <c r="B5" s="21" t="n">
        <v>14.9667</v>
      </c>
      <c r="C5" s="29" t="n">
        <v>13.0667</v>
      </c>
      <c r="D5" s="30" t="inlineStr">
        <is>
          <t>Tammikuu</t>
        </is>
      </c>
    </row>
    <row r="6" ht="18" customHeight="1">
      <c r="A6" s="17" t="n">
        <v>2</v>
      </c>
      <c r="B6" s="21" t="n">
        <v>14.8833</v>
      </c>
      <c r="C6" s="29" t="n">
        <v>12.9833</v>
      </c>
      <c r="D6" s="31" t="inlineStr">
        <is>
          <t>Helmikuu</t>
        </is>
      </c>
    </row>
    <row r="7" ht="18" customHeight="1">
      <c r="A7" s="25" t="n">
        <v>3</v>
      </c>
      <c r="B7" s="21" t="n">
        <v>14.8</v>
      </c>
      <c r="C7" s="29" t="n">
        <v>12.9</v>
      </c>
      <c r="D7" s="30" t="inlineStr">
        <is>
          <t>Maaliskuu</t>
        </is>
      </c>
    </row>
    <row r="8" ht="18" customHeight="1">
      <c r="A8" s="17" t="n">
        <v>4</v>
      </c>
      <c r="B8" s="21" t="n">
        <v>14.7167</v>
      </c>
      <c r="C8" s="29" t="n">
        <v>12.8167</v>
      </c>
      <c r="D8" s="31" t="inlineStr">
        <is>
          <t>Huhtikuu</t>
        </is>
      </c>
    </row>
    <row r="9" ht="18" customHeight="1">
      <c r="A9" s="25" t="n">
        <v>5</v>
      </c>
      <c r="B9" s="21" t="n">
        <v>14.6333</v>
      </c>
      <c r="C9" s="29" t="n">
        <v>12.7333</v>
      </c>
      <c r="D9" s="30" t="inlineStr">
        <is>
          <t>Toukokuu</t>
        </is>
      </c>
    </row>
    <row r="10" ht="18" customHeight="1">
      <c r="A10" s="17" t="n">
        <v>6</v>
      </c>
      <c r="B10" s="21" t="n">
        <v>14.55</v>
      </c>
      <c r="C10" s="29" t="n">
        <v>12.65</v>
      </c>
      <c r="D10" s="31" t="inlineStr">
        <is>
          <t>Kesäkuu</t>
        </is>
      </c>
    </row>
    <row r="11" ht="18" customHeight="1">
      <c r="A11" s="25" t="n">
        <v>7</v>
      </c>
      <c r="B11" s="21" t="n">
        <v>14.4667</v>
      </c>
      <c r="C11" s="29" t="n">
        <v>12.5667</v>
      </c>
      <c r="D11" s="30" t="inlineStr">
        <is>
          <t>Heinäkuu</t>
        </is>
      </c>
    </row>
    <row r="12" ht="18" customHeight="1">
      <c r="A12" s="17" t="n">
        <v>8</v>
      </c>
      <c r="B12" s="21" t="n">
        <v>14.3833</v>
      </c>
      <c r="C12" s="29" t="n">
        <v>12.4833</v>
      </c>
      <c r="D12" s="31" t="inlineStr">
        <is>
          <t>Elokuu</t>
        </is>
      </c>
    </row>
    <row r="13" ht="18" customHeight="1">
      <c r="A13" s="25" t="n">
        <v>9</v>
      </c>
      <c r="B13" s="21" t="n">
        <v>14.3</v>
      </c>
      <c r="C13" s="29" t="n">
        <v>12.4</v>
      </c>
      <c r="D13" s="30" t="inlineStr">
        <is>
          <t>Syyskuu</t>
        </is>
      </c>
    </row>
    <row r="14" ht="18" customHeight="1">
      <c r="A14" s="17" t="n">
        <v>10</v>
      </c>
      <c r="B14" s="21" t="n">
        <v>14.2167</v>
      </c>
      <c r="C14" s="29" t="n">
        <v>12.3167</v>
      </c>
      <c r="D14" s="31" t="inlineStr">
        <is>
          <t>Lokakuu</t>
        </is>
      </c>
    </row>
    <row r="15" ht="18" customHeight="1">
      <c r="A15" s="25" t="n">
        <v>11</v>
      </c>
      <c r="B15" s="21" t="n">
        <v>14.1333</v>
      </c>
      <c r="C15" s="29" t="n">
        <v>12.2333</v>
      </c>
      <c r="D15" s="30" t="inlineStr">
        <is>
          <t>Marraskuu</t>
        </is>
      </c>
    </row>
    <row r="16" ht="18" customHeight="1">
      <c r="A16" s="17" t="n">
        <v>12</v>
      </c>
      <c r="B16" s="21" t="n">
        <v>14.05</v>
      </c>
      <c r="C16" s="29" t="n">
        <v>12.15</v>
      </c>
      <c r="D16" s="31" t="inlineStr">
        <is>
          <t>Joulukuu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4" customHeight="1">
      <c r="A1" s="32" t="inlineStr">
        <is>
          <t>Mirwald 2002 -kaavat — lahde ja selitykset</t>
        </is>
      </c>
    </row>
    <row r="3" ht="20" customHeight="1">
      <c r="A3" s="3" t="inlineStr">
        <is>
          <t>LAHDE</t>
        </is>
      </c>
    </row>
    <row r="4" ht="36" customHeight="1">
      <c r="A4" s="33" t="inlineStr">
        <is>
          <t>Mirwald RL, Baxter-Jones AD, Bailey DA, Beunen G. (2002). An assessment of maturity from anthropometric measurements. Medicine &amp; Science in Sports &amp; Exercise, 34(4), 689-694.</t>
        </is>
      </c>
    </row>
    <row r="5" ht="20" customHeight="1">
      <c r="A5" s="3" t="inlineStr">
        <is>
          <t>POIKIEN KAAVA</t>
        </is>
      </c>
    </row>
    <row r="6" ht="36" customHeight="1">
      <c r="A6" s="33" t="inlineStr">
        <is>
          <t>Maturity offset = -9.236 + 0.0002708*(jalka*istuma) - 0.001663*(ika*jalka) + 0.007216*(ika*istuma) + 0.02292*(paino/pituus*100)</t>
        </is>
      </c>
    </row>
    <row r="7" ht="20" customHeight="1">
      <c r="A7" s="3" t="inlineStr">
        <is>
          <t>TYTTOJEN KAAVA</t>
        </is>
      </c>
    </row>
    <row r="8" ht="36" customHeight="1">
      <c r="A8" s="33" t="inlineStr">
        <is>
          <t>Maturity offset = -9.376 + 0.0001882*(jalka*istuma) + 0.0022*(ika*jalka) + 0.005841*(ika*istuma) - 0.002658*(ika*paino) + 0.07693*(paino/pituus*100)</t>
        </is>
      </c>
    </row>
    <row r="9" ht="20" customHeight="1">
      <c r="A9" s="3" t="inlineStr">
        <is>
          <t>PHV-IKA</t>
        </is>
      </c>
    </row>
    <row r="10" ht="36" customHeight="1">
      <c r="A10" s="33" t="inlineStr">
        <is>
          <t>PHV-ika = Kronologinen ika - Maturity offset  |  Maturity offset &lt; 0 = ennen PHV:ta  |  offset &gt; 0 = PHV ohitettu</t>
        </is>
      </c>
    </row>
    <row r="11" ht="20" customHeight="1">
      <c r="A11" s="3" t="inlineStr">
        <is>
          <t>YLI-IKAISYYS</t>
        </is>
      </c>
    </row>
    <row r="12" ht="36" customHeight="1">
      <c r="A12" s="33" t="inlineStr">
        <is>
          <t>Kynnys = APHV - 0.75 vuotta (kuukausittain). Jos PHV-ika &gt;= kynnys → poikkeuslupa mahdollinen. Lahde: Suomen Palloliitto.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2026-03-27T15:14:37Z</dcterms:created>
  <dcterms:modified xmlns:dcterms="http://purl.org/dc/terms/" xmlns:xsi="http://www.w3.org/2001/XMLSchema-instance" xsi:type="dcterms:W3CDTF">2026-03-27T15:14:37Z</dcterms:modified>
</cp:coreProperties>
</file>