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_viitearvot" sheetId="1" state="hidden" r:id="rId1"/>
    <sheet xmlns:r="http://schemas.openxmlformats.org/officeDocument/2006/relationships" name="H-H Testit" sheetId="2" state="visible" r:id="rId2"/>
    <sheet xmlns:r="http://schemas.openxmlformats.org/officeDocument/2006/relationships" name="📋 Ohjeet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\+0;\-0;0"/>
    <numFmt numFmtId="166" formatCode="DD.MM.YYYY"/>
  </numFmts>
  <fonts count="3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5A6A82"/>
      <sz val="9"/>
    </font>
    <font>
      <name val="Arial"/>
      <charset val="1"/>
      <family val="0"/>
      <b val="1"/>
      <color rgb="FF00D4AA"/>
      <sz val="9"/>
    </font>
    <font>
      <name val="Arial"/>
      <charset val="1"/>
      <family val="0"/>
      <b val="1"/>
      <color rgb="FF4B9EFF"/>
      <sz val="9"/>
    </font>
    <font>
      <name val="Arial"/>
      <charset val="1"/>
      <family val="0"/>
      <b val="1"/>
      <color rgb="FF34D399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7D6608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E2A3D"/>
      <sz val="11"/>
    </font>
    <font>
      <name val="Arial"/>
      <b val="1"/>
      <color rgb="00FFFFFF"/>
      <sz val="9"/>
    </font>
    <font>
      <name val="Arial"/>
      <color rgb="006B7280"/>
      <sz val="8"/>
    </font>
    <font>
      <name val="Arial"/>
      <color rgb="004ADE80"/>
      <sz val="9"/>
    </font>
    <font>
      <name val="Arial"/>
      <b val="1"/>
      <color rgb="0028B090"/>
      <sz val="9"/>
    </font>
    <font>
      <name val="Arial"/>
      <color rgb="00F0A500"/>
      <sz val="9"/>
    </font>
    <font>
      <name val="Arial"/>
      <color rgb="00FFFFFF"/>
      <sz val="9"/>
    </font>
    <font>
      <name val="Calibri"/>
      <b val="1"/>
      <color rgb="007EC8E3"/>
      <sz val="10"/>
    </font>
    <font>
      <name val="Calibri"/>
      <color rgb="004A6B80"/>
      <sz val="8"/>
    </font>
    <font>
      <name val="Calibri"/>
      <color rgb="003D5C70"/>
      <sz val="8"/>
    </font>
    <font>
      <name val="Calibri"/>
      <b val="1"/>
      <color rgb="00A8D4F0"/>
      <sz val="9"/>
    </font>
    <font>
      <name val="Calibri"/>
      <b val="1"/>
      <color rgb="005DECA0"/>
      <sz val="9"/>
    </font>
    <font>
      <name val="Calibri"/>
      <b val="1"/>
      <color rgb="0000FFD4"/>
      <sz val="9"/>
    </font>
    <font>
      <name val="Calibri"/>
      <b val="1"/>
      <color rgb="00FFB830"/>
      <sz val="9"/>
    </font>
    <font>
      <name val="Calibri"/>
      <b val="1"/>
      <color rgb="00C084FC"/>
      <sz val="9"/>
    </font>
    <font>
      <name val="Calibri"/>
      <b val="1"/>
      <color rgb="00E0AAFF"/>
      <sz val="9"/>
    </font>
    <font>
      <name val="Calibri"/>
      <color rgb="007EC8E3"/>
      <sz val="9"/>
    </font>
    <font>
      <name val="Calibri"/>
      <color rgb="00C8DFF0"/>
      <sz val="9"/>
    </font>
    <font>
      <name val="Calibri"/>
      <color rgb="007FFFC4"/>
      <sz val="9"/>
    </font>
    <font>
      <name val="Calibri"/>
      <color rgb="00C084FC"/>
      <sz val="9"/>
    </font>
  </fonts>
  <fills count="37">
    <fill>
      <patternFill/>
    </fill>
    <fill>
      <patternFill patternType="gray125"/>
    </fill>
    <fill>
      <patternFill patternType="solid">
        <fgColor rgb="FF0B0F17"/>
        <bgColor rgb="FF000000"/>
      </patternFill>
    </fill>
    <fill>
      <patternFill patternType="solid">
        <fgColor rgb="FFF8FAFC"/>
        <bgColor rgb="FFFFFFFF"/>
      </patternFill>
    </fill>
    <fill>
      <patternFill patternType="solid">
        <fgColor rgb="FF1E2A3D"/>
        <bgColor rgb="FF003366"/>
      </patternFill>
    </fill>
    <fill>
      <patternFill patternType="solid">
        <fgColor rgb="FFEBF5FF"/>
        <bgColor rgb="FFE8F4FD"/>
      </patternFill>
    </fill>
    <fill>
      <patternFill patternType="solid">
        <fgColor rgb="FFFFFFFF"/>
        <bgColor rgb="FFF8FAFC"/>
      </patternFill>
    </fill>
    <fill>
      <patternFill patternType="solid">
        <fgColor rgb="FFF0FFF4"/>
        <bgColor rgb="FFEDF9E8"/>
      </patternFill>
    </fill>
    <fill>
      <patternFill patternType="solid">
        <fgColor rgb="FFFFF9E6"/>
        <bgColor rgb="FFF8FAFC"/>
      </patternFill>
    </fill>
    <fill>
      <patternFill patternType="solid">
        <fgColor rgb="FFE8F4FD"/>
        <bgColor rgb="FFEBF5FF"/>
      </patternFill>
    </fill>
    <fill>
      <patternFill patternType="solid">
        <fgColor rgb="FFEDF9E8"/>
        <bgColor rgb="FFF0FFF4"/>
      </patternFill>
    </fill>
    <fill>
      <patternFill patternType="solid">
        <fgColor rgb="FFFFF0C0"/>
        <bgColor rgb="FFFFF9E6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001E2A3D"/>
      </patternFill>
    </fill>
    <fill>
      <patternFill patternType="solid">
        <fgColor rgb="001A3A6B"/>
      </patternFill>
    </fill>
    <fill>
      <patternFill patternType="solid">
        <fgColor rgb="000D3320"/>
      </patternFill>
    </fill>
    <fill>
      <patternFill patternType="solid">
        <fgColor rgb="000D2E2A"/>
      </patternFill>
    </fill>
    <fill>
      <patternFill patternType="solid">
        <fgColor rgb="003D2E00"/>
      </patternFill>
    </fill>
    <fill>
      <patternFill patternType="solid">
        <fgColor rgb="00061422"/>
      </patternFill>
    </fill>
    <fill>
      <patternFill patternType="solid">
        <fgColor rgb="00071828"/>
      </patternFill>
    </fill>
    <fill>
      <patternFill patternType="solid">
        <fgColor rgb="00143659"/>
      </patternFill>
    </fill>
    <fill>
      <patternFill patternType="solid">
        <fgColor rgb="000B3D1C"/>
      </patternFill>
    </fill>
    <fill>
      <patternFill patternType="solid">
        <fgColor rgb="00073D30"/>
      </patternFill>
    </fill>
    <fill>
      <patternFill patternType="solid">
        <fgColor rgb="003D2600"/>
      </patternFill>
    </fill>
    <fill>
      <patternFill patternType="solid">
        <fgColor rgb="002A0D45"/>
      </patternFill>
    </fill>
    <fill>
      <patternFill patternType="solid">
        <fgColor rgb="000F2235"/>
      </patternFill>
    </fill>
    <fill>
      <patternFill patternType="solid">
        <fgColor rgb="000A1828"/>
      </patternFill>
    </fill>
    <fill>
      <patternFill patternType="solid">
        <fgColor rgb="00061510"/>
      </patternFill>
    </fill>
    <fill>
      <patternFill patternType="solid">
        <fgColor rgb="00051E18"/>
      </patternFill>
    </fill>
    <fill>
      <patternFill patternType="solid">
        <fgColor rgb="001A1000"/>
      </patternFill>
    </fill>
    <fill>
      <patternFill patternType="solid">
        <fgColor rgb="00120820"/>
      </patternFill>
    </fill>
    <fill>
      <patternFill patternType="solid">
        <fgColor rgb="000D1E30"/>
      </patternFill>
    </fill>
    <fill>
      <patternFill patternType="solid">
        <fgColor rgb="00071C10"/>
      </patternFill>
    </fill>
    <fill>
      <patternFill patternType="solid">
        <fgColor rgb="00062820"/>
      </patternFill>
    </fill>
    <fill>
      <patternFill patternType="solid">
        <fgColor rgb="00221500"/>
      </patternFill>
    </fill>
    <fill>
      <patternFill patternType="solid">
        <fgColor rgb="00180A28"/>
      </patternFill>
    </fill>
  </fills>
  <borders count="19">
    <border>
      <left/>
      <right/>
      <top/>
      <bottom/>
      <diagonal/>
    </border>
    <border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  <border>
      <left style="thin">
        <color rgb="002A3A50"/>
      </left>
      <right style="thin">
        <color rgb="002A3A50"/>
      </right>
      <top style="thin">
        <color rgb="002A3A50"/>
      </top>
      <bottom style="thin">
        <color rgb="002A3A50"/>
      </bottom>
    </border>
    <border>
      <left/>
      <right/>
      <top style="thin">
        <color rgb="002A3A50"/>
      </top>
      <bottom/>
      <diagonal/>
    </border>
    <border>
      <left/>
      <right style="thin">
        <color rgb="002A3A50"/>
      </right>
      <top style="thin">
        <color rgb="002A3A50"/>
      </top>
      <bottom/>
      <diagonal/>
    </border>
    <border>
      <left/>
      <right/>
      <top style="thin">
        <color rgb="002A3A50"/>
      </top>
      <bottom style="thin">
        <color rgb="002A3A50"/>
      </bottom>
      <diagonal/>
    </border>
    <border>
      <left/>
      <right style="thin">
        <color rgb="002A3A50"/>
      </right>
      <top style="thin">
        <color rgb="002A3A50"/>
      </top>
      <bottom style="thin">
        <color rgb="002A3A50"/>
      </bottom>
      <diagonal/>
    </border>
    <border>
      <left style="thin">
        <color rgb="000D2B3E"/>
      </left>
      <right style="thin">
        <color rgb="000D2B3E"/>
      </right>
      <top style="thin">
        <color rgb="000D2B3E"/>
      </top>
      <bottom style="thin">
        <color rgb="000D2B3E"/>
      </bottom>
    </border>
    <border>
      <left style="thin">
        <color rgb="001E4A6B"/>
      </left>
      <right style="thin">
        <color rgb="001E4A6B"/>
      </right>
      <top style="thin">
        <color rgb="001E4A6B"/>
      </top>
      <bottom style="thin">
        <color rgb="001E4A6B"/>
      </bottom>
    </border>
    <border>
      <left style="thin">
        <color rgb="001A6B3A"/>
      </left>
      <right style="thin">
        <color rgb="001A6B3A"/>
      </right>
      <top style="thin">
        <color rgb="001A6B3A"/>
      </top>
      <bottom style="thin">
        <color rgb="001A6B3A"/>
      </bottom>
    </border>
    <border>
      <left style="thin">
        <color rgb="000A7A5A"/>
      </left>
      <right style="thin">
        <color rgb="000A7A5A"/>
      </right>
      <top style="thin">
        <color rgb="000A7A5A"/>
      </top>
      <bottom style="thin">
        <color rgb="000A7A5A"/>
      </bottom>
    </border>
    <border>
      <left style="thin">
        <color rgb="007A5200"/>
      </left>
      <right style="thin">
        <color rgb="007A5200"/>
      </right>
      <top style="thin">
        <color rgb="007A5200"/>
      </top>
      <bottom style="thin">
        <color rgb="007A5200"/>
      </bottom>
    </border>
    <border>
      <left style="thin">
        <color rgb="005A1E8A"/>
      </left>
      <right style="thin">
        <color rgb="005A1E8A"/>
      </right>
      <top style="thin">
        <color rgb="005A1E8A"/>
      </top>
      <bottom style="thin">
        <color rgb="005A1E8A"/>
      </bottom>
    </border>
    <border>
      <left style="thin">
        <color rgb="001E3A52"/>
      </left>
      <right style="thin">
        <color rgb="001E3A52"/>
      </right>
      <top style="thin">
        <color rgb="001E3A52"/>
      </top>
      <bottom style="thin">
        <color rgb="001E3A52"/>
      </bottom>
    </border>
    <border>
      <left style="thin">
        <color rgb="00162E42"/>
      </left>
      <right style="thin">
        <color rgb="00162E42"/>
      </right>
      <top style="thin">
        <color rgb="00162E42"/>
      </top>
      <bottom style="thin">
        <color rgb="00162E42"/>
      </bottom>
    </border>
    <border>
      <left style="thin">
        <color rgb="001A6B3A"/>
      </left>
      <right style="thin">
        <color rgb="001A6B3A"/>
      </right>
      <top style="thin">
        <color rgb="000F3D20"/>
      </top>
      <bottom style="thin">
        <color rgb="000F3D20"/>
      </bottom>
    </border>
    <border>
      <left style="medium">
        <color rgb="000A7A5A"/>
      </left>
      <right style="medium">
        <color rgb="000A7A5A"/>
      </right>
      <top style="thin">
        <color rgb="00073D30"/>
      </top>
      <bottom style="thin">
        <color rgb="00073D30"/>
      </bottom>
    </border>
    <border>
      <left style="medium">
        <color rgb="007A5200"/>
      </left>
      <right style="medium">
        <color rgb="007A5200"/>
      </right>
      <top style="thin">
        <color rgb="003D2600"/>
      </top>
      <bottom style="thin">
        <color rgb="003D2600"/>
      </bottom>
    </border>
    <border>
      <left style="thin">
        <color rgb="003D1870"/>
      </left>
      <right style="thin">
        <color rgb="003D1870"/>
      </right>
      <top style="thin">
        <color rgb="003D1870"/>
      </top>
      <bottom style="thin">
        <color rgb="003D187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/>
    </xf>
    <xf numFmtId="164" fontId="11" fillId="12" borderId="1" applyAlignment="1" pivotButton="0" quotePrefix="0" xfId="0">
      <alignment horizontal="center" vertical="center" wrapText="1"/>
    </xf>
    <xf numFmtId="165" fontId="4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general" vertical="bottom"/>
    </xf>
    <xf numFmtId="0" fontId="14" fillId="9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5" fillId="14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/>
    </xf>
    <xf numFmtId="0" fontId="15" fillId="15" borderId="2" applyAlignment="1" pivotButton="0" quotePrefix="0" xfId="0">
      <alignment horizontal="center" vertical="center" wrapText="1"/>
    </xf>
    <xf numFmtId="0" fontId="17" fillId="16" borderId="2" applyAlignment="1" pivotButton="0" quotePrefix="0" xfId="0">
      <alignment horizontal="center" vertical="center" wrapText="1"/>
    </xf>
    <xf numFmtId="0" fontId="18" fillId="17" borderId="2" applyAlignment="1" pivotButton="0" quotePrefix="0" xfId="0">
      <alignment horizontal="center" vertical="center" wrapText="1"/>
    </xf>
    <xf numFmtId="0" fontId="19" fillId="18" borderId="2" applyAlignment="1" pivotButton="0" quotePrefix="0" xfId="0">
      <alignment horizontal="center" vertical="center" wrapText="1"/>
    </xf>
    <xf numFmtId="0" fontId="20" fillId="14" borderId="2" applyAlignment="1" pivotButton="0" quotePrefix="0" xfId="0">
      <alignment horizontal="center" vertical="center" wrapText="1"/>
    </xf>
    <xf numFmtId="0" fontId="20" fillId="14" borderId="2" applyAlignment="1" pivotButton="0" quotePrefix="0" xfId="0">
      <alignment horizontal="left" vertical="center"/>
    </xf>
    <xf numFmtId="166" fontId="20" fillId="14" borderId="2" applyAlignment="1" pivotButton="0" quotePrefix="0" xfId="0">
      <alignment horizontal="left" vertical="center"/>
    </xf>
    <xf numFmtId="2" fontId="17" fillId="16" borderId="2" applyAlignment="1" pivotButton="0" quotePrefix="0" xfId="0">
      <alignment horizontal="center" vertical="center" wrapText="1"/>
    </xf>
    <xf numFmtId="2" fontId="18" fillId="17" borderId="2" applyAlignment="1" pivotButton="0" quotePrefix="0" xfId="0">
      <alignment horizontal="center" vertical="center" wrapText="1"/>
    </xf>
    <xf numFmtId="164" fontId="20" fillId="15" borderId="2" applyAlignment="1" pivotButton="0" quotePrefix="0" xfId="0">
      <alignment horizontal="center" vertical="center" wrapText="1"/>
    </xf>
    <xf numFmtId="0" fontId="20" fillId="15" borderId="2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general" vertical="bottom"/>
    </xf>
    <xf numFmtId="0" fontId="14" fillId="9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 wrapText="1"/>
    </xf>
    <xf numFmtId="0" fontId="21" fillId="19" borderId="7" applyAlignment="1" pivotButton="0" quotePrefix="0" xfId="0">
      <alignment horizontal="left" vertical="center"/>
    </xf>
    <xf numFmtId="0" fontId="22" fillId="19" borderId="7" applyAlignment="1" pivotButton="0" quotePrefix="0" xfId="0">
      <alignment horizontal="left" vertical="center"/>
    </xf>
    <xf numFmtId="0" fontId="23" fillId="20" borderId="7" applyAlignment="1" pivotButton="0" quotePrefix="0" xfId="0">
      <alignment horizontal="left" vertical="center"/>
    </xf>
    <xf numFmtId="0" fontId="24" fillId="21" borderId="8" applyAlignment="1" pivotButton="0" quotePrefix="0" xfId="0">
      <alignment horizontal="center" vertical="center" wrapText="1"/>
    </xf>
    <xf numFmtId="0" fontId="25" fillId="22" borderId="9" applyAlignment="1" pivotButton="0" quotePrefix="0" xfId="0">
      <alignment horizontal="center" vertical="center" wrapText="1"/>
    </xf>
    <xf numFmtId="0" fontId="26" fillId="23" borderId="10" applyAlignment="1" pivotButton="0" quotePrefix="0" xfId="0">
      <alignment horizontal="center" vertical="center" wrapText="1"/>
    </xf>
    <xf numFmtId="0" fontId="27" fillId="24" borderId="11" applyAlignment="1" pivotButton="0" quotePrefix="0" xfId="0">
      <alignment horizontal="center" vertical="center" wrapText="1"/>
    </xf>
    <xf numFmtId="0" fontId="28" fillId="25" borderId="12" applyAlignment="1" pivotButton="0" quotePrefix="0" xfId="0">
      <alignment horizontal="center" vertical="center" wrapText="1"/>
    </xf>
    <xf numFmtId="0" fontId="29" fillId="25" borderId="12" applyAlignment="1" pivotButton="0" quotePrefix="0" xfId="0">
      <alignment horizontal="center" vertical="center" wrapText="1"/>
    </xf>
    <xf numFmtId="0" fontId="30" fillId="26" borderId="13" applyAlignment="1" pivotButton="0" quotePrefix="0" xfId="0">
      <alignment horizontal="center" vertical="center" wrapText="1"/>
    </xf>
    <xf numFmtId="0" fontId="31" fillId="27" borderId="14" applyAlignment="1" pivotButton="0" quotePrefix="0" xfId="0">
      <alignment horizontal="center" vertical="center"/>
    </xf>
    <xf numFmtId="166" fontId="31" fillId="27" borderId="14" applyAlignment="1" pivotButton="0" quotePrefix="0" xfId="0">
      <alignment horizontal="center" vertical="center"/>
    </xf>
    <xf numFmtId="2" fontId="32" fillId="28" borderId="15" applyAlignment="1" pivotButton="0" quotePrefix="0" xfId="0">
      <alignment horizontal="center" vertical="center"/>
    </xf>
    <xf numFmtId="2" fontId="26" fillId="29" borderId="16" applyAlignment="1" pivotButton="0" quotePrefix="0" xfId="0">
      <alignment horizontal="center" vertical="center"/>
    </xf>
    <xf numFmtId="0" fontId="27" fillId="30" borderId="17" applyAlignment="1" pivotButton="0" quotePrefix="0" xfId="0">
      <alignment horizontal="center" vertical="center"/>
    </xf>
    <xf numFmtId="164" fontId="33" fillId="31" borderId="18" applyAlignment="1" pivotButton="0" quotePrefix="0" xfId="0">
      <alignment horizontal="center" vertical="center"/>
    </xf>
    <xf numFmtId="0" fontId="29" fillId="31" borderId="18" applyAlignment="1" pivotButton="0" quotePrefix="0" xfId="0">
      <alignment horizontal="center" vertical="center"/>
    </xf>
    <xf numFmtId="0" fontId="30" fillId="27" borderId="14" applyAlignment="1" pivotButton="0" quotePrefix="0" xfId="0">
      <alignment horizontal="left" vertical="center"/>
    </xf>
    <xf numFmtId="0" fontId="31" fillId="32" borderId="14" applyAlignment="1" pivotButton="0" quotePrefix="0" xfId="0">
      <alignment horizontal="center" vertical="center"/>
    </xf>
    <xf numFmtId="166" fontId="31" fillId="32" borderId="14" applyAlignment="1" pivotButton="0" quotePrefix="0" xfId="0">
      <alignment horizontal="center" vertical="center"/>
    </xf>
    <xf numFmtId="2" fontId="32" fillId="33" borderId="15" applyAlignment="1" pivotButton="0" quotePrefix="0" xfId="0">
      <alignment horizontal="center" vertical="center"/>
    </xf>
    <xf numFmtId="2" fontId="26" fillId="34" borderId="16" applyAlignment="1" pivotButton="0" quotePrefix="0" xfId="0">
      <alignment horizontal="center" vertical="center"/>
    </xf>
    <xf numFmtId="0" fontId="27" fillId="35" borderId="17" applyAlignment="1" pivotButton="0" quotePrefix="0" xfId="0">
      <alignment horizontal="center" vertical="center"/>
    </xf>
    <xf numFmtId="164" fontId="33" fillId="36" borderId="18" applyAlignment="1" pivotButton="0" quotePrefix="0" xfId="0">
      <alignment horizontal="center" vertical="center"/>
    </xf>
    <xf numFmtId="0" fontId="29" fillId="36" borderId="18" applyAlignment="1" pivotButton="0" quotePrefix="0" xfId="0">
      <alignment horizontal="center" vertical="center"/>
    </xf>
    <xf numFmtId="0" fontId="30" fillId="32" borderId="14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EBF5FF"/>
      <rgbColor rgb="FF808080"/>
      <rgbColor rgb="FF4B9EFF"/>
      <rgbColor rgb="FF993366"/>
      <rgbColor rgb="FFFFF9E6"/>
      <rgbColor rgb="FFD6EAF8"/>
      <rgbColor rgb="FF660066"/>
      <rgbColor rgb="FFFF8080"/>
      <rgbColor rgb="FF0066CC"/>
      <rgbColor rgb="FFD0D8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AA"/>
      <rgbColor rgb="FFE8F4FD"/>
      <rgbColor rgb="FFD5F5E3"/>
      <rgbColor rgb="FFFFF0C0"/>
      <rgbColor rgb="FFF0FFF4"/>
      <rgbColor rgb="FFF8FAFC"/>
      <rgbColor rgb="FFCC99FF"/>
      <rgbColor rgb="FFEDF9E8"/>
      <rgbColor rgb="FF3366FF"/>
      <rgbColor rgb="FF34D399"/>
      <rgbColor rgb="FF99CC00"/>
      <rgbColor rgb="FFFFCC00"/>
      <rgbColor rgb="FFFF9900"/>
      <rgbColor rgb="FFFF6600"/>
      <rgbColor rgb="FF5A6A82"/>
      <rgbColor rgb="FF969696"/>
      <rgbColor rgb="FF003366"/>
      <rgbColor rgb="FF339966"/>
      <rgbColor rgb="FF0B0F17"/>
      <rgbColor rgb="FF333300"/>
      <rgbColor rgb="FF993300"/>
      <rgbColor rgb="FF993366"/>
      <rgbColor rgb="FF333399"/>
      <rgbColor rgb="FF1E2A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2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22">
      <c r="A1" s="23" t="inlineStr">
        <is>
          <t>ikäluokka</t>
        </is>
      </c>
      <c r="B1" s="23" t="inlineStr">
        <is>
          <t>sukupuoli</t>
        </is>
      </c>
      <c r="C1" s="23" t="inlineStr">
        <is>
          <t>testi</t>
        </is>
      </c>
      <c r="D1" s="23" t="inlineStr">
        <is>
          <t>taso5</t>
        </is>
      </c>
      <c r="E1" s="23" t="inlineStr">
        <is>
          <t>taso4</t>
        </is>
      </c>
      <c r="F1" s="23" t="inlineStr">
        <is>
          <t>taso3</t>
        </is>
      </c>
      <c r="G1" s="23" t="inlineStr">
        <is>
          <t>taso2</t>
        </is>
      </c>
      <c r="H1" s="23" t="inlineStr">
        <is>
          <t>taso1</t>
        </is>
      </c>
      <c r="I1" s="24" t="inlineStr">
        <is>
          <t>avain</t>
        </is>
      </c>
      <c r="J1" s="23" t="inlineStr">
        <is>
          <t>t5_lookup</t>
        </is>
      </c>
      <c r="K1" s="25" t="inlineStr">
        <is>
          <t>t4_lookup</t>
        </is>
      </c>
      <c r="L1" s="25" t="inlineStr">
        <is>
          <t>t3_lookup</t>
        </is>
      </c>
      <c r="M1" s="25" t="inlineStr">
        <is>
          <t>t2_lookup</t>
        </is>
      </c>
    </row>
    <row r="2" ht="15" customHeight="1" s="22">
      <c r="A2" s="25" t="inlineStr">
        <is>
          <t>P10</t>
        </is>
      </c>
      <c r="B2" s="25" t="inlineStr">
        <is>
          <t>P</t>
        </is>
      </c>
      <c r="C2" s="25" t="inlineStr">
        <is>
          <t>lin5m</t>
        </is>
      </c>
      <c r="D2" s="25" t="n">
        <v>1.08</v>
      </c>
      <c r="E2" s="25" t="n">
        <v>1.11</v>
      </c>
      <c r="F2" s="25" t="n">
        <v>1.14</v>
      </c>
      <c r="G2" s="25" t="n">
        <v>1.18</v>
      </c>
      <c r="H2" s="25" t="n">
        <v>99</v>
      </c>
      <c r="I2" s="25" t="inlineStr">
        <is>
          <t>P10lin5m</t>
        </is>
      </c>
      <c r="J2" s="25" t="n">
        <v>1.08</v>
      </c>
      <c r="K2" s="25" t="n">
        <v>1.11</v>
      </c>
      <c r="L2" s="25" t="n">
        <v>1.14</v>
      </c>
      <c r="M2" s="25" t="n">
        <v>1.18</v>
      </c>
    </row>
    <row r="3" ht="15" customHeight="1" s="22">
      <c r="A3" s="25" t="inlineStr">
        <is>
          <t>P11</t>
        </is>
      </c>
      <c r="B3" s="25" t="inlineStr">
        <is>
          <t>P</t>
        </is>
      </c>
      <c r="C3" s="25" t="inlineStr">
        <is>
          <t>lin5m</t>
        </is>
      </c>
      <c r="D3" s="25" t="n">
        <v>1.05</v>
      </c>
      <c r="E3" s="25" t="n">
        <v>1.09</v>
      </c>
      <c r="F3" s="25" t="n">
        <v>1.11</v>
      </c>
      <c r="G3" s="25" t="n">
        <v>1.15</v>
      </c>
      <c r="H3" s="25" t="n">
        <v>99</v>
      </c>
      <c r="I3" s="25" t="inlineStr">
        <is>
          <t>P11lin5m</t>
        </is>
      </c>
      <c r="J3" s="25" t="n">
        <v>1.05</v>
      </c>
      <c r="K3" s="25" t="n">
        <v>1.09</v>
      </c>
      <c r="L3" s="25" t="n">
        <v>1.11</v>
      </c>
      <c r="M3" s="25" t="n">
        <v>1.15</v>
      </c>
    </row>
    <row r="4" ht="15" customHeight="1" s="22">
      <c r="A4" s="25" t="inlineStr">
        <is>
          <t>P12</t>
        </is>
      </c>
      <c r="B4" s="25" t="inlineStr">
        <is>
          <t>P</t>
        </is>
      </c>
      <c r="C4" s="25" t="inlineStr">
        <is>
          <t>lin5m</t>
        </is>
      </c>
      <c r="D4" s="25" t="n">
        <v>1.02</v>
      </c>
      <c r="E4" s="25" t="n">
        <v>1.05</v>
      </c>
      <c r="F4" s="25" t="n">
        <v>1.08</v>
      </c>
      <c r="G4" s="25" t="n">
        <v>1.12</v>
      </c>
      <c r="H4" s="25" t="n">
        <v>99</v>
      </c>
      <c r="I4" s="25" t="inlineStr">
        <is>
          <t>P12lin5m</t>
        </is>
      </c>
      <c r="J4" s="25" t="n">
        <v>1.02</v>
      </c>
      <c r="K4" s="25" t="n">
        <v>1.05</v>
      </c>
      <c r="L4" s="25" t="n">
        <v>1.08</v>
      </c>
      <c r="M4" s="25" t="n">
        <v>1.12</v>
      </c>
    </row>
    <row r="5" ht="15" customHeight="1" s="22">
      <c r="A5" s="25" t="inlineStr">
        <is>
          <t>P13</t>
        </is>
      </c>
      <c r="B5" s="25" t="inlineStr">
        <is>
          <t>P</t>
        </is>
      </c>
      <c r="C5" s="25" t="inlineStr">
        <is>
          <t>lin5m</t>
        </is>
      </c>
      <c r="D5" s="25" t="n">
        <v>0.99</v>
      </c>
      <c r="E5" s="25" t="n">
        <v>1.02</v>
      </c>
      <c r="F5" s="25" t="n">
        <v>1.05</v>
      </c>
      <c r="G5" s="25" t="n">
        <v>1.09</v>
      </c>
      <c r="H5" s="25" t="n">
        <v>99</v>
      </c>
      <c r="I5" s="25" t="inlineStr">
        <is>
          <t>P13lin5m</t>
        </is>
      </c>
      <c r="J5" s="25" t="n">
        <v>0.99</v>
      </c>
      <c r="K5" s="25" t="n">
        <v>1.02</v>
      </c>
      <c r="L5" s="25" t="n">
        <v>1.05</v>
      </c>
      <c r="M5" s="25" t="n">
        <v>1.09</v>
      </c>
    </row>
    <row r="6" ht="15" customHeight="1" s="22">
      <c r="A6" s="25" t="inlineStr">
        <is>
          <t>P14</t>
        </is>
      </c>
      <c r="B6" s="25" t="inlineStr">
        <is>
          <t>P</t>
        </is>
      </c>
      <c r="C6" s="25" t="inlineStr">
        <is>
          <t>lin5m</t>
        </is>
      </c>
      <c r="D6" s="25" t="n">
        <v>0.96</v>
      </c>
      <c r="E6" s="25" t="n">
        <v>0.99</v>
      </c>
      <c r="F6" s="25" t="n">
        <v>1.01</v>
      </c>
      <c r="G6" s="25" t="n">
        <v>1.05</v>
      </c>
      <c r="H6" s="25" t="n">
        <v>99</v>
      </c>
      <c r="I6" s="25" t="inlineStr">
        <is>
          <t>P14lin5m</t>
        </is>
      </c>
      <c r="J6" s="25" t="n">
        <v>0.96</v>
      </c>
      <c r="K6" s="25" t="n">
        <v>0.99</v>
      </c>
      <c r="L6" s="25" t="n">
        <v>1.01</v>
      </c>
      <c r="M6" s="25" t="n">
        <v>1.05</v>
      </c>
    </row>
    <row r="7" ht="15" customHeight="1" s="22">
      <c r="A7" s="25" t="inlineStr">
        <is>
          <t>P15</t>
        </is>
      </c>
      <c r="B7" s="25" t="inlineStr">
        <is>
          <t>P</t>
        </is>
      </c>
      <c r="C7" s="25" t="inlineStr">
        <is>
          <t>lin5m</t>
        </is>
      </c>
      <c r="D7" s="25" t="n">
        <v>0.9399999999999999</v>
      </c>
      <c r="E7" s="25" t="n">
        <v>0.97</v>
      </c>
      <c r="F7" s="25" t="n">
        <v>0.99</v>
      </c>
      <c r="G7" s="25" t="n">
        <v>1.03</v>
      </c>
      <c r="H7" s="25" t="n">
        <v>99</v>
      </c>
      <c r="I7" s="25" t="inlineStr">
        <is>
          <t>P15lin5m</t>
        </is>
      </c>
      <c r="J7" s="25" t="n">
        <v>0.9399999999999999</v>
      </c>
      <c r="K7" s="25" t="n">
        <v>0.97</v>
      </c>
      <c r="L7" s="25" t="n">
        <v>0.99</v>
      </c>
      <c r="M7" s="25" t="n">
        <v>1.03</v>
      </c>
    </row>
    <row r="8" ht="15" customHeight="1" s="22">
      <c r="A8" s="25" t="inlineStr">
        <is>
          <t>P16</t>
        </is>
      </c>
      <c r="B8" s="25" t="inlineStr">
        <is>
          <t>P</t>
        </is>
      </c>
      <c r="C8" s="25" t="inlineStr">
        <is>
          <t>lin5m</t>
        </is>
      </c>
      <c r="D8" s="25" t="n">
        <v>0.92</v>
      </c>
      <c r="E8" s="25" t="n">
        <v>0.95</v>
      </c>
      <c r="F8" s="25" t="n">
        <v>0.97</v>
      </c>
      <c r="G8" s="25" t="n">
        <v>1.01</v>
      </c>
      <c r="H8" s="25" t="n">
        <v>99</v>
      </c>
      <c r="I8" s="25" t="inlineStr">
        <is>
          <t>P16lin5m</t>
        </is>
      </c>
      <c r="J8" s="25" t="n">
        <v>0.92</v>
      </c>
      <c r="K8" s="25" t="n">
        <v>0.95</v>
      </c>
      <c r="L8" s="25" t="n">
        <v>0.97</v>
      </c>
      <c r="M8" s="25" t="n">
        <v>1.01</v>
      </c>
    </row>
    <row r="9" ht="15" customHeight="1" s="22">
      <c r="A9" s="25" t="inlineStr">
        <is>
          <t>P17</t>
        </is>
      </c>
      <c r="B9" s="25" t="inlineStr">
        <is>
          <t>P</t>
        </is>
      </c>
      <c r="C9" s="25" t="inlineStr">
        <is>
          <t>lin5m</t>
        </is>
      </c>
      <c r="D9" s="25" t="n">
        <v>0.9</v>
      </c>
      <c r="E9" s="25" t="n">
        <v>0.93</v>
      </c>
      <c r="F9" s="25" t="n">
        <v>0.95</v>
      </c>
      <c r="G9" s="25" t="n">
        <v>0.99</v>
      </c>
      <c r="H9" s="25" t="n">
        <v>99</v>
      </c>
      <c r="I9" s="25" t="inlineStr">
        <is>
          <t>P17lin5m</t>
        </is>
      </c>
      <c r="J9" s="25" t="n">
        <v>0.9</v>
      </c>
      <c r="K9" s="25" t="n">
        <v>0.93</v>
      </c>
      <c r="L9" s="25" t="n">
        <v>0.95</v>
      </c>
      <c r="M9" s="25" t="n">
        <v>0.99</v>
      </c>
    </row>
    <row r="10" ht="15" customHeight="1" s="22">
      <c r="A10" s="25" t="inlineStr">
        <is>
          <t>P18</t>
        </is>
      </c>
      <c r="B10" s="25" t="inlineStr">
        <is>
          <t>P</t>
        </is>
      </c>
      <c r="C10" s="25" t="inlineStr">
        <is>
          <t>lin5m</t>
        </is>
      </c>
      <c r="D10" s="25" t="n">
        <v>0.88</v>
      </c>
      <c r="E10" s="25" t="n">
        <v>0.91</v>
      </c>
      <c r="F10" s="25" t="n">
        <v>0.93</v>
      </c>
      <c r="G10" s="25" t="n">
        <v>0.97</v>
      </c>
      <c r="H10" s="25" t="n">
        <v>99</v>
      </c>
      <c r="I10" s="25" t="inlineStr">
        <is>
          <t>P18lin5m</t>
        </is>
      </c>
      <c r="J10" s="25" t="n">
        <v>0.88</v>
      </c>
      <c r="K10" s="25" t="n">
        <v>0.91</v>
      </c>
      <c r="L10" s="25" t="n">
        <v>0.93</v>
      </c>
      <c r="M10" s="25" t="n">
        <v>0.97</v>
      </c>
    </row>
    <row r="11" ht="15" customHeight="1" s="22">
      <c r="A11" s="25" t="inlineStr">
        <is>
          <t>P19</t>
        </is>
      </c>
      <c r="B11" s="25" t="inlineStr">
        <is>
          <t>P</t>
        </is>
      </c>
      <c r="C11" s="25" t="inlineStr">
        <is>
          <t>lin5m</t>
        </is>
      </c>
      <c r="D11" s="25" t="n">
        <v>0.87</v>
      </c>
      <c r="E11" s="25" t="n">
        <v>0.89</v>
      </c>
      <c r="F11" s="25" t="n">
        <v>0.91</v>
      </c>
      <c r="G11" s="25" t="n">
        <v>0.95</v>
      </c>
      <c r="H11" s="25" t="n">
        <v>99</v>
      </c>
      <c r="I11" s="25" t="inlineStr">
        <is>
          <t>P19lin5m</t>
        </is>
      </c>
      <c r="J11" s="25" t="n">
        <v>0.87</v>
      </c>
      <c r="K11" s="25" t="n">
        <v>0.89</v>
      </c>
      <c r="L11" s="25" t="n">
        <v>0.91</v>
      </c>
      <c r="M11" s="25" t="n">
        <v>0.95</v>
      </c>
    </row>
    <row r="12" ht="15" customHeight="1" s="22">
      <c r="A12" s="25" t="inlineStr">
        <is>
          <t>P10</t>
        </is>
      </c>
      <c r="B12" s="25" t="inlineStr">
        <is>
          <t>P</t>
        </is>
      </c>
      <c r="C12" s="25" t="inlineStr">
        <is>
          <t>lin10m</t>
        </is>
      </c>
      <c r="D12" s="25" t="n">
        <v>1.92</v>
      </c>
      <c r="E12" s="25" t="n">
        <v>1.97</v>
      </c>
      <c r="F12" s="25" t="n">
        <v>2.02</v>
      </c>
      <c r="G12" s="25" t="n">
        <v>2.08</v>
      </c>
      <c r="H12" s="25" t="n">
        <v>99</v>
      </c>
      <c r="I12" s="25" t="inlineStr">
        <is>
          <t>P10lin10m</t>
        </is>
      </c>
      <c r="J12" s="25" t="n">
        <v>1.92</v>
      </c>
      <c r="K12" s="25" t="n">
        <v>1.97</v>
      </c>
      <c r="L12" s="25" t="n">
        <v>2.02</v>
      </c>
      <c r="M12" s="25" t="n">
        <v>2.08</v>
      </c>
    </row>
    <row r="13" ht="15" customHeight="1" s="22">
      <c r="A13" s="25" t="inlineStr">
        <is>
          <t>P11</t>
        </is>
      </c>
      <c r="B13" s="25" t="inlineStr">
        <is>
          <t>P</t>
        </is>
      </c>
      <c r="C13" s="25" t="inlineStr">
        <is>
          <t>lin10m</t>
        </is>
      </c>
      <c r="D13" s="25" t="n">
        <v>1.88</v>
      </c>
      <c r="E13" s="25" t="n">
        <v>1.93</v>
      </c>
      <c r="F13" s="25" t="n">
        <v>1.97</v>
      </c>
      <c r="G13" s="25" t="n">
        <v>2.02</v>
      </c>
      <c r="H13" s="25" t="n">
        <v>99</v>
      </c>
      <c r="I13" s="25" t="inlineStr">
        <is>
          <t>P11lin10m</t>
        </is>
      </c>
      <c r="J13" s="25" t="n">
        <v>1.88</v>
      </c>
      <c r="K13" s="25" t="n">
        <v>1.93</v>
      </c>
      <c r="L13" s="25" t="n">
        <v>1.97</v>
      </c>
      <c r="M13" s="25" t="n">
        <v>2.02</v>
      </c>
    </row>
    <row r="14" ht="15" customHeight="1" s="22">
      <c r="A14" s="25" t="inlineStr">
        <is>
          <t>P12</t>
        </is>
      </c>
      <c r="B14" s="25" t="inlineStr">
        <is>
          <t>P</t>
        </is>
      </c>
      <c r="C14" s="25" t="inlineStr">
        <is>
          <t>lin10m</t>
        </is>
      </c>
      <c r="D14" s="25" t="n">
        <v>1.81</v>
      </c>
      <c r="E14" s="25" t="n">
        <v>1.86</v>
      </c>
      <c r="F14" s="25" t="n">
        <v>1.91</v>
      </c>
      <c r="G14" s="25" t="n">
        <v>1.97</v>
      </c>
      <c r="H14" s="25" t="n">
        <v>99</v>
      </c>
      <c r="I14" s="25" t="inlineStr">
        <is>
          <t>P12lin10m</t>
        </is>
      </c>
      <c r="J14" s="25" t="n">
        <v>1.81</v>
      </c>
      <c r="K14" s="25" t="n">
        <v>1.86</v>
      </c>
      <c r="L14" s="25" t="n">
        <v>1.91</v>
      </c>
      <c r="M14" s="25" t="n">
        <v>1.97</v>
      </c>
    </row>
    <row r="15" ht="15" customHeight="1" s="22">
      <c r="A15" s="25" t="inlineStr">
        <is>
          <t>P13</t>
        </is>
      </c>
      <c r="B15" s="25" t="inlineStr">
        <is>
          <t>P</t>
        </is>
      </c>
      <c r="C15" s="25" t="inlineStr">
        <is>
          <t>lin10m</t>
        </is>
      </c>
      <c r="D15" s="25" t="n">
        <v>1.75</v>
      </c>
      <c r="E15" s="25" t="n">
        <v>1.81</v>
      </c>
      <c r="F15" s="25" t="n">
        <v>1.86</v>
      </c>
      <c r="G15" s="25" t="n">
        <v>1.92</v>
      </c>
      <c r="H15" s="25" t="n">
        <v>99</v>
      </c>
      <c r="I15" s="25" t="inlineStr">
        <is>
          <t>P13lin10m</t>
        </is>
      </c>
      <c r="J15" s="25" t="n">
        <v>1.75</v>
      </c>
      <c r="K15" s="25" t="n">
        <v>1.81</v>
      </c>
      <c r="L15" s="25" t="n">
        <v>1.86</v>
      </c>
      <c r="M15" s="25" t="n">
        <v>1.92</v>
      </c>
    </row>
    <row r="16" ht="15" customHeight="1" s="22">
      <c r="A16" s="25" t="inlineStr">
        <is>
          <t>P14</t>
        </is>
      </c>
      <c r="B16" s="25" t="inlineStr">
        <is>
          <t>P</t>
        </is>
      </c>
      <c r="C16" s="25" t="inlineStr">
        <is>
          <t>lin10m</t>
        </is>
      </c>
      <c r="D16" s="25" t="n">
        <v>1.69</v>
      </c>
      <c r="E16" s="25" t="n">
        <v>1.74</v>
      </c>
      <c r="F16" s="25" t="n">
        <v>1.78</v>
      </c>
      <c r="G16" s="25" t="n">
        <v>1.84</v>
      </c>
      <c r="H16" s="25" t="n">
        <v>99</v>
      </c>
      <c r="I16" s="25" t="inlineStr">
        <is>
          <t>P14lin10m</t>
        </is>
      </c>
      <c r="J16" s="25" t="n">
        <v>1.69</v>
      </c>
      <c r="K16" s="25" t="n">
        <v>1.74</v>
      </c>
      <c r="L16" s="25" t="n">
        <v>1.78</v>
      </c>
      <c r="M16" s="25" t="n">
        <v>1.84</v>
      </c>
    </row>
    <row r="17" ht="15" customHeight="1" s="22">
      <c r="A17" s="25" t="inlineStr">
        <is>
          <t>P15</t>
        </is>
      </c>
      <c r="B17" s="25" t="inlineStr">
        <is>
          <t>P</t>
        </is>
      </c>
      <c r="C17" s="25" t="inlineStr">
        <is>
          <t>lin10m</t>
        </is>
      </c>
      <c r="D17" s="25" t="n">
        <v>1.67</v>
      </c>
      <c r="E17" s="25" t="n">
        <v>1.71</v>
      </c>
      <c r="F17" s="25" t="n">
        <v>1.74</v>
      </c>
      <c r="G17" s="25" t="n">
        <v>1.8</v>
      </c>
      <c r="H17" s="25" t="n">
        <v>99</v>
      </c>
      <c r="I17" s="25" t="inlineStr">
        <is>
          <t>P15lin10m</t>
        </is>
      </c>
      <c r="J17" s="25" t="n">
        <v>1.67</v>
      </c>
      <c r="K17" s="25" t="n">
        <v>1.71</v>
      </c>
      <c r="L17" s="25" t="n">
        <v>1.74</v>
      </c>
      <c r="M17" s="25" t="n">
        <v>1.8</v>
      </c>
    </row>
    <row r="18" ht="15" customHeight="1" s="22">
      <c r="A18" s="25" t="inlineStr">
        <is>
          <t>P16</t>
        </is>
      </c>
      <c r="B18" s="25" t="inlineStr">
        <is>
          <t>P</t>
        </is>
      </c>
      <c r="C18" s="25" t="inlineStr">
        <is>
          <t>lin10m</t>
        </is>
      </c>
      <c r="D18" s="25" t="n">
        <v>1.64</v>
      </c>
      <c r="E18" s="25" t="n">
        <v>1.68</v>
      </c>
      <c r="F18" s="25" t="n">
        <v>1.71</v>
      </c>
      <c r="G18" s="25" t="n">
        <v>1.75</v>
      </c>
      <c r="H18" s="25" t="n">
        <v>99</v>
      </c>
      <c r="I18" s="25" t="inlineStr">
        <is>
          <t>P16lin10m</t>
        </is>
      </c>
      <c r="J18" s="25" t="n">
        <v>1.64</v>
      </c>
      <c r="K18" s="25" t="n">
        <v>1.68</v>
      </c>
      <c r="L18" s="25" t="n">
        <v>1.71</v>
      </c>
      <c r="M18" s="25" t="n">
        <v>1.75</v>
      </c>
    </row>
    <row r="19" ht="15" customHeight="1" s="22">
      <c r="A19" s="25" t="inlineStr">
        <is>
          <t>P17</t>
        </is>
      </c>
      <c r="B19" s="25" t="inlineStr">
        <is>
          <t>P</t>
        </is>
      </c>
      <c r="C19" s="25" t="inlineStr">
        <is>
          <t>lin10m</t>
        </is>
      </c>
      <c r="D19" s="25" t="n">
        <v>1.62</v>
      </c>
      <c r="E19" s="25" t="n">
        <v>1.65</v>
      </c>
      <c r="F19" s="25" t="n">
        <v>1.67</v>
      </c>
      <c r="G19" s="25" t="n">
        <v>1.73</v>
      </c>
      <c r="H19" s="25" t="n">
        <v>99</v>
      </c>
      <c r="I19" s="25" t="inlineStr">
        <is>
          <t>P17lin10m</t>
        </is>
      </c>
      <c r="J19" s="25" t="n">
        <v>1.62</v>
      </c>
      <c r="K19" s="25" t="n">
        <v>1.65</v>
      </c>
      <c r="L19" s="25" t="n">
        <v>1.67</v>
      </c>
      <c r="M19" s="25" t="n">
        <v>1.73</v>
      </c>
    </row>
    <row r="20" ht="15" customHeight="1" s="22">
      <c r="A20" s="25" t="inlineStr">
        <is>
          <t>P18</t>
        </is>
      </c>
      <c r="B20" s="25" t="inlineStr">
        <is>
          <t>P</t>
        </is>
      </c>
      <c r="C20" s="25" t="inlineStr">
        <is>
          <t>lin10m</t>
        </is>
      </c>
      <c r="D20" s="25" t="n">
        <v>1.59</v>
      </c>
      <c r="E20" s="25" t="n">
        <v>1.63</v>
      </c>
      <c r="F20" s="25" t="n">
        <v>1.65</v>
      </c>
      <c r="G20" s="25" t="n">
        <v>1.71</v>
      </c>
      <c r="H20" s="25" t="n">
        <v>99</v>
      </c>
      <c r="I20" s="25" t="inlineStr">
        <is>
          <t>P18lin10m</t>
        </is>
      </c>
      <c r="J20" s="25" t="n">
        <v>1.59</v>
      </c>
      <c r="K20" s="25" t="n">
        <v>1.63</v>
      </c>
      <c r="L20" s="25" t="n">
        <v>1.65</v>
      </c>
      <c r="M20" s="25" t="n">
        <v>1.71</v>
      </c>
    </row>
    <row r="21" ht="15" customHeight="1" s="22">
      <c r="A21" s="25" t="inlineStr">
        <is>
          <t>P19</t>
        </is>
      </c>
      <c r="B21" s="25" t="inlineStr">
        <is>
          <t>P</t>
        </is>
      </c>
      <c r="C21" s="25" t="inlineStr">
        <is>
          <t>lin10m</t>
        </is>
      </c>
      <c r="D21" s="25" t="n">
        <v>1.57</v>
      </c>
      <c r="E21" s="25" t="n">
        <v>1.59</v>
      </c>
      <c r="F21" s="25" t="n">
        <v>1.63</v>
      </c>
      <c r="G21" s="25" t="n">
        <v>1.68</v>
      </c>
      <c r="H21" s="25" t="n">
        <v>99</v>
      </c>
      <c r="I21" s="25" t="inlineStr">
        <is>
          <t>P19lin10m</t>
        </is>
      </c>
      <c r="J21" s="25" t="n">
        <v>1.57</v>
      </c>
      <c r="K21" s="25" t="n">
        <v>1.59</v>
      </c>
      <c r="L21" s="25" t="n">
        <v>1.63</v>
      </c>
      <c r="M21" s="25" t="n">
        <v>1.68</v>
      </c>
    </row>
    <row r="22" ht="15" customHeight="1" s="22">
      <c r="A22" s="25" t="inlineStr">
        <is>
          <t>P10</t>
        </is>
      </c>
      <c r="B22" s="25" t="inlineStr">
        <is>
          <t>P</t>
        </is>
      </c>
      <c r="C22" s="25" t="inlineStr">
        <is>
          <t>lin20m</t>
        </is>
      </c>
      <c r="D22" s="25" t="n">
        <v>3.42</v>
      </c>
      <c r="E22" s="25" t="n">
        <v>3.51</v>
      </c>
      <c r="F22" s="25" t="n">
        <v>3.6</v>
      </c>
      <c r="G22" s="25" t="n">
        <v>3.7</v>
      </c>
      <c r="H22" s="25" t="n">
        <v>99</v>
      </c>
      <c r="I22" s="25" t="inlineStr">
        <is>
          <t>P10lin20m</t>
        </is>
      </c>
      <c r="J22" s="25" t="n">
        <v>3.42</v>
      </c>
      <c r="K22" s="25" t="n">
        <v>3.51</v>
      </c>
      <c r="L22" s="25" t="n">
        <v>3.6</v>
      </c>
      <c r="M22" s="25" t="n">
        <v>3.7</v>
      </c>
    </row>
    <row r="23" ht="15" customHeight="1" s="22">
      <c r="A23" s="25" t="inlineStr">
        <is>
          <t>P11</t>
        </is>
      </c>
      <c r="B23" s="25" t="inlineStr">
        <is>
          <t>P</t>
        </is>
      </c>
      <c r="C23" s="25" t="inlineStr">
        <is>
          <t>lin20m</t>
        </is>
      </c>
      <c r="D23" s="25" t="n">
        <v>3.34</v>
      </c>
      <c r="E23" s="25" t="n">
        <v>3.42</v>
      </c>
      <c r="F23" s="25" t="n">
        <v>3.5</v>
      </c>
      <c r="G23" s="25" t="n">
        <v>3.6</v>
      </c>
      <c r="H23" s="25" t="n">
        <v>99</v>
      </c>
      <c r="I23" s="25" t="inlineStr">
        <is>
          <t>P11lin20m</t>
        </is>
      </c>
      <c r="J23" s="25" t="n">
        <v>3.34</v>
      </c>
      <c r="K23" s="25" t="n">
        <v>3.42</v>
      </c>
      <c r="L23" s="25" t="n">
        <v>3.5</v>
      </c>
      <c r="M23" s="25" t="n">
        <v>3.6</v>
      </c>
    </row>
    <row r="24" ht="15" customHeight="1" s="22">
      <c r="A24" s="25" t="inlineStr">
        <is>
          <t>P12</t>
        </is>
      </c>
      <c r="B24" s="25" t="inlineStr">
        <is>
          <t>P</t>
        </is>
      </c>
      <c r="C24" s="25" t="inlineStr">
        <is>
          <t>lin20m</t>
        </is>
      </c>
      <c r="D24" s="25" t="n">
        <v>3.22</v>
      </c>
      <c r="E24" s="25" t="n">
        <v>3.31</v>
      </c>
      <c r="F24" s="25" t="n">
        <v>3.39</v>
      </c>
      <c r="G24" s="25" t="n">
        <v>3.49</v>
      </c>
      <c r="H24" s="25" t="n">
        <v>99</v>
      </c>
      <c r="I24" s="25" t="inlineStr">
        <is>
          <t>P12lin20m</t>
        </is>
      </c>
      <c r="J24" s="25" t="n">
        <v>3.22</v>
      </c>
      <c r="K24" s="25" t="n">
        <v>3.31</v>
      </c>
      <c r="L24" s="25" t="n">
        <v>3.39</v>
      </c>
      <c r="M24" s="25" t="n">
        <v>3.49</v>
      </c>
    </row>
    <row r="25" ht="15" customHeight="1" s="22">
      <c r="A25" s="25" t="inlineStr">
        <is>
          <t>P13</t>
        </is>
      </c>
      <c r="B25" s="25" t="inlineStr">
        <is>
          <t>P</t>
        </is>
      </c>
      <c r="C25" s="25" t="inlineStr">
        <is>
          <t>lin20m</t>
        </is>
      </c>
      <c r="D25" s="25" t="n">
        <v>3.09</v>
      </c>
      <c r="E25" s="25" t="n">
        <v>3.19</v>
      </c>
      <c r="F25" s="25" t="n">
        <v>3.28</v>
      </c>
      <c r="G25" s="25" t="n">
        <v>3.38</v>
      </c>
      <c r="H25" s="25" t="n">
        <v>99</v>
      </c>
      <c r="I25" s="25" t="inlineStr">
        <is>
          <t>P13lin20m</t>
        </is>
      </c>
      <c r="J25" s="25" t="n">
        <v>3.09</v>
      </c>
      <c r="K25" s="25" t="n">
        <v>3.19</v>
      </c>
      <c r="L25" s="25" t="n">
        <v>3.28</v>
      </c>
      <c r="M25" s="25" t="n">
        <v>3.38</v>
      </c>
    </row>
    <row r="26" ht="15" customHeight="1" s="22">
      <c r="A26" s="25" t="inlineStr">
        <is>
          <t>P14</t>
        </is>
      </c>
      <c r="B26" s="25" t="inlineStr">
        <is>
          <t>P</t>
        </is>
      </c>
      <c r="C26" s="25" t="inlineStr">
        <is>
          <t>lin20m</t>
        </is>
      </c>
      <c r="D26" s="25" t="n">
        <v>2.97</v>
      </c>
      <c r="E26" s="25" t="n">
        <v>3.06</v>
      </c>
      <c r="F26" s="25" t="n">
        <v>3.14</v>
      </c>
      <c r="G26" s="25" t="n">
        <v>3.24</v>
      </c>
      <c r="H26" s="25" t="n">
        <v>99</v>
      </c>
      <c r="I26" s="25" t="inlineStr">
        <is>
          <t>P14lin20m</t>
        </is>
      </c>
      <c r="J26" s="25" t="n">
        <v>2.97</v>
      </c>
      <c r="K26" s="25" t="n">
        <v>3.06</v>
      </c>
      <c r="L26" s="25" t="n">
        <v>3.14</v>
      </c>
      <c r="M26" s="25" t="n">
        <v>3.24</v>
      </c>
    </row>
    <row r="27" ht="15" customHeight="1" s="22">
      <c r="A27" s="25" t="inlineStr">
        <is>
          <t>P15</t>
        </is>
      </c>
      <c r="B27" s="25" t="inlineStr">
        <is>
          <t>P</t>
        </is>
      </c>
      <c r="C27" s="25" t="inlineStr">
        <is>
          <t>lin20m</t>
        </is>
      </c>
      <c r="D27" s="25" t="n">
        <v>2.91</v>
      </c>
      <c r="E27" s="25" t="n">
        <v>3</v>
      </c>
      <c r="F27" s="25" t="n">
        <v>3.06</v>
      </c>
      <c r="G27" s="25" t="n">
        <v>3.14</v>
      </c>
      <c r="H27" s="25" t="n">
        <v>99</v>
      </c>
      <c r="I27" s="25" t="inlineStr">
        <is>
          <t>P15lin20m</t>
        </is>
      </c>
      <c r="J27" s="25" t="n">
        <v>2.91</v>
      </c>
      <c r="K27" s="25" t="n">
        <v>3</v>
      </c>
      <c r="L27" s="25" t="n">
        <v>3.06</v>
      </c>
      <c r="M27" s="25" t="n">
        <v>3.14</v>
      </c>
    </row>
    <row r="28" ht="15" customHeight="1" s="22">
      <c r="A28" s="25" t="inlineStr">
        <is>
          <t>P16</t>
        </is>
      </c>
      <c r="B28" s="25" t="inlineStr">
        <is>
          <t>P</t>
        </is>
      </c>
      <c r="C28" s="25" t="inlineStr">
        <is>
          <t>lin20m</t>
        </is>
      </c>
      <c r="D28" s="25" t="n">
        <v>2.87</v>
      </c>
      <c r="E28" s="25" t="n">
        <v>2.96</v>
      </c>
      <c r="F28" s="25" t="n">
        <v>2.99</v>
      </c>
      <c r="G28" s="25" t="n">
        <v>3.09</v>
      </c>
      <c r="H28" s="25" t="n">
        <v>99</v>
      </c>
      <c r="I28" s="25" t="inlineStr">
        <is>
          <t>P16lin20m</t>
        </is>
      </c>
      <c r="J28" s="25" t="n">
        <v>2.87</v>
      </c>
      <c r="K28" s="25" t="n">
        <v>2.96</v>
      </c>
      <c r="L28" s="25" t="n">
        <v>2.99</v>
      </c>
      <c r="M28" s="25" t="n">
        <v>3.09</v>
      </c>
    </row>
    <row r="29" ht="15" customHeight="1" s="22">
      <c r="A29" s="25" t="inlineStr">
        <is>
          <t>P17</t>
        </is>
      </c>
      <c r="B29" s="25" t="inlineStr">
        <is>
          <t>P</t>
        </is>
      </c>
      <c r="C29" s="25" t="inlineStr">
        <is>
          <t>lin20m</t>
        </is>
      </c>
      <c r="D29" s="25" t="n">
        <v>2.82</v>
      </c>
      <c r="E29" s="25" t="n">
        <v>2.91</v>
      </c>
      <c r="F29" s="25" t="n">
        <v>2.94</v>
      </c>
      <c r="G29" s="25" t="n">
        <v>3.04</v>
      </c>
      <c r="H29" s="25" t="n">
        <v>99</v>
      </c>
      <c r="I29" s="25" t="inlineStr">
        <is>
          <t>P17lin20m</t>
        </is>
      </c>
      <c r="J29" s="25" t="n">
        <v>2.82</v>
      </c>
      <c r="K29" s="25" t="n">
        <v>2.91</v>
      </c>
      <c r="L29" s="25" t="n">
        <v>2.94</v>
      </c>
      <c r="M29" s="25" t="n">
        <v>3.04</v>
      </c>
    </row>
    <row r="30" ht="15" customHeight="1" s="22">
      <c r="A30" s="25" t="inlineStr">
        <is>
          <t>P18</t>
        </is>
      </c>
      <c r="B30" s="25" t="inlineStr">
        <is>
          <t>P</t>
        </is>
      </c>
      <c r="C30" s="25" t="inlineStr">
        <is>
          <t>lin20m</t>
        </is>
      </c>
      <c r="D30" s="25" t="n">
        <v>2.79</v>
      </c>
      <c r="E30" s="25" t="n">
        <v>2.86</v>
      </c>
      <c r="F30" s="25" t="n">
        <v>2.91</v>
      </c>
      <c r="G30" s="25" t="n">
        <v>3</v>
      </c>
      <c r="H30" s="25" t="n">
        <v>99</v>
      </c>
      <c r="I30" s="25" t="inlineStr">
        <is>
          <t>P18lin20m</t>
        </is>
      </c>
      <c r="J30" s="25" t="n">
        <v>2.79</v>
      </c>
      <c r="K30" s="25" t="n">
        <v>2.86</v>
      </c>
      <c r="L30" s="25" t="n">
        <v>2.91</v>
      </c>
      <c r="M30" s="25" t="n">
        <v>3</v>
      </c>
    </row>
    <row r="31" ht="15" customHeight="1" s="22">
      <c r="A31" s="25" t="inlineStr">
        <is>
          <t>P19</t>
        </is>
      </c>
      <c r="B31" s="25" t="inlineStr">
        <is>
          <t>P</t>
        </is>
      </c>
      <c r="C31" s="25" t="inlineStr">
        <is>
          <t>lin20m</t>
        </is>
      </c>
      <c r="D31" s="25" t="n">
        <v>2.74</v>
      </c>
      <c r="E31" s="25" t="n">
        <v>2.8</v>
      </c>
      <c r="F31" s="25" t="n">
        <v>2.86</v>
      </c>
      <c r="G31" s="25" t="n">
        <v>2.96</v>
      </c>
      <c r="H31" s="25" t="n">
        <v>99</v>
      </c>
      <c r="I31" s="25" t="inlineStr">
        <is>
          <t>P19lin20m</t>
        </is>
      </c>
      <c r="J31" s="25" t="n">
        <v>2.74</v>
      </c>
      <c r="K31" s="25" t="n">
        <v>2.8</v>
      </c>
      <c r="L31" s="25" t="n">
        <v>2.86</v>
      </c>
      <c r="M31" s="25" t="n">
        <v>2.96</v>
      </c>
    </row>
    <row r="32" ht="15" customHeight="1" s="22">
      <c r="A32" s="25" t="inlineStr">
        <is>
          <t>P10</t>
        </is>
      </c>
      <c r="B32" s="25" t="inlineStr">
        <is>
          <t>P</t>
        </is>
      </c>
      <c r="C32" s="25" t="inlineStr">
        <is>
          <t>lin30m</t>
        </is>
      </c>
      <c r="D32" s="25" t="n">
        <v>4.88</v>
      </c>
      <c r="E32" s="25" t="n">
        <v>5.01</v>
      </c>
      <c r="F32" s="25" t="n">
        <v>5.15</v>
      </c>
      <c r="G32" s="25" t="n">
        <v>5.31</v>
      </c>
      <c r="H32" s="25" t="n">
        <v>99</v>
      </c>
      <c r="I32" s="25" t="inlineStr">
        <is>
          <t>P10lin30m</t>
        </is>
      </c>
      <c r="J32" s="25" t="n">
        <v>4.88</v>
      </c>
      <c r="K32" s="25" t="n">
        <v>5.01</v>
      </c>
      <c r="L32" s="25" t="n">
        <v>5.15</v>
      </c>
      <c r="M32" s="25" t="n">
        <v>5.31</v>
      </c>
    </row>
    <row r="33" ht="15" customHeight="1" s="22">
      <c r="A33" s="25" t="inlineStr">
        <is>
          <t>P11</t>
        </is>
      </c>
      <c r="B33" s="25" t="inlineStr">
        <is>
          <t>P</t>
        </is>
      </c>
      <c r="C33" s="25" t="inlineStr">
        <is>
          <t>lin30m</t>
        </is>
      </c>
      <c r="D33" s="25" t="n">
        <v>4.73</v>
      </c>
      <c r="E33" s="25" t="n">
        <v>4.86</v>
      </c>
      <c r="F33" s="25" t="n">
        <v>4.99</v>
      </c>
      <c r="G33" s="25" t="n">
        <v>5.14</v>
      </c>
      <c r="H33" s="25" t="n">
        <v>99</v>
      </c>
      <c r="I33" s="25" t="inlineStr">
        <is>
          <t>P11lin30m</t>
        </is>
      </c>
      <c r="J33" s="25" t="n">
        <v>4.73</v>
      </c>
      <c r="K33" s="25" t="n">
        <v>4.86</v>
      </c>
      <c r="L33" s="25" t="n">
        <v>4.99</v>
      </c>
      <c r="M33" s="25" t="n">
        <v>5.14</v>
      </c>
    </row>
    <row r="34" ht="15" customHeight="1" s="22">
      <c r="A34" s="25" t="inlineStr">
        <is>
          <t>P12</t>
        </is>
      </c>
      <c r="B34" s="25" t="inlineStr">
        <is>
          <t>P</t>
        </is>
      </c>
      <c r="C34" s="25" t="inlineStr">
        <is>
          <t>lin30m</t>
        </is>
      </c>
      <c r="D34" s="25" t="n">
        <v>4.56</v>
      </c>
      <c r="E34" s="25" t="n">
        <v>4.69</v>
      </c>
      <c r="F34" s="25" t="n">
        <v>4.82</v>
      </c>
      <c r="G34" s="25" t="n">
        <v>4.97</v>
      </c>
      <c r="H34" s="25" t="n">
        <v>99</v>
      </c>
      <c r="I34" s="25" t="inlineStr">
        <is>
          <t>P12lin30m</t>
        </is>
      </c>
      <c r="J34" s="25" t="n">
        <v>4.56</v>
      </c>
      <c r="K34" s="25" t="n">
        <v>4.69</v>
      </c>
      <c r="L34" s="25" t="n">
        <v>4.82</v>
      </c>
      <c r="M34" s="25" t="n">
        <v>4.97</v>
      </c>
    </row>
    <row r="35" ht="15" customHeight="1" s="22">
      <c r="A35" s="25" t="inlineStr">
        <is>
          <t>P13</t>
        </is>
      </c>
      <c r="B35" s="25" t="inlineStr">
        <is>
          <t>P</t>
        </is>
      </c>
      <c r="C35" s="25" t="inlineStr">
        <is>
          <t>lin30m</t>
        </is>
      </c>
      <c r="D35" s="25" t="n">
        <v>4.37</v>
      </c>
      <c r="E35" s="25" t="n">
        <v>4.52</v>
      </c>
      <c r="F35" s="25" t="n">
        <v>4.65</v>
      </c>
      <c r="G35" s="25" t="n">
        <v>4.81</v>
      </c>
      <c r="H35" s="25" t="n">
        <v>99</v>
      </c>
      <c r="I35" s="25" t="inlineStr">
        <is>
          <t>P13lin30m</t>
        </is>
      </c>
      <c r="J35" s="25" t="n">
        <v>4.37</v>
      </c>
      <c r="K35" s="25" t="n">
        <v>4.52</v>
      </c>
      <c r="L35" s="25" t="n">
        <v>4.65</v>
      </c>
      <c r="M35" s="25" t="n">
        <v>4.81</v>
      </c>
    </row>
    <row r="36" ht="15" customHeight="1" s="22">
      <c r="A36" s="25" t="inlineStr">
        <is>
          <t>P14</t>
        </is>
      </c>
      <c r="B36" s="25" t="inlineStr">
        <is>
          <t>P</t>
        </is>
      </c>
      <c r="C36" s="25" t="inlineStr">
        <is>
          <t>lin30m</t>
        </is>
      </c>
      <c r="D36" s="25" t="n">
        <v>4.17</v>
      </c>
      <c r="E36" s="25" t="n">
        <v>4.29</v>
      </c>
      <c r="F36" s="25" t="n">
        <v>4.42</v>
      </c>
      <c r="G36" s="25" t="n">
        <v>4.57</v>
      </c>
      <c r="H36" s="25" t="n">
        <v>99</v>
      </c>
      <c r="I36" s="25" t="inlineStr">
        <is>
          <t>P14lin30m</t>
        </is>
      </c>
      <c r="J36" s="25" t="n">
        <v>4.17</v>
      </c>
      <c r="K36" s="25" t="n">
        <v>4.29</v>
      </c>
      <c r="L36" s="25" t="n">
        <v>4.42</v>
      </c>
      <c r="M36" s="25" t="n">
        <v>4.57</v>
      </c>
    </row>
    <row r="37" ht="15" customHeight="1" s="22">
      <c r="A37" s="25" t="inlineStr">
        <is>
          <t>P15</t>
        </is>
      </c>
      <c r="B37" s="25" t="inlineStr">
        <is>
          <t>P</t>
        </is>
      </c>
      <c r="C37" s="25" t="inlineStr">
        <is>
          <t>lin30m</t>
        </is>
      </c>
      <c r="D37" s="25" t="n">
        <v>4.08</v>
      </c>
      <c r="E37" s="25" t="n">
        <v>4.18</v>
      </c>
      <c r="F37" s="25" t="n">
        <v>4.28</v>
      </c>
      <c r="G37" s="25" t="n">
        <v>4.41</v>
      </c>
      <c r="H37" s="25" t="n">
        <v>99</v>
      </c>
      <c r="I37" s="25" t="inlineStr">
        <is>
          <t>P15lin30m</t>
        </is>
      </c>
      <c r="J37" s="25" t="n">
        <v>4.08</v>
      </c>
      <c r="K37" s="25" t="n">
        <v>4.18</v>
      </c>
      <c r="L37" s="25" t="n">
        <v>4.28</v>
      </c>
      <c r="M37" s="25" t="n">
        <v>4.41</v>
      </c>
    </row>
    <row r="38" ht="15" customHeight="1" s="22">
      <c r="A38" s="25" t="inlineStr">
        <is>
          <t>P16</t>
        </is>
      </c>
      <c r="B38" s="25" t="inlineStr">
        <is>
          <t>P</t>
        </is>
      </c>
      <c r="C38" s="25" t="inlineStr">
        <is>
          <t>lin30m</t>
        </is>
      </c>
      <c r="D38" s="25" t="n">
        <v>4.02</v>
      </c>
      <c r="E38" s="25" t="n">
        <v>4.13</v>
      </c>
      <c r="F38" s="25" t="n">
        <v>4.18</v>
      </c>
      <c r="G38" s="25" t="n">
        <v>4.31</v>
      </c>
      <c r="H38" s="25" t="n">
        <v>99</v>
      </c>
      <c r="I38" s="25" t="inlineStr">
        <is>
          <t>P16lin30m</t>
        </is>
      </c>
      <c r="J38" s="25" t="n">
        <v>4.02</v>
      </c>
      <c r="K38" s="25" t="n">
        <v>4.13</v>
      </c>
      <c r="L38" s="25" t="n">
        <v>4.18</v>
      </c>
      <c r="M38" s="25" t="n">
        <v>4.31</v>
      </c>
    </row>
    <row r="39" ht="15" customHeight="1" s="22">
      <c r="A39" s="25" t="inlineStr">
        <is>
          <t>P17</t>
        </is>
      </c>
      <c r="B39" s="25" t="inlineStr">
        <is>
          <t>P</t>
        </is>
      </c>
      <c r="C39" s="25" t="inlineStr">
        <is>
          <t>lin30m</t>
        </is>
      </c>
      <c r="D39" s="25" t="n">
        <v>3.96</v>
      </c>
      <c r="E39" s="25" t="n">
        <v>4.06</v>
      </c>
      <c r="F39" s="25" t="n">
        <v>4.11</v>
      </c>
      <c r="G39" s="25" t="n">
        <v>4.24</v>
      </c>
      <c r="H39" s="25" t="n">
        <v>99</v>
      </c>
      <c r="I39" s="25" t="inlineStr">
        <is>
          <t>P17lin30m</t>
        </is>
      </c>
      <c r="J39" s="25" t="n">
        <v>3.96</v>
      </c>
      <c r="K39" s="25" t="n">
        <v>4.06</v>
      </c>
      <c r="L39" s="25" t="n">
        <v>4.11</v>
      </c>
      <c r="M39" s="25" t="n">
        <v>4.24</v>
      </c>
    </row>
    <row r="40" ht="15" customHeight="1" s="22">
      <c r="A40" s="25" t="inlineStr">
        <is>
          <t>P18</t>
        </is>
      </c>
      <c r="B40" s="25" t="inlineStr">
        <is>
          <t>P</t>
        </is>
      </c>
      <c r="C40" s="25" t="inlineStr">
        <is>
          <t>lin30m</t>
        </is>
      </c>
      <c r="D40" s="25" t="n">
        <v>3.86</v>
      </c>
      <c r="E40" s="25" t="n">
        <v>3.99</v>
      </c>
      <c r="F40" s="25" t="n">
        <v>4.07</v>
      </c>
      <c r="G40" s="25" t="n">
        <v>4.19</v>
      </c>
      <c r="H40" s="25" t="n">
        <v>99</v>
      </c>
      <c r="I40" s="25" t="inlineStr">
        <is>
          <t>P18lin30m</t>
        </is>
      </c>
      <c r="J40" s="25" t="n">
        <v>3.86</v>
      </c>
      <c r="K40" s="25" t="n">
        <v>3.99</v>
      </c>
      <c r="L40" s="25" t="n">
        <v>4.07</v>
      </c>
      <c r="M40" s="25" t="n">
        <v>4.19</v>
      </c>
    </row>
    <row r="41" ht="15" customHeight="1" s="22">
      <c r="A41" s="25" t="inlineStr">
        <is>
          <t>P19</t>
        </is>
      </c>
      <c r="B41" s="25" t="inlineStr">
        <is>
          <t>P</t>
        </is>
      </c>
      <c r="C41" s="25" t="inlineStr">
        <is>
          <t>lin30m</t>
        </is>
      </c>
      <c r="D41" s="25" t="n">
        <v>3.81</v>
      </c>
      <c r="E41" s="25" t="n">
        <v>3.93</v>
      </c>
      <c r="F41" s="25" t="n">
        <v>4</v>
      </c>
      <c r="G41" s="25" t="n">
        <v>4.14</v>
      </c>
      <c r="H41" s="25" t="n">
        <v>99</v>
      </c>
      <c r="I41" s="25" t="inlineStr">
        <is>
          <t>P19lin30m</t>
        </is>
      </c>
      <c r="J41" s="25" t="n">
        <v>3.81</v>
      </c>
      <c r="K41" s="25" t="n">
        <v>3.93</v>
      </c>
      <c r="L41" s="25" t="n">
        <v>4</v>
      </c>
      <c r="M41" s="25" t="n">
        <v>4.14</v>
      </c>
    </row>
    <row r="42" ht="15" customHeight="1" s="22">
      <c r="A42" s="25" t="inlineStr">
        <is>
          <t>P10</t>
        </is>
      </c>
      <c r="B42" s="25" t="inlineStr">
        <is>
          <t>P</t>
        </is>
      </c>
      <c r="C42" s="25" t="inlineStr">
        <is>
          <t>kasirata</t>
        </is>
      </c>
      <c r="D42" s="25" t="n">
        <v>7.05</v>
      </c>
      <c r="E42" s="25" t="n">
        <v>7.18</v>
      </c>
      <c r="F42" s="25" t="n">
        <v>7.32</v>
      </c>
      <c r="G42" s="25" t="n">
        <v>7.44</v>
      </c>
      <c r="H42" s="25" t="n">
        <v>99</v>
      </c>
      <c r="I42" s="25" t="inlineStr">
        <is>
          <t>P10kasirata</t>
        </is>
      </c>
      <c r="J42" s="25" t="n">
        <v>7.05</v>
      </c>
      <c r="K42" s="25" t="n">
        <v>7.18</v>
      </c>
      <c r="L42" s="25" t="n">
        <v>7.32</v>
      </c>
      <c r="M42" s="25" t="n">
        <v>7.44</v>
      </c>
    </row>
    <row r="43" ht="15" customHeight="1" s="22">
      <c r="A43" s="25" t="inlineStr">
        <is>
          <t>P11</t>
        </is>
      </c>
      <c r="B43" s="25" t="inlineStr">
        <is>
          <t>P</t>
        </is>
      </c>
      <c r="C43" s="25" t="inlineStr">
        <is>
          <t>kasirata</t>
        </is>
      </c>
      <c r="D43" s="25" t="n">
        <v>6.9</v>
      </c>
      <c r="E43" s="25" t="n">
        <v>7.05</v>
      </c>
      <c r="F43" s="25" t="n">
        <v>7.19</v>
      </c>
      <c r="G43" s="25" t="n">
        <v>7.32</v>
      </c>
      <c r="H43" s="25" t="n">
        <v>99</v>
      </c>
      <c r="I43" s="25" t="inlineStr">
        <is>
          <t>P11kasirata</t>
        </is>
      </c>
      <c r="J43" s="25" t="n">
        <v>6.9</v>
      </c>
      <c r="K43" s="25" t="n">
        <v>7.05</v>
      </c>
      <c r="L43" s="25" t="n">
        <v>7.19</v>
      </c>
      <c r="M43" s="25" t="n">
        <v>7.32</v>
      </c>
    </row>
    <row r="44" ht="15" customHeight="1" s="22">
      <c r="A44" s="25" t="inlineStr">
        <is>
          <t>P12</t>
        </is>
      </c>
      <c r="B44" s="25" t="inlineStr">
        <is>
          <t>P</t>
        </is>
      </c>
      <c r="C44" s="25" t="inlineStr">
        <is>
          <t>kasirata</t>
        </is>
      </c>
      <c r="D44" s="25" t="n">
        <v>6.74</v>
      </c>
      <c r="E44" s="25" t="n">
        <v>6.9</v>
      </c>
      <c r="F44" s="25" t="n">
        <v>7.04</v>
      </c>
      <c r="G44" s="25" t="n">
        <v>7.17</v>
      </c>
      <c r="H44" s="25" t="n">
        <v>99</v>
      </c>
      <c r="I44" s="25" t="inlineStr">
        <is>
          <t>P12kasirata</t>
        </is>
      </c>
      <c r="J44" s="25" t="n">
        <v>6.74</v>
      </c>
      <c r="K44" s="25" t="n">
        <v>6.9</v>
      </c>
      <c r="L44" s="25" t="n">
        <v>7.04</v>
      </c>
      <c r="M44" s="25" t="n">
        <v>7.17</v>
      </c>
    </row>
    <row r="45" ht="15" customHeight="1" s="22">
      <c r="A45" s="25" t="inlineStr">
        <is>
          <t>P13</t>
        </is>
      </c>
      <c r="B45" s="25" t="inlineStr">
        <is>
          <t>P</t>
        </is>
      </c>
      <c r="C45" s="25" t="inlineStr">
        <is>
          <t>kasirata</t>
        </is>
      </c>
      <c r="D45" s="25" t="n">
        <v>6.58</v>
      </c>
      <c r="E45" s="25" t="n">
        <v>6.74</v>
      </c>
      <c r="F45" s="25" t="n">
        <v>6.91</v>
      </c>
      <c r="G45" s="25" t="n">
        <v>7.03</v>
      </c>
      <c r="H45" s="25" t="n">
        <v>99</v>
      </c>
      <c r="I45" s="25" t="inlineStr">
        <is>
          <t>P13kasirata</t>
        </is>
      </c>
      <c r="J45" s="25" t="n">
        <v>6.58</v>
      </c>
      <c r="K45" s="25" t="n">
        <v>6.74</v>
      </c>
      <c r="L45" s="25" t="n">
        <v>6.91</v>
      </c>
      <c r="M45" s="25" t="n">
        <v>7.03</v>
      </c>
    </row>
    <row r="46" ht="15" customHeight="1" s="22">
      <c r="A46" s="25" t="inlineStr">
        <is>
          <t>P14</t>
        </is>
      </c>
      <c r="B46" s="25" t="inlineStr">
        <is>
          <t>P</t>
        </is>
      </c>
      <c r="C46" s="25" t="inlineStr">
        <is>
          <t>kasirata</t>
        </is>
      </c>
      <c r="D46" s="25" t="n">
        <v>6.45</v>
      </c>
      <c r="E46" s="25" t="n">
        <v>6.6</v>
      </c>
      <c r="F46" s="25" t="n">
        <v>6.75</v>
      </c>
      <c r="G46" s="25" t="n">
        <v>6.93</v>
      </c>
      <c r="H46" s="25" t="n">
        <v>99</v>
      </c>
      <c r="I46" s="25" t="inlineStr">
        <is>
          <t>P14kasirata</t>
        </is>
      </c>
      <c r="J46" s="25" t="n">
        <v>6.45</v>
      </c>
      <c r="K46" s="25" t="n">
        <v>6.6</v>
      </c>
      <c r="L46" s="25" t="n">
        <v>6.75</v>
      </c>
      <c r="M46" s="25" t="n">
        <v>6.93</v>
      </c>
    </row>
    <row r="47" ht="15" customHeight="1" s="22">
      <c r="A47" s="25" t="inlineStr">
        <is>
          <t>P15</t>
        </is>
      </c>
      <c r="B47" s="25" t="inlineStr">
        <is>
          <t>P</t>
        </is>
      </c>
      <c r="C47" s="25" t="inlineStr">
        <is>
          <t>kasirata</t>
        </is>
      </c>
      <c r="D47" s="25" t="n">
        <v>6.37</v>
      </c>
      <c r="E47" s="25" t="n">
        <v>6.52</v>
      </c>
      <c r="F47" s="25" t="n">
        <v>6.67</v>
      </c>
      <c r="G47" s="25" t="n">
        <v>6.88</v>
      </c>
      <c r="H47" s="25" t="n">
        <v>99</v>
      </c>
      <c r="I47" s="25" t="inlineStr">
        <is>
          <t>P15kasirata</t>
        </is>
      </c>
      <c r="J47" s="25" t="n">
        <v>6.37</v>
      </c>
      <c r="K47" s="25" t="n">
        <v>6.52</v>
      </c>
      <c r="L47" s="25" t="n">
        <v>6.67</v>
      </c>
      <c r="M47" s="25" t="n">
        <v>6.88</v>
      </c>
    </row>
    <row r="48" ht="15" customHeight="1" s="22">
      <c r="A48" s="25" t="inlineStr">
        <is>
          <t>P16</t>
        </is>
      </c>
      <c r="B48" s="25" t="inlineStr">
        <is>
          <t>P</t>
        </is>
      </c>
      <c r="C48" s="25" t="inlineStr">
        <is>
          <t>kasirata</t>
        </is>
      </c>
      <c r="D48" s="25" t="n">
        <v>6.3</v>
      </c>
      <c r="E48" s="25" t="n">
        <v>6.46</v>
      </c>
      <c r="F48" s="25" t="n">
        <v>6.58</v>
      </c>
      <c r="G48" s="25" t="n">
        <v>6.8</v>
      </c>
      <c r="H48" s="25" t="n">
        <v>99</v>
      </c>
      <c r="I48" s="25" t="inlineStr">
        <is>
          <t>P16kasirata</t>
        </is>
      </c>
      <c r="J48" s="25" t="n">
        <v>6.3</v>
      </c>
      <c r="K48" s="25" t="n">
        <v>6.46</v>
      </c>
      <c r="L48" s="25" t="n">
        <v>6.58</v>
      </c>
      <c r="M48" s="25" t="n">
        <v>6.8</v>
      </c>
    </row>
    <row r="49" ht="15" customHeight="1" s="22">
      <c r="A49" s="25" t="inlineStr">
        <is>
          <t>P17</t>
        </is>
      </c>
      <c r="B49" s="25" t="inlineStr">
        <is>
          <t>P</t>
        </is>
      </c>
      <c r="C49" s="25" t="inlineStr">
        <is>
          <t>kasirata</t>
        </is>
      </c>
      <c r="D49" s="25" t="n">
        <v>6.19</v>
      </c>
      <c r="E49" s="25" t="n">
        <v>6.3</v>
      </c>
      <c r="F49" s="25" t="n">
        <v>6.45</v>
      </c>
      <c r="G49" s="25" t="n">
        <v>6.63</v>
      </c>
      <c r="H49" s="25" t="n">
        <v>99</v>
      </c>
      <c r="I49" s="25" t="inlineStr">
        <is>
          <t>P17kasirata</t>
        </is>
      </c>
      <c r="J49" s="25" t="n">
        <v>6.19</v>
      </c>
      <c r="K49" s="25" t="n">
        <v>6.3</v>
      </c>
      <c r="L49" s="25" t="n">
        <v>6.45</v>
      </c>
      <c r="M49" s="25" t="n">
        <v>6.63</v>
      </c>
    </row>
    <row r="50" ht="15" customHeight="1" s="22">
      <c r="A50" s="25" t="inlineStr">
        <is>
          <t>P18</t>
        </is>
      </c>
      <c r="B50" s="25" t="inlineStr">
        <is>
          <t>P</t>
        </is>
      </c>
      <c r="C50" s="25" t="inlineStr">
        <is>
          <t>kasirata</t>
        </is>
      </c>
      <c r="D50" s="25" t="n">
        <v>6.04</v>
      </c>
      <c r="E50" s="25" t="n">
        <v>6.18</v>
      </c>
      <c r="F50" s="25" t="n">
        <v>6.32</v>
      </c>
      <c r="G50" s="25" t="n">
        <v>6.48</v>
      </c>
      <c r="H50" s="25" t="n">
        <v>99</v>
      </c>
      <c r="I50" s="25" t="inlineStr">
        <is>
          <t>P18kasirata</t>
        </is>
      </c>
      <c r="J50" s="25" t="n">
        <v>6.04</v>
      </c>
      <c r="K50" s="25" t="n">
        <v>6.18</v>
      </c>
      <c r="L50" s="25" t="n">
        <v>6.32</v>
      </c>
      <c r="M50" s="25" t="n">
        <v>6.48</v>
      </c>
    </row>
    <row r="51" ht="15" customHeight="1" s="22">
      <c r="A51" s="25" t="inlineStr">
        <is>
          <t>P19</t>
        </is>
      </c>
      <c r="B51" s="25" t="inlineStr">
        <is>
          <t>P</t>
        </is>
      </c>
      <c r="C51" s="25" t="inlineStr">
        <is>
          <t>kasirata</t>
        </is>
      </c>
      <c r="D51" s="25" t="n">
        <v>5.95</v>
      </c>
      <c r="E51" s="25" t="n">
        <v>6.1</v>
      </c>
      <c r="F51" s="25" t="n">
        <v>6.23</v>
      </c>
      <c r="G51" s="25" t="n">
        <v>6.37</v>
      </c>
      <c r="H51" s="25" t="n">
        <v>99</v>
      </c>
      <c r="I51" s="25" t="inlineStr">
        <is>
          <t>P19kasirata</t>
        </is>
      </c>
      <c r="J51" s="25" t="n">
        <v>5.95</v>
      </c>
      <c r="K51" s="25" t="n">
        <v>6.1</v>
      </c>
      <c r="L51" s="25" t="n">
        <v>6.23</v>
      </c>
      <c r="M51" s="25" t="n">
        <v>6.37</v>
      </c>
    </row>
    <row r="52" ht="15" customHeight="1" s="22">
      <c r="A52" s="25" t="inlineStr">
        <is>
          <t>P10</t>
        </is>
      </c>
      <c r="B52" s="25" t="inlineStr">
        <is>
          <t>P</t>
        </is>
      </c>
      <c r="C52" s="25" t="inlineStr">
        <is>
          <t>smjuoksu</t>
        </is>
      </c>
      <c r="D52" s="25" t="n">
        <v>8.550000000000001</v>
      </c>
      <c r="E52" s="25" t="n">
        <v>8.83</v>
      </c>
      <c r="F52" s="25" t="n">
        <v>9.09</v>
      </c>
      <c r="G52" s="25" t="n">
        <v>9.4</v>
      </c>
      <c r="H52" s="25" t="n">
        <v>99</v>
      </c>
      <c r="I52" s="25" t="inlineStr">
        <is>
          <t>P10smjuoksu</t>
        </is>
      </c>
      <c r="J52" s="25" t="n">
        <v>8.550000000000001</v>
      </c>
      <c r="K52" s="25" t="n">
        <v>8.83</v>
      </c>
      <c r="L52" s="25" t="n">
        <v>9.09</v>
      </c>
      <c r="M52" s="25" t="n">
        <v>9.4</v>
      </c>
    </row>
    <row r="53" ht="15" customHeight="1" s="22">
      <c r="A53" s="25" t="inlineStr">
        <is>
          <t>P11</t>
        </is>
      </c>
      <c r="B53" s="25" t="inlineStr">
        <is>
          <t>P</t>
        </is>
      </c>
      <c r="C53" s="25" t="inlineStr">
        <is>
          <t>smjuoksu</t>
        </is>
      </c>
      <c r="D53" s="25" t="n">
        <v>8.210000000000001</v>
      </c>
      <c r="E53" s="25" t="n">
        <v>8.5</v>
      </c>
      <c r="F53" s="25" t="n">
        <v>8.73</v>
      </c>
      <c r="G53" s="25" t="n">
        <v>9.029999999999999</v>
      </c>
      <c r="H53" s="25" t="n">
        <v>99</v>
      </c>
      <c r="I53" s="25" t="inlineStr">
        <is>
          <t>P11smjuoksu</t>
        </is>
      </c>
      <c r="J53" s="25" t="n">
        <v>8.210000000000001</v>
      </c>
      <c r="K53" s="25" t="n">
        <v>8.5</v>
      </c>
      <c r="L53" s="25" t="n">
        <v>8.73</v>
      </c>
      <c r="M53" s="25" t="n">
        <v>9.029999999999999</v>
      </c>
    </row>
    <row r="54" ht="15" customHeight="1" s="22">
      <c r="A54" s="25" t="inlineStr">
        <is>
          <t>P12</t>
        </is>
      </c>
      <c r="B54" s="25" t="inlineStr">
        <is>
          <t>P</t>
        </is>
      </c>
      <c r="C54" s="25" t="inlineStr">
        <is>
          <t>smjuoksu</t>
        </is>
      </c>
      <c r="D54" s="25" t="n">
        <v>8</v>
      </c>
      <c r="E54" s="25" t="n">
        <v>8.210000000000001</v>
      </c>
      <c r="F54" s="25" t="n">
        <v>8.449999999999999</v>
      </c>
      <c r="G54" s="25" t="n">
        <v>8.73</v>
      </c>
      <c r="H54" s="25" t="n">
        <v>99</v>
      </c>
      <c r="I54" s="25" t="inlineStr">
        <is>
          <t>P12smjuoksu</t>
        </is>
      </c>
      <c r="J54" s="25" t="n">
        <v>8</v>
      </c>
      <c r="K54" s="25" t="n">
        <v>8.210000000000001</v>
      </c>
      <c r="L54" s="25" t="n">
        <v>8.449999999999999</v>
      </c>
      <c r="M54" s="25" t="n">
        <v>8.73</v>
      </c>
    </row>
    <row r="55" ht="15" customHeight="1" s="22">
      <c r="A55" s="25" t="inlineStr">
        <is>
          <t>P13</t>
        </is>
      </c>
      <c r="B55" s="25" t="inlineStr">
        <is>
          <t>P</t>
        </is>
      </c>
      <c r="C55" s="25" t="inlineStr">
        <is>
          <t>smjuoksu</t>
        </is>
      </c>
      <c r="D55" s="25" t="n">
        <v>7.73</v>
      </c>
      <c r="E55" s="25" t="n">
        <v>7.99</v>
      </c>
      <c r="F55" s="25" t="n">
        <v>8.220000000000001</v>
      </c>
      <c r="G55" s="25" t="n">
        <v>8.49</v>
      </c>
      <c r="H55" s="25" t="n">
        <v>99</v>
      </c>
      <c r="I55" s="25" t="inlineStr">
        <is>
          <t>P13smjuoksu</t>
        </is>
      </c>
      <c r="J55" s="25" t="n">
        <v>7.73</v>
      </c>
      <c r="K55" s="25" t="n">
        <v>7.99</v>
      </c>
      <c r="L55" s="25" t="n">
        <v>8.220000000000001</v>
      </c>
      <c r="M55" s="25" t="n">
        <v>8.49</v>
      </c>
    </row>
    <row r="56" ht="15" customHeight="1" s="22">
      <c r="A56" s="25" t="inlineStr">
        <is>
          <t>P14</t>
        </is>
      </c>
      <c r="B56" s="25" t="inlineStr">
        <is>
          <t>P</t>
        </is>
      </c>
      <c r="C56" s="25" t="inlineStr">
        <is>
          <t>smjuoksu</t>
        </is>
      </c>
      <c r="D56" s="25" t="n">
        <v>7.58</v>
      </c>
      <c r="E56" s="25" t="n">
        <v>7.84</v>
      </c>
      <c r="F56" s="25" t="n">
        <v>8.08</v>
      </c>
      <c r="G56" s="25" t="n">
        <v>8.359999999999999</v>
      </c>
      <c r="H56" s="25" t="n">
        <v>99</v>
      </c>
      <c r="I56" s="25" t="inlineStr">
        <is>
          <t>P14smjuoksu</t>
        </is>
      </c>
      <c r="J56" s="25" t="n">
        <v>7.58</v>
      </c>
      <c r="K56" s="25" t="n">
        <v>7.84</v>
      </c>
      <c r="L56" s="25" t="n">
        <v>8.08</v>
      </c>
      <c r="M56" s="25" t="n">
        <v>8.359999999999999</v>
      </c>
    </row>
    <row r="57" ht="15" customHeight="1" s="22">
      <c r="A57" s="25" t="inlineStr">
        <is>
          <t>P15</t>
        </is>
      </c>
      <c r="B57" s="25" t="inlineStr">
        <is>
          <t>P</t>
        </is>
      </c>
      <c r="C57" s="25" t="inlineStr">
        <is>
          <t>smjuoksu</t>
        </is>
      </c>
      <c r="D57" s="25" t="n">
        <v>7.45</v>
      </c>
      <c r="E57" s="25" t="n">
        <v>7.64</v>
      </c>
      <c r="F57" s="25" t="n">
        <v>7.82</v>
      </c>
      <c r="G57" s="25" t="n">
        <v>8.029999999999999</v>
      </c>
      <c r="H57" s="25" t="n">
        <v>99</v>
      </c>
      <c r="I57" s="25" t="inlineStr">
        <is>
          <t>P15smjuoksu</t>
        </is>
      </c>
      <c r="J57" s="25" t="n">
        <v>7.45</v>
      </c>
      <c r="K57" s="25" t="n">
        <v>7.64</v>
      </c>
      <c r="L57" s="25" t="n">
        <v>7.82</v>
      </c>
      <c r="M57" s="25" t="n">
        <v>8.029999999999999</v>
      </c>
    </row>
    <row r="58" ht="15" customHeight="1" s="22">
      <c r="A58" s="25" t="inlineStr">
        <is>
          <t>P16</t>
        </is>
      </c>
      <c r="B58" s="25" t="inlineStr">
        <is>
          <t>P</t>
        </is>
      </c>
      <c r="C58" s="25" t="inlineStr">
        <is>
          <t>smjuoksu</t>
        </is>
      </c>
      <c r="D58" s="25" t="n">
        <v>7.35</v>
      </c>
      <c r="E58" s="25" t="n">
        <v>7.49</v>
      </c>
      <c r="F58" s="25" t="n">
        <v>7.61</v>
      </c>
      <c r="G58" s="25" t="n">
        <v>7.8</v>
      </c>
      <c r="H58" s="25" t="n">
        <v>99</v>
      </c>
      <c r="I58" s="25" t="inlineStr">
        <is>
          <t>P16smjuoksu</t>
        </is>
      </c>
      <c r="J58" s="25" t="n">
        <v>7.35</v>
      </c>
      <c r="K58" s="25" t="n">
        <v>7.49</v>
      </c>
      <c r="L58" s="25" t="n">
        <v>7.61</v>
      </c>
      <c r="M58" s="25" t="n">
        <v>7.8</v>
      </c>
    </row>
    <row r="59" ht="15" customHeight="1" s="22">
      <c r="A59" s="25" t="inlineStr">
        <is>
          <t>P17</t>
        </is>
      </c>
      <c r="B59" s="25" t="inlineStr">
        <is>
          <t>P</t>
        </is>
      </c>
      <c r="C59" s="25" t="inlineStr">
        <is>
          <t>smjuoksu</t>
        </is>
      </c>
      <c r="D59" s="25" t="n">
        <v>7.27</v>
      </c>
      <c r="E59" s="25" t="n">
        <v>7.42</v>
      </c>
      <c r="F59" s="25" t="n">
        <v>7.52</v>
      </c>
      <c r="G59" s="25" t="n">
        <v>7.73</v>
      </c>
      <c r="H59" s="25" t="n">
        <v>99</v>
      </c>
      <c r="I59" s="25" t="inlineStr">
        <is>
          <t>P17smjuoksu</t>
        </is>
      </c>
      <c r="J59" s="25" t="n">
        <v>7.27</v>
      </c>
      <c r="K59" s="25" t="n">
        <v>7.42</v>
      </c>
      <c r="L59" s="25" t="n">
        <v>7.52</v>
      </c>
      <c r="M59" s="25" t="n">
        <v>7.73</v>
      </c>
    </row>
    <row r="60" ht="15" customHeight="1" s="22">
      <c r="A60" s="25" t="inlineStr">
        <is>
          <t>P18</t>
        </is>
      </c>
      <c r="B60" s="25" t="inlineStr">
        <is>
          <t>P</t>
        </is>
      </c>
      <c r="C60" s="25" t="inlineStr">
        <is>
          <t>smjuoksu</t>
        </is>
      </c>
      <c r="D60" s="25" t="n">
        <v>7.19</v>
      </c>
      <c r="E60" s="25" t="n">
        <v>7.36</v>
      </c>
      <c r="F60" s="25" t="n">
        <v>7.45</v>
      </c>
      <c r="G60" s="25" t="n">
        <v>7.66</v>
      </c>
      <c r="H60" s="25" t="n">
        <v>99</v>
      </c>
      <c r="I60" s="25" t="inlineStr">
        <is>
          <t>P18smjuoksu</t>
        </is>
      </c>
      <c r="J60" s="25" t="n">
        <v>7.19</v>
      </c>
      <c r="K60" s="25" t="n">
        <v>7.36</v>
      </c>
      <c r="L60" s="25" t="n">
        <v>7.45</v>
      </c>
      <c r="M60" s="25" t="n">
        <v>7.66</v>
      </c>
    </row>
    <row r="61" ht="15" customHeight="1" s="22">
      <c r="A61" s="25" t="inlineStr">
        <is>
          <t>P19</t>
        </is>
      </c>
      <c r="B61" s="25" t="inlineStr">
        <is>
          <t>P</t>
        </is>
      </c>
      <c r="C61" s="25" t="inlineStr">
        <is>
          <t>smjuoksu</t>
        </is>
      </c>
      <c r="D61" s="25" t="n">
        <v>7.11</v>
      </c>
      <c r="E61" s="25" t="n">
        <v>7.28</v>
      </c>
      <c r="F61" s="25" t="n">
        <v>7.38</v>
      </c>
      <c r="G61" s="25" t="n">
        <v>7.58</v>
      </c>
      <c r="H61" s="25" t="n">
        <v>99</v>
      </c>
      <c r="I61" s="25" t="inlineStr">
        <is>
          <t>P19smjuoksu</t>
        </is>
      </c>
      <c r="J61" s="25" t="n">
        <v>7.11</v>
      </c>
      <c r="K61" s="25" t="n">
        <v>7.28</v>
      </c>
      <c r="L61" s="25" t="n">
        <v>7.38</v>
      </c>
      <c r="M61" s="25" t="n">
        <v>7.58</v>
      </c>
    </row>
    <row r="62" ht="15" customHeight="1" s="22">
      <c r="A62" s="25" t="inlineStr">
        <is>
          <t>P10</t>
        </is>
      </c>
      <c r="B62" s="25" t="inlineStr">
        <is>
          <t>P</t>
        </is>
      </c>
      <c r="C62" s="25" t="inlineStr">
        <is>
          <t>smpallo</t>
        </is>
      </c>
      <c r="D62" s="25" t="n">
        <v>9.890000000000001</v>
      </c>
      <c r="E62" s="25" t="n">
        <v>10.24</v>
      </c>
      <c r="F62" s="25" t="n">
        <v>10.58</v>
      </c>
      <c r="G62" s="25" t="n">
        <v>11.02</v>
      </c>
      <c r="H62" s="25" t="n">
        <v>99</v>
      </c>
      <c r="I62" s="25" t="inlineStr">
        <is>
          <t>P10smpallo</t>
        </is>
      </c>
      <c r="J62" s="25" t="n">
        <v>9.890000000000001</v>
      </c>
      <c r="K62" s="25" t="n">
        <v>10.24</v>
      </c>
      <c r="L62" s="25" t="n">
        <v>10.58</v>
      </c>
      <c r="M62" s="25" t="n">
        <v>11.02</v>
      </c>
    </row>
    <row r="63" ht="15" customHeight="1" s="22">
      <c r="A63" s="25" t="inlineStr">
        <is>
          <t>P11</t>
        </is>
      </c>
      <c r="B63" s="25" t="inlineStr">
        <is>
          <t>P</t>
        </is>
      </c>
      <c r="C63" s="25" t="inlineStr">
        <is>
          <t>smpallo</t>
        </is>
      </c>
      <c r="D63" s="25" t="n">
        <v>9.51</v>
      </c>
      <c r="E63" s="25" t="n">
        <v>9.84</v>
      </c>
      <c r="F63" s="25" t="n">
        <v>10.14</v>
      </c>
      <c r="G63" s="25" t="n">
        <v>10.53</v>
      </c>
      <c r="H63" s="25" t="n">
        <v>99</v>
      </c>
      <c r="I63" s="25" t="inlineStr">
        <is>
          <t>P11smpallo</t>
        </is>
      </c>
      <c r="J63" s="25" t="n">
        <v>9.51</v>
      </c>
      <c r="K63" s="25" t="n">
        <v>9.84</v>
      </c>
      <c r="L63" s="25" t="n">
        <v>10.14</v>
      </c>
      <c r="M63" s="25" t="n">
        <v>10.53</v>
      </c>
    </row>
    <row r="64" ht="15" customHeight="1" s="22">
      <c r="A64" s="25" t="inlineStr">
        <is>
          <t>P12</t>
        </is>
      </c>
      <c r="B64" s="25" t="inlineStr">
        <is>
          <t>P</t>
        </is>
      </c>
      <c r="C64" s="25" t="inlineStr">
        <is>
          <t>smpallo</t>
        </is>
      </c>
      <c r="D64" s="25" t="n">
        <v>9.27</v>
      </c>
      <c r="E64" s="25" t="n">
        <v>9.58</v>
      </c>
      <c r="F64" s="25" t="n">
        <v>9.859999999999999</v>
      </c>
      <c r="G64" s="25" t="n">
        <v>10.18</v>
      </c>
      <c r="H64" s="25" t="n">
        <v>99</v>
      </c>
      <c r="I64" s="25" t="inlineStr">
        <is>
          <t>P12smpallo</t>
        </is>
      </c>
      <c r="J64" s="25" t="n">
        <v>9.27</v>
      </c>
      <c r="K64" s="25" t="n">
        <v>9.58</v>
      </c>
      <c r="L64" s="25" t="n">
        <v>9.859999999999999</v>
      </c>
      <c r="M64" s="25" t="n">
        <v>10.18</v>
      </c>
    </row>
    <row r="65" ht="15" customHeight="1" s="22">
      <c r="A65" s="25" t="inlineStr">
        <is>
          <t>P13</t>
        </is>
      </c>
      <c r="B65" s="25" t="inlineStr">
        <is>
          <t>P</t>
        </is>
      </c>
      <c r="C65" s="25" t="inlineStr">
        <is>
          <t>smpallo</t>
        </is>
      </c>
      <c r="D65" s="25" t="n">
        <v>8.98</v>
      </c>
      <c r="E65" s="25" t="n">
        <v>9.31</v>
      </c>
      <c r="F65" s="25" t="n">
        <v>9.56</v>
      </c>
      <c r="G65" s="25" t="n">
        <v>9.92</v>
      </c>
      <c r="H65" s="25" t="n">
        <v>99</v>
      </c>
      <c r="I65" s="25" t="inlineStr">
        <is>
          <t>P13smpallo</t>
        </is>
      </c>
      <c r="J65" s="25" t="n">
        <v>8.98</v>
      </c>
      <c r="K65" s="25" t="n">
        <v>9.31</v>
      </c>
      <c r="L65" s="25" t="n">
        <v>9.56</v>
      </c>
      <c r="M65" s="25" t="n">
        <v>9.92</v>
      </c>
    </row>
    <row r="66" ht="15" customHeight="1" s="22">
      <c r="A66" s="25" t="inlineStr">
        <is>
          <t>P14</t>
        </is>
      </c>
      <c r="B66" s="25" t="inlineStr">
        <is>
          <t>P</t>
        </is>
      </c>
      <c r="C66" s="25" t="inlineStr">
        <is>
          <t>smpallo</t>
        </is>
      </c>
      <c r="D66" s="25" t="n">
        <v>8.75</v>
      </c>
      <c r="E66" s="25" t="n">
        <v>9.039999999999999</v>
      </c>
      <c r="F66" s="25" t="n">
        <v>9.279999999999999</v>
      </c>
      <c r="G66" s="25" t="n">
        <v>9.57</v>
      </c>
      <c r="H66" s="25" t="n">
        <v>99</v>
      </c>
      <c r="I66" s="25" t="inlineStr">
        <is>
          <t>P14smpallo</t>
        </is>
      </c>
      <c r="J66" s="25" t="n">
        <v>8.75</v>
      </c>
      <c r="K66" s="25" t="n">
        <v>9.039999999999999</v>
      </c>
      <c r="L66" s="25" t="n">
        <v>9.279999999999999</v>
      </c>
      <c r="M66" s="25" t="n">
        <v>9.57</v>
      </c>
    </row>
    <row r="67" ht="15" customHeight="1" s="22">
      <c r="A67" s="25" t="inlineStr">
        <is>
          <t>P15</t>
        </is>
      </c>
      <c r="B67" s="25" t="inlineStr">
        <is>
          <t>P</t>
        </is>
      </c>
      <c r="C67" s="25" t="inlineStr">
        <is>
          <t>smpallo</t>
        </is>
      </c>
      <c r="D67" s="25" t="n">
        <v>8.57</v>
      </c>
      <c r="E67" s="25" t="n">
        <v>8.83</v>
      </c>
      <c r="F67" s="25" t="n">
        <v>9.02</v>
      </c>
      <c r="G67" s="25" t="n">
        <v>9.31</v>
      </c>
      <c r="H67" s="25" t="n">
        <v>99</v>
      </c>
      <c r="I67" s="25" t="inlineStr">
        <is>
          <t>P15smpallo</t>
        </is>
      </c>
      <c r="J67" s="25" t="n">
        <v>8.57</v>
      </c>
      <c r="K67" s="25" t="n">
        <v>8.83</v>
      </c>
      <c r="L67" s="25" t="n">
        <v>9.02</v>
      </c>
      <c r="M67" s="25" t="n">
        <v>9.31</v>
      </c>
    </row>
    <row r="68" ht="15" customHeight="1" s="22">
      <c r="A68" s="25" t="inlineStr">
        <is>
          <t>P16</t>
        </is>
      </c>
      <c r="B68" s="25" t="inlineStr">
        <is>
          <t>P</t>
        </is>
      </c>
      <c r="C68" s="25" t="inlineStr">
        <is>
          <t>smpallo</t>
        </is>
      </c>
      <c r="D68" s="25" t="n">
        <v>8.390000000000001</v>
      </c>
      <c r="E68" s="25" t="n">
        <v>8.6</v>
      </c>
      <c r="F68" s="25" t="n">
        <v>8.74</v>
      </c>
      <c r="G68" s="25" t="n">
        <v>8.99</v>
      </c>
      <c r="H68" s="25" t="n">
        <v>99</v>
      </c>
      <c r="I68" s="25" t="inlineStr">
        <is>
          <t>P16smpallo</t>
        </is>
      </c>
      <c r="J68" s="25" t="n">
        <v>8.390000000000001</v>
      </c>
      <c r="K68" s="25" t="n">
        <v>8.6</v>
      </c>
      <c r="L68" s="25" t="n">
        <v>8.74</v>
      </c>
      <c r="M68" s="25" t="n">
        <v>8.99</v>
      </c>
    </row>
    <row r="69" ht="15" customHeight="1" s="22">
      <c r="A69" s="25" t="inlineStr">
        <is>
          <t>P17</t>
        </is>
      </c>
      <c r="B69" s="25" t="inlineStr">
        <is>
          <t>P</t>
        </is>
      </c>
      <c r="C69" s="25" t="inlineStr">
        <is>
          <t>smpallo</t>
        </is>
      </c>
      <c r="D69" s="25" t="n">
        <v>8.300000000000001</v>
      </c>
      <c r="E69" s="25" t="n">
        <v>8.470000000000001</v>
      </c>
      <c r="F69" s="25" t="n">
        <v>8.6</v>
      </c>
      <c r="G69" s="25" t="n">
        <v>8.82</v>
      </c>
      <c r="H69" s="25" t="n">
        <v>99</v>
      </c>
      <c r="I69" s="25" t="inlineStr">
        <is>
          <t>P17smpallo</t>
        </is>
      </c>
      <c r="J69" s="25" t="n">
        <v>8.300000000000001</v>
      </c>
      <c r="K69" s="25" t="n">
        <v>8.470000000000001</v>
      </c>
      <c r="L69" s="25" t="n">
        <v>8.6</v>
      </c>
      <c r="M69" s="25" t="n">
        <v>8.82</v>
      </c>
    </row>
    <row r="70" ht="15" customHeight="1" s="22">
      <c r="A70" s="25" t="inlineStr">
        <is>
          <t>P18</t>
        </is>
      </c>
      <c r="B70" s="25" t="inlineStr">
        <is>
          <t>P</t>
        </is>
      </c>
      <c r="C70" s="25" t="inlineStr">
        <is>
          <t>smpallo</t>
        </is>
      </c>
      <c r="D70" s="25" t="n">
        <v>8.210000000000001</v>
      </c>
      <c r="E70" s="25" t="n">
        <v>8.41</v>
      </c>
      <c r="F70" s="25" t="n">
        <v>8.52</v>
      </c>
      <c r="G70" s="25" t="n">
        <v>8.74</v>
      </c>
      <c r="H70" s="25" t="n">
        <v>99</v>
      </c>
      <c r="I70" s="25" t="inlineStr">
        <is>
          <t>P18smpallo</t>
        </is>
      </c>
      <c r="J70" s="25" t="n">
        <v>8.210000000000001</v>
      </c>
      <c r="K70" s="25" t="n">
        <v>8.41</v>
      </c>
      <c r="L70" s="25" t="n">
        <v>8.52</v>
      </c>
      <c r="M70" s="25" t="n">
        <v>8.74</v>
      </c>
    </row>
    <row r="71" ht="15" customHeight="1" s="22">
      <c r="A71" s="25" t="inlineStr">
        <is>
          <t>P19</t>
        </is>
      </c>
      <c r="B71" s="25" t="inlineStr">
        <is>
          <t>P</t>
        </is>
      </c>
      <c r="C71" s="25" t="inlineStr">
        <is>
          <t>smpallo</t>
        </is>
      </c>
      <c r="D71" s="25" t="n">
        <v>8.130000000000001</v>
      </c>
      <c r="E71" s="25" t="n">
        <v>8.32</v>
      </c>
      <c r="F71" s="25" t="n">
        <v>8.44</v>
      </c>
      <c r="G71" s="25" t="n">
        <v>8.65</v>
      </c>
      <c r="H71" s="25" t="n">
        <v>99</v>
      </c>
      <c r="I71" s="25" t="inlineStr">
        <is>
          <t>P19smpallo</t>
        </is>
      </c>
      <c r="J71" s="25" t="n">
        <v>8.130000000000001</v>
      </c>
      <c r="K71" s="25" t="n">
        <v>8.32</v>
      </c>
      <c r="L71" s="25" t="n">
        <v>8.44</v>
      </c>
      <c r="M71" s="25" t="n">
        <v>8.65</v>
      </c>
    </row>
    <row r="72" ht="15" customHeight="1" s="22">
      <c r="A72" s="25" t="inlineStr">
        <is>
          <t>P10</t>
        </is>
      </c>
      <c r="B72" s="25" t="inlineStr">
        <is>
          <t>P</t>
        </is>
      </c>
      <c r="C72" s="25" t="inlineStr">
        <is>
          <t>cmj</t>
        </is>
      </c>
      <c r="D72" s="25" t="n">
        <v>27.3</v>
      </c>
      <c r="E72" s="25" t="n">
        <v>25.5</v>
      </c>
      <c r="F72" s="25" t="n">
        <v>23.7</v>
      </c>
      <c r="G72" s="25" t="n">
        <v>22.3</v>
      </c>
      <c r="H72" s="25" t="n">
        <v>0</v>
      </c>
      <c r="I72" s="25" t="inlineStr">
        <is>
          <t>P10cmj</t>
        </is>
      </c>
      <c r="J72" s="25" t="n">
        <v>27.3</v>
      </c>
      <c r="K72" s="25" t="n">
        <v>25.5</v>
      </c>
      <c r="L72" s="25" t="n">
        <v>23.7</v>
      </c>
      <c r="M72" s="25" t="n">
        <v>22.3</v>
      </c>
    </row>
    <row r="73" ht="15" customHeight="1" s="22">
      <c r="A73" s="25" t="inlineStr">
        <is>
          <t>P11</t>
        </is>
      </c>
      <c r="B73" s="25" t="inlineStr">
        <is>
          <t>P</t>
        </is>
      </c>
      <c r="C73" s="25" t="inlineStr">
        <is>
          <t>cmj</t>
        </is>
      </c>
      <c r="D73" s="25" t="n">
        <v>29.3</v>
      </c>
      <c r="E73" s="25" t="n">
        <v>27.2</v>
      </c>
      <c r="F73" s="25" t="n">
        <v>25.5</v>
      </c>
      <c r="G73" s="25" t="n">
        <v>23.5</v>
      </c>
      <c r="H73" s="25" t="n">
        <v>0</v>
      </c>
      <c r="I73" s="25" t="inlineStr">
        <is>
          <t>P11cmj</t>
        </is>
      </c>
      <c r="J73" s="25" t="n">
        <v>29.3</v>
      </c>
      <c r="K73" s="25" t="n">
        <v>27.2</v>
      </c>
      <c r="L73" s="25" t="n">
        <v>25.5</v>
      </c>
      <c r="M73" s="25" t="n">
        <v>23.5</v>
      </c>
    </row>
    <row r="74" ht="15" customHeight="1" s="22">
      <c r="A74" s="25" t="inlineStr">
        <is>
          <t>P12</t>
        </is>
      </c>
      <c r="B74" s="25" t="inlineStr">
        <is>
          <t>P</t>
        </is>
      </c>
      <c r="C74" s="25" t="inlineStr">
        <is>
          <t>cmj</t>
        </is>
      </c>
      <c r="D74" s="25" t="n">
        <v>32.2</v>
      </c>
      <c r="E74" s="25" t="n">
        <v>29.1</v>
      </c>
      <c r="F74" s="25" t="n">
        <v>27.2</v>
      </c>
      <c r="G74" s="25" t="n">
        <v>25.2</v>
      </c>
      <c r="H74" s="25" t="n">
        <v>0</v>
      </c>
      <c r="I74" s="25" t="inlineStr">
        <is>
          <t>P12cmj</t>
        </is>
      </c>
      <c r="J74" s="25" t="n">
        <v>32.2</v>
      </c>
      <c r="K74" s="25" t="n">
        <v>29.1</v>
      </c>
      <c r="L74" s="25" t="n">
        <v>27.2</v>
      </c>
      <c r="M74" s="25" t="n">
        <v>25.2</v>
      </c>
    </row>
    <row r="75" ht="15" customHeight="1" s="22">
      <c r="A75" s="25" t="inlineStr">
        <is>
          <t>P13</t>
        </is>
      </c>
      <c r="B75" s="25" t="inlineStr">
        <is>
          <t>P</t>
        </is>
      </c>
      <c r="C75" s="25" t="inlineStr">
        <is>
          <t>cmj</t>
        </is>
      </c>
      <c r="D75" s="25" t="n">
        <v>35.2</v>
      </c>
      <c r="E75" s="25" t="n">
        <v>31.4</v>
      </c>
      <c r="F75" s="25" t="n">
        <v>29.4</v>
      </c>
      <c r="G75" s="25" t="n">
        <v>27.3</v>
      </c>
      <c r="H75" s="25" t="n">
        <v>0</v>
      </c>
      <c r="I75" s="25" t="inlineStr">
        <is>
          <t>P13cmj</t>
        </is>
      </c>
      <c r="J75" s="25" t="n">
        <v>35.2</v>
      </c>
      <c r="K75" s="25" t="n">
        <v>31.4</v>
      </c>
      <c r="L75" s="25" t="n">
        <v>29.4</v>
      </c>
      <c r="M75" s="25" t="n">
        <v>27.3</v>
      </c>
    </row>
    <row r="76" ht="15" customHeight="1" s="22">
      <c r="A76" s="25" t="inlineStr">
        <is>
          <t>P14</t>
        </is>
      </c>
      <c r="B76" s="25" t="inlineStr">
        <is>
          <t>P</t>
        </is>
      </c>
      <c r="C76" s="25" t="inlineStr">
        <is>
          <t>cmj</t>
        </is>
      </c>
      <c r="D76" s="25" t="n">
        <v>38.1</v>
      </c>
      <c r="E76" s="25" t="n">
        <v>35.1</v>
      </c>
      <c r="F76" s="25" t="n">
        <v>32.8</v>
      </c>
      <c r="G76" s="25" t="n">
        <v>30.7</v>
      </c>
      <c r="H76" s="25" t="n">
        <v>0</v>
      </c>
      <c r="I76" s="25" t="inlineStr">
        <is>
          <t>P14cmj</t>
        </is>
      </c>
      <c r="J76" s="25" t="n">
        <v>38.1</v>
      </c>
      <c r="K76" s="25" t="n">
        <v>35.1</v>
      </c>
      <c r="L76" s="25" t="n">
        <v>32.8</v>
      </c>
      <c r="M76" s="25" t="n">
        <v>30.7</v>
      </c>
    </row>
    <row r="77" ht="15" customHeight="1" s="22">
      <c r="A77" s="25" t="inlineStr">
        <is>
          <t>P15</t>
        </is>
      </c>
      <c r="B77" s="25" t="inlineStr">
        <is>
          <t>P</t>
        </is>
      </c>
      <c r="C77" s="25" t="inlineStr">
        <is>
          <t>cmj</t>
        </is>
      </c>
      <c r="D77" s="25" t="n">
        <v>41.3</v>
      </c>
      <c r="E77" s="25" t="n">
        <v>37.5</v>
      </c>
      <c r="F77" s="25" t="n">
        <v>35.4</v>
      </c>
      <c r="G77" s="25" t="n">
        <v>33</v>
      </c>
      <c r="H77" s="25" t="n">
        <v>0</v>
      </c>
      <c r="I77" s="25" t="inlineStr">
        <is>
          <t>P15cmj</t>
        </is>
      </c>
      <c r="J77" s="25" t="n">
        <v>41.3</v>
      </c>
      <c r="K77" s="25" t="n">
        <v>37.5</v>
      </c>
      <c r="L77" s="25" t="n">
        <v>35.4</v>
      </c>
      <c r="M77" s="25" t="n">
        <v>33</v>
      </c>
    </row>
    <row r="78" ht="15" customHeight="1" s="22">
      <c r="A78" s="25" t="inlineStr">
        <is>
          <t>P16</t>
        </is>
      </c>
      <c r="B78" s="25" t="inlineStr">
        <is>
          <t>P</t>
        </is>
      </c>
      <c r="C78" s="25" t="inlineStr">
        <is>
          <t>cmj</t>
        </is>
      </c>
      <c r="D78" s="25" t="n">
        <v>43</v>
      </c>
      <c r="E78" s="25" t="n">
        <v>39.6</v>
      </c>
      <c r="F78" s="25" t="n">
        <v>37.9</v>
      </c>
      <c r="G78" s="25" t="n">
        <v>35.2</v>
      </c>
      <c r="H78" s="25" t="n">
        <v>0</v>
      </c>
      <c r="I78" s="25" t="inlineStr">
        <is>
          <t>P16cmj</t>
        </is>
      </c>
      <c r="J78" s="25" t="n">
        <v>43</v>
      </c>
      <c r="K78" s="25" t="n">
        <v>39.6</v>
      </c>
      <c r="L78" s="25" t="n">
        <v>37.9</v>
      </c>
      <c r="M78" s="25" t="n">
        <v>35.2</v>
      </c>
    </row>
    <row r="79" ht="15" customHeight="1" s="22">
      <c r="A79" s="25" t="inlineStr">
        <is>
          <t>P17</t>
        </is>
      </c>
      <c r="B79" s="25" t="inlineStr">
        <is>
          <t>P</t>
        </is>
      </c>
      <c r="C79" s="25" t="inlineStr">
        <is>
          <t>cmj</t>
        </is>
      </c>
      <c r="D79" s="25" t="n">
        <v>45.1</v>
      </c>
      <c r="E79" s="25" t="n">
        <v>42.1</v>
      </c>
      <c r="F79" s="25" t="n">
        <v>40.3</v>
      </c>
      <c r="G79" s="25" t="n">
        <v>36.4</v>
      </c>
      <c r="H79" s="25" t="n">
        <v>0</v>
      </c>
      <c r="I79" s="25" t="inlineStr">
        <is>
          <t>P17cmj</t>
        </is>
      </c>
      <c r="J79" s="25" t="n">
        <v>45.1</v>
      </c>
      <c r="K79" s="25" t="n">
        <v>42.1</v>
      </c>
      <c r="L79" s="25" t="n">
        <v>40.3</v>
      </c>
      <c r="M79" s="25" t="n">
        <v>36.4</v>
      </c>
    </row>
    <row r="80" ht="15" customHeight="1" s="22">
      <c r="A80" s="25" t="inlineStr">
        <is>
          <t>P18</t>
        </is>
      </c>
      <c r="B80" s="25" t="inlineStr">
        <is>
          <t>P</t>
        </is>
      </c>
      <c r="C80" s="25" t="inlineStr">
        <is>
          <t>cmj</t>
        </is>
      </c>
      <c r="D80" s="25" t="n">
        <v>46.6</v>
      </c>
      <c r="E80" s="25" t="n">
        <v>44.2</v>
      </c>
      <c r="F80" s="25" t="n">
        <v>41.9</v>
      </c>
      <c r="G80" s="25" t="n">
        <v>37.9</v>
      </c>
      <c r="H80" s="25" t="n">
        <v>0</v>
      </c>
      <c r="I80" s="25" t="inlineStr">
        <is>
          <t>P18cmj</t>
        </is>
      </c>
      <c r="J80" s="25" t="n">
        <v>46.6</v>
      </c>
      <c r="K80" s="25" t="n">
        <v>44.2</v>
      </c>
      <c r="L80" s="25" t="n">
        <v>41.9</v>
      </c>
      <c r="M80" s="25" t="n">
        <v>37.9</v>
      </c>
    </row>
    <row r="81" ht="15" customHeight="1" s="22">
      <c r="A81" s="25" t="inlineStr">
        <is>
          <t>P19</t>
        </is>
      </c>
      <c r="B81" s="25" t="inlineStr">
        <is>
          <t>P</t>
        </is>
      </c>
      <c r="C81" s="25" t="inlineStr">
        <is>
          <t>cmj</t>
        </is>
      </c>
      <c r="D81" s="25" t="n">
        <v>48.5</v>
      </c>
      <c r="E81" s="25" t="n">
        <v>46</v>
      </c>
      <c r="F81" s="25" t="n">
        <v>44.3</v>
      </c>
      <c r="G81" s="25" t="n">
        <v>39.3</v>
      </c>
      <c r="H81" s="25" t="n">
        <v>0</v>
      </c>
      <c r="I81" s="25" t="inlineStr">
        <is>
          <t>P19cmj</t>
        </is>
      </c>
      <c r="J81" s="25" t="n">
        <v>48.5</v>
      </c>
      <c r="K81" s="25" t="n">
        <v>46</v>
      </c>
      <c r="L81" s="25" t="n">
        <v>44.3</v>
      </c>
      <c r="M81" s="25" t="n">
        <v>39.3</v>
      </c>
    </row>
    <row r="82" ht="15" customHeight="1" s="22">
      <c r="A82" s="25" t="inlineStr">
        <is>
          <t>P10</t>
        </is>
      </c>
      <c r="B82" s="25" t="inlineStr">
        <is>
          <t>P</t>
        </is>
      </c>
      <c r="C82" s="25" t="inlineStr">
        <is>
          <t>bronco</t>
        </is>
      </c>
      <c r="D82" s="25" t="n">
        <v>4</v>
      </c>
      <c r="E82" s="25" t="n">
        <v>3.9</v>
      </c>
      <c r="F82" s="25" t="n">
        <v>3.8</v>
      </c>
      <c r="G82" s="25" t="n">
        <v>3.7</v>
      </c>
      <c r="H82" s="25" t="n">
        <v>0</v>
      </c>
      <c r="I82" s="25" t="inlineStr">
        <is>
          <t>P10bronco</t>
        </is>
      </c>
      <c r="J82" s="25" t="n">
        <v>4</v>
      </c>
      <c r="K82" s="25" t="n">
        <v>3.9</v>
      </c>
      <c r="L82" s="25" t="n">
        <v>3.8</v>
      </c>
      <c r="M82" s="25" t="n">
        <v>3.7</v>
      </c>
    </row>
    <row r="83" ht="15" customHeight="1" s="22">
      <c r="A83" s="25" t="inlineStr">
        <is>
          <t>P11</t>
        </is>
      </c>
      <c r="B83" s="25" t="inlineStr">
        <is>
          <t>P</t>
        </is>
      </c>
      <c r="C83" s="25" t="inlineStr">
        <is>
          <t>bronco</t>
        </is>
      </c>
      <c r="D83" s="25" t="n">
        <v>4.2</v>
      </c>
      <c r="E83" s="25" t="n">
        <v>4.1</v>
      </c>
      <c r="F83" s="25" t="n">
        <v>4</v>
      </c>
      <c r="G83" s="25" t="n">
        <v>3.9</v>
      </c>
      <c r="H83" s="25" t="n">
        <v>0</v>
      </c>
      <c r="I83" s="25" t="inlineStr">
        <is>
          <t>P11bronco</t>
        </is>
      </c>
      <c r="J83" s="25" t="n">
        <v>4.2</v>
      </c>
      <c r="K83" s="25" t="n">
        <v>4.1</v>
      </c>
      <c r="L83" s="25" t="n">
        <v>4</v>
      </c>
      <c r="M83" s="25" t="n">
        <v>3.9</v>
      </c>
    </row>
    <row r="84" ht="15" customHeight="1" s="22">
      <c r="A84" s="25" t="inlineStr">
        <is>
          <t>P12</t>
        </is>
      </c>
      <c r="B84" s="25" t="inlineStr">
        <is>
          <t>P</t>
        </is>
      </c>
      <c r="C84" s="25" t="inlineStr">
        <is>
          <t>bronco</t>
        </is>
      </c>
      <c r="D84" s="25" t="n">
        <v>4.4</v>
      </c>
      <c r="E84" s="25" t="n">
        <v>4.31</v>
      </c>
      <c r="F84" s="25" t="n">
        <v>4.2</v>
      </c>
      <c r="G84" s="25" t="n">
        <v>4</v>
      </c>
      <c r="H84" s="25" t="n">
        <v>0</v>
      </c>
      <c r="I84" s="25" t="inlineStr">
        <is>
          <t>P12bronco</t>
        </is>
      </c>
      <c r="J84" s="25" t="n">
        <v>4.4</v>
      </c>
      <c r="K84" s="25" t="n">
        <v>4.31</v>
      </c>
      <c r="L84" s="25" t="n">
        <v>4.2</v>
      </c>
      <c r="M84" s="25" t="n">
        <v>4</v>
      </c>
    </row>
    <row r="85" ht="15" customHeight="1" s="22">
      <c r="A85" s="25" t="inlineStr">
        <is>
          <t>P13</t>
        </is>
      </c>
      <c r="B85" s="25" t="inlineStr">
        <is>
          <t>P</t>
        </is>
      </c>
      <c r="C85" s="25" t="inlineStr">
        <is>
          <t>bronco</t>
        </is>
      </c>
      <c r="D85" s="25" t="n">
        <v>4.5</v>
      </c>
      <c r="E85" s="25" t="n">
        <v>4.4</v>
      </c>
      <c r="F85" s="25" t="n">
        <v>4.3</v>
      </c>
      <c r="G85" s="25" t="n">
        <v>4.16</v>
      </c>
      <c r="H85" s="25" t="n">
        <v>0</v>
      </c>
      <c r="I85" s="25" t="inlineStr">
        <is>
          <t>P13bronco</t>
        </is>
      </c>
      <c r="J85" s="25" t="n">
        <v>4.5</v>
      </c>
      <c r="K85" s="25" t="n">
        <v>4.4</v>
      </c>
      <c r="L85" s="25" t="n">
        <v>4.3</v>
      </c>
      <c r="M85" s="25" t="n">
        <v>4.16</v>
      </c>
    </row>
    <row r="86" ht="15" customHeight="1" s="22">
      <c r="A86" s="25" t="inlineStr">
        <is>
          <t>P14</t>
        </is>
      </c>
      <c r="B86" s="25" t="inlineStr">
        <is>
          <t>P</t>
        </is>
      </c>
      <c r="C86" s="25" t="inlineStr">
        <is>
          <t>bronco</t>
        </is>
      </c>
      <c r="D86" s="25" t="n">
        <v>4.6</v>
      </c>
      <c r="E86" s="25" t="n">
        <v>4.5</v>
      </c>
      <c r="F86" s="25" t="n">
        <v>4.4</v>
      </c>
      <c r="G86" s="25" t="n">
        <v>4.24</v>
      </c>
      <c r="H86" s="25" t="n">
        <v>0</v>
      </c>
      <c r="I86" s="25" t="inlineStr">
        <is>
          <t>P14bronco</t>
        </is>
      </c>
      <c r="J86" s="25" t="n">
        <v>4.6</v>
      </c>
      <c r="K86" s="25" t="n">
        <v>4.5</v>
      </c>
      <c r="L86" s="25" t="n">
        <v>4.4</v>
      </c>
      <c r="M86" s="25" t="n">
        <v>4.24</v>
      </c>
    </row>
    <row r="87" ht="15" customHeight="1" s="22">
      <c r="A87" s="25" t="inlineStr">
        <is>
          <t>P15</t>
        </is>
      </c>
      <c r="B87" s="25" t="inlineStr">
        <is>
          <t>P</t>
        </is>
      </c>
      <c r="C87" s="25" t="inlineStr">
        <is>
          <t>bronco</t>
        </is>
      </c>
      <c r="D87" s="25" t="n">
        <v>4.7</v>
      </c>
      <c r="E87" s="25" t="n">
        <v>4.6</v>
      </c>
      <c r="F87" s="25" t="n">
        <v>4.5</v>
      </c>
      <c r="G87" s="25" t="n">
        <v>4.35</v>
      </c>
      <c r="H87" s="25" t="n">
        <v>0</v>
      </c>
      <c r="I87" s="25" t="inlineStr">
        <is>
          <t>P15bronco</t>
        </is>
      </c>
      <c r="J87" s="25" t="n">
        <v>4.7</v>
      </c>
      <c r="K87" s="25" t="n">
        <v>4.6</v>
      </c>
      <c r="L87" s="25" t="n">
        <v>4.5</v>
      </c>
      <c r="M87" s="25" t="n">
        <v>4.35</v>
      </c>
    </row>
    <row r="88" ht="15" customHeight="1" s="22">
      <c r="A88" s="25" t="inlineStr">
        <is>
          <t>P16</t>
        </is>
      </c>
      <c r="B88" s="25" t="inlineStr">
        <is>
          <t>P</t>
        </is>
      </c>
      <c r="C88" s="25" t="inlineStr">
        <is>
          <t>bronco</t>
        </is>
      </c>
      <c r="D88" s="25" t="n">
        <v>4.8</v>
      </c>
      <c r="E88" s="25" t="n">
        <v>4.7</v>
      </c>
      <c r="F88" s="25" t="n">
        <v>4.6</v>
      </c>
      <c r="G88" s="25" t="n">
        <v>4.45</v>
      </c>
      <c r="H88" s="25" t="n">
        <v>0</v>
      </c>
      <c r="I88" s="25" t="inlineStr">
        <is>
          <t>P16bronco</t>
        </is>
      </c>
      <c r="J88" s="25" t="n">
        <v>4.8</v>
      </c>
      <c r="K88" s="25" t="n">
        <v>4.7</v>
      </c>
      <c r="L88" s="25" t="n">
        <v>4.6</v>
      </c>
      <c r="M88" s="25" t="n">
        <v>4.45</v>
      </c>
    </row>
    <row r="89" ht="15" customHeight="1" s="22">
      <c r="A89" s="25" t="inlineStr">
        <is>
          <t>P17</t>
        </is>
      </c>
      <c r="B89" s="25" t="inlineStr">
        <is>
          <t>P</t>
        </is>
      </c>
      <c r="C89" s="25" t="inlineStr">
        <is>
          <t>bronco</t>
        </is>
      </c>
      <c r="D89" s="25" t="n">
        <v>4.9</v>
      </c>
      <c r="E89" s="25" t="n">
        <v>4.79</v>
      </c>
      <c r="F89" s="25" t="n">
        <v>4.6</v>
      </c>
      <c r="G89" s="25" t="n">
        <v>4.45</v>
      </c>
      <c r="H89" s="25" t="n">
        <v>0</v>
      </c>
      <c r="I89" s="25" t="inlineStr">
        <is>
          <t>P17bronco</t>
        </is>
      </c>
      <c r="J89" s="25" t="n">
        <v>4.9</v>
      </c>
      <c r="K89" s="25" t="n">
        <v>4.79</v>
      </c>
      <c r="L89" s="25" t="n">
        <v>4.6</v>
      </c>
      <c r="M89" s="25" t="n">
        <v>4.45</v>
      </c>
    </row>
    <row r="90" ht="15" customHeight="1" s="22">
      <c r="A90" s="25" t="inlineStr">
        <is>
          <t>P18</t>
        </is>
      </c>
      <c r="B90" s="25" t="inlineStr">
        <is>
          <t>P</t>
        </is>
      </c>
      <c r="C90" s="25" t="inlineStr">
        <is>
          <t>bronco</t>
        </is>
      </c>
      <c r="D90" s="25" t="n">
        <v>5</v>
      </c>
      <c r="E90" s="25" t="n">
        <v>4.9</v>
      </c>
      <c r="F90" s="25" t="n">
        <v>4.7</v>
      </c>
      <c r="G90" s="25" t="n">
        <v>4.55</v>
      </c>
      <c r="H90" s="25" t="n">
        <v>0</v>
      </c>
      <c r="I90" s="25" t="inlineStr">
        <is>
          <t>P18bronco</t>
        </is>
      </c>
      <c r="J90" s="25" t="n">
        <v>5</v>
      </c>
      <c r="K90" s="25" t="n">
        <v>4.9</v>
      </c>
      <c r="L90" s="25" t="n">
        <v>4.7</v>
      </c>
      <c r="M90" s="25" t="n">
        <v>4.55</v>
      </c>
    </row>
    <row r="91" ht="15" customHeight="1" s="22">
      <c r="A91" s="25" t="inlineStr">
        <is>
          <t>P19</t>
        </is>
      </c>
      <c r="B91" s="25" t="inlineStr">
        <is>
          <t>P</t>
        </is>
      </c>
      <c r="C91" s="25" t="inlineStr">
        <is>
          <t>bronco</t>
        </is>
      </c>
      <c r="D91" s="25" t="n">
        <v>5.1</v>
      </c>
      <c r="E91" s="25" t="n">
        <v>4.9</v>
      </c>
      <c r="F91" s="25" t="n">
        <v>4.7</v>
      </c>
      <c r="G91" s="25" t="n">
        <v>4.55</v>
      </c>
      <c r="H91" s="25" t="n">
        <v>0</v>
      </c>
      <c r="I91" s="25" t="inlineStr">
        <is>
          <t>P19bronco</t>
        </is>
      </c>
      <c r="J91" s="25" t="n">
        <v>5.1</v>
      </c>
      <c r="K91" s="25" t="n">
        <v>4.9</v>
      </c>
      <c r="L91" s="25" t="n">
        <v>4.7</v>
      </c>
      <c r="M91" s="25" t="n">
        <v>4.55</v>
      </c>
    </row>
    <row r="92" ht="15" customHeight="1" s="22">
      <c r="A92" s="25" t="inlineStr">
        <is>
          <t>P10</t>
        </is>
      </c>
      <c r="B92" s="25" t="inlineStr">
        <is>
          <t>P</t>
        </is>
      </c>
      <c r="C92" s="25" t="inlineStr">
        <is>
          <t>pujottelu</t>
        </is>
      </c>
      <c r="D92" s="25" t="n">
        <v>26.3</v>
      </c>
      <c r="E92" s="25" t="n">
        <v>29.1</v>
      </c>
      <c r="F92" s="25" t="n">
        <v>99</v>
      </c>
      <c r="G92" s="25" t="n">
        <v>99</v>
      </c>
      <c r="H92" s="25" t="n">
        <v>99</v>
      </c>
      <c r="I92" s="25" t="inlineStr">
        <is>
          <t>P10pujottelu</t>
        </is>
      </c>
      <c r="J92" s="25" t="n">
        <v>26.3</v>
      </c>
      <c r="K92" s="25" t="n">
        <v>29.1</v>
      </c>
      <c r="L92" s="25" t="n">
        <v>99</v>
      </c>
      <c r="M92" s="25" t="n">
        <v>99</v>
      </c>
    </row>
    <row r="93" ht="15" customHeight="1" s="22">
      <c r="A93" s="25" t="inlineStr">
        <is>
          <t>P11</t>
        </is>
      </c>
      <c r="B93" s="25" t="inlineStr">
        <is>
          <t>P</t>
        </is>
      </c>
      <c r="C93" s="25" t="inlineStr">
        <is>
          <t>pujottelu</t>
        </is>
      </c>
      <c r="D93" s="25" t="n">
        <v>25</v>
      </c>
      <c r="E93" s="25" t="n">
        <v>27.8</v>
      </c>
      <c r="F93" s="25" t="n">
        <v>99</v>
      </c>
      <c r="G93" s="25" t="n">
        <v>99</v>
      </c>
      <c r="H93" s="25" t="n">
        <v>99</v>
      </c>
      <c r="I93" s="25" t="inlineStr">
        <is>
          <t>P11pujottelu</t>
        </is>
      </c>
      <c r="J93" s="25" t="n">
        <v>25</v>
      </c>
      <c r="K93" s="25" t="n">
        <v>27.8</v>
      </c>
      <c r="L93" s="25" t="n">
        <v>99</v>
      </c>
      <c r="M93" s="25" t="n">
        <v>99</v>
      </c>
    </row>
    <row r="94" ht="15" customHeight="1" s="22">
      <c r="A94" s="25" t="inlineStr">
        <is>
          <t>P12</t>
        </is>
      </c>
      <c r="B94" s="25" t="inlineStr">
        <is>
          <t>P</t>
        </is>
      </c>
      <c r="C94" s="25" t="inlineStr">
        <is>
          <t>pujottelu</t>
        </is>
      </c>
      <c r="D94" s="25" t="n">
        <v>24</v>
      </c>
      <c r="E94" s="25" t="n">
        <v>26.8</v>
      </c>
      <c r="F94" s="25" t="n">
        <v>99</v>
      </c>
      <c r="G94" s="25" t="n">
        <v>99</v>
      </c>
      <c r="H94" s="25" t="n">
        <v>99</v>
      </c>
      <c r="I94" s="25" t="inlineStr">
        <is>
          <t>P12pujottelu</t>
        </is>
      </c>
      <c r="J94" s="25" t="n">
        <v>24</v>
      </c>
      <c r="K94" s="25" t="n">
        <v>26.8</v>
      </c>
      <c r="L94" s="25" t="n">
        <v>99</v>
      </c>
      <c r="M94" s="25" t="n">
        <v>99</v>
      </c>
    </row>
    <row r="95" ht="15" customHeight="1" s="22">
      <c r="A95" s="25" t="inlineStr">
        <is>
          <t>P13</t>
        </is>
      </c>
      <c r="B95" s="25" t="inlineStr">
        <is>
          <t>P</t>
        </is>
      </c>
      <c r="C95" s="25" t="inlineStr">
        <is>
          <t>pujottelu</t>
        </is>
      </c>
      <c r="D95" s="25" t="n">
        <v>23.3</v>
      </c>
      <c r="E95" s="25" t="n">
        <v>26.1</v>
      </c>
      <c r="F95" s="25" t="n">
        <v>99</v>
      </c>
      <c r="G95" s="25" t="n">
        <v>99</v>
      </c>
      <c r="H95" s="25" t="n">
        <v>99</v>
      </c>
      <c r="I95" s="25" t="inlineStr">
        <is>
          <t>P13pujottelu</t>
        </is>
      </c>
      <c r="J95" s="25" t="n">
        <v>23.3</v>
      </c>
      <c r="K95" s="25" t="n">
        <v>26.1</v>
      </c>
      <c r="L95" s="25" t="n">
        <v>99</v>
      </c>
      <c r="M95" s="25" t="n">
        <v>99</v>
      </c>
    </row>
    <row r="96" ht="15" customHeight="1" s="22">
      <c r="A96" s="25" t="inlineStr">
        <is>
          <t>P14</t>
        </is>
      </c>
      <c r="B96" s="25" t="inlineStr">
        <is>
          <t>P</t>
        </is>
      </c>
      <c r="C96" s="25" t="inlineStr">
        <is>
          <t>pujottelu</t>
        </is>
      </c>
      <c r="D96" s="25" t="n">
        <v>22.5</v>
      </c>
      <c r="E96" s="25" t="n">
        <v>25.6</v>
      </c>
      <c r="F96" s="25" t="n">
        <v>99</v>
      </c>
      <c r="G96" s="25" t="n">
        <v>99</v>
      </c>
      <c r="H96" s="25" t="n">
        <v>99</v>
      </c>
      <c r="I96" s="25" t="inlineStr">
        <is>
          <t>P14pujottelu</t>
        </is>
      </c>
      <c r="J96" s="25" t="n">
        <v>22.5</v>
      </c>
      <c r="K96" s="25" t="n">
        <v>25.6</v>
      </c>
      <c r="L96" s="25" t="n">
        <v>99</v>
      </c>
      <c r="M96" s="25" t="n">
        <v>99</v>
      </c>
    </row>
    <row r="97" ht="15" customHeight="1" s="22">
      <c r="A97" s="25" t="inlineStr">
        <is>
          <t>P15</t>
        </is>
      </c>
      <c r="B97" s="25" t="inlineStr">
        <is>
          <t>P</t>
        </is>
      </c>
      <c r="C97" s="25" t="inlineStr">
        <is>
          <t>pujottelu</t>
        </is>
      </c>
      <c r="D97" s="25" t="n">
        <v>21.8</v>
      </c>
      <c r="E97" s="25" t="n">
        <v>25</v>
      </c>
      <c r="F97" s="25" t="n">
        <v>99</v>
      </c>
      <c r="G97" s="25" t="n">
        <v>99</v>
      </c>
      <c r="H97" s="25" t="n">
        <v>99</v>
      </c>
      <c r="I97" s="25" t="inlineStr">
        <is>
          <t>P15pujottelu</t>
        </is>
      </c>
      <c r="J97" s="25" t="n">
        <v>21.8</v>
      </c>
      <c r="K97" s="25" t="n">
        <v>25</v>
      </c>
      <c r="L97" s="25" t="n">
        <v>99</v>
      </c>
      <c r="M97" s="25" t="n">
        <v>99</v>
      </c>
    </row>
    <row r="98" ht="15" customHeight="1" s="22">
      <c r="A98" s="25" t="inlineStr">
        <is>
          <t>P10</t>
        </is>
      </c>
      <c r="B98" s="25" t="inlineStr">
        <is>
          <t>P</t>
        </is>
      </c>
      <c r="C98" s="25" t="inlineStr">
        <is>
          <t>syotto</t>
        </is>
      </c>
      <c r="D98" s="25" t="n">
        <v>38.7</v>
      </c>
      <c r="E98" s="25" t="n">
        <v>44.9</v>
      </c>
      <c r="F98" s="25" t="n">
        <v>99</v>
      </c>
      <c r="G98" s="25" t="n">
        <v>99</v>
      </c>
      <c r="H98" s="25" t="n">
        <v>99</v>
      </c>
      <c r="I98" s="25" t="inlineStr">
        <is>
          <t>P10syotto</t>
        </is>
      </c>
      <c r="J98" s="25" t="n">
        <v>38.7</v>
      </c>
      <c r="K98" s="25" t="n">
        <v>44.9</v>
      </c>
      <c r="L98" s="25" t="n">
        <v>99</v>
      </c>
      <c r="M98" s="25" t="n">
        <v>99</v>
      </c>
    </row>
    <row r="99" ht="15" customHeight="1" s="22">
      <c r="A99" s="25" t="inlineStr">
        <is>
          <t>P11</t>
        </is>
      </c>
      <c r="B99" s="25" t="inlineStr">
        <is>
          <t>P</t>
        </is>
      </c>
      <c r="C99" s="25" t="inlineStr">
        <is>
          <t>syotto</t>
        </is>
      </c>
      <c r="D99" s="25" t="n">
        <v>36</v>
      </c>
      <c r="E99" s="25" t="n">
        <v>41.4</v>
      </c>
      <c r="F99" s="25" t="n">
        <v>99</v>
      </c>
      <c r="G99" s="25" t="n">
        <v>99</v>
      </c>
      <c r="H99" s="25" t="n">
        <v>99</v>
      </c>
      <c r="I99" s="25" t="inlineStr">
        <is>
          <t>P11syotto</t>
        </is>
      </c>
      <c r="J99" s="25" t="n">
        <v>36</v>
      </c>
      <c r="K99" s="25" t="n">
        <v>41.4</v>
      </c>
      <c r="L99" s="25" t="n">
        <v>99</v>
      </c>
      <c r="M99" s="25" t="n">
        <v>99</v>
      </c>
    </row>
    <row r="100" ht="15" customHeight="1" s="22">
      <c r="A100" s="25" t="inlineStr">
        <is>
          <t>P12</t>
        </is>
      </c>
      <c r="B100" s="25" t="inlineStr">
        <is>
          <t>P</t>
        </is>
      </c>
      <c r="C100" s="25" t="inlineStr">
        <is>
          <t>syotto</t>
        </is>
      </c>
      <c r="D100" s="25" t="n">
        <v>35</v>
      </c>
      <c r="E100" s="25" t="n">
        <v>39.5</v>
      </c>
      <c r="F100" s="25" t="n">
        <v>99</v>
      </c>
      <c r="G100" s="25" t="n">
        <v>99</v>
      </c>
      <c r="H100" s="25" t="n">
        <v>99</v>
      </c>
      <c r="I100" s="25" t="inlineStr">
        <is>
          <t>P12syotto</t>
        </is>
      </c>
      <c r="J100" s="25" t="n">
        <v>35</v>
      </c>
      <c r="K100" s="25" t="n">
        <v>39.5</v>
      </c>
      <c r="L100" s="25" t="n">
        <v>99</v>
      </c>
      <c r="M100" s="25" t="n">
        <v>99</v>
      </c>
    </row>
    <row r="101" ht="15" customHeight="1" s="22">
      <c r="A101" s="25" t="inlineStr">
        <is>
          <t>P13</t>
        </is>
      </c>
      <c r="B101" s="25" t="inlineStr">
        <is>
          <t>P</t>
        </is>
      </c>
      <c r="C101" s="25" t="inlineStr">
        <is>
          <t>syotto</t>
        </is>
      </c>
      <c r="D101" s="25" t="n">
        <v>33</v>
      </c>
      <c r="E101" s="25" t="n">
        <v>38</v>
      </c>
      <c r="F101" s="25" t="n">
        <v>99</v>
      </c>
      <c r="G101" s="25" t="n">
        <v>99</v>
      </c>
      <c r="H101" s="25" t="n">
        <v>99</v>
      </c>
      <c r="I101" s="25" t="inlineStr">
        <is>
          <t>P13syotto</t>
        </is>
      </c>
      <c r="J101" s="25" t="n">
        <v>33</v>
      </c>
      <c r="K101" s="25" t="n">
        <v>38</v>
      </c>
      <c r="L101" s="25" t="n">
        <v>99</v>
      </c>
      <c r="M101" s="25" t="n">
        <v>99</v>
      </c>
    </row>
    <row r="102" ht="15" customHeight="1" s="22">
      <c r="A102" s="25" t="inlineStr">
        <is>
          <t>P14</t>
        </is>
      </c>
      <c r="B102" s="25" t="inlineStr">
        <is>
          <t>P</t>
        </is>
      </c>
      <c r="C102" s="25" t="inlineStr">
        <is>
          <t>syotto</t>
        </is>
      </c>
      <c r="D102" s="25" t="n">
        <v>31.1</v>
      </c>
      <c r="E102" s="25" t="n">
        <v>35</v>
      </c>
      <c r="F102" s="25" t="n">
        <v>99</v>
      </c>
      <c r="G102" s="25" t="n">
        <v>99</v>
      </c>
      <c r="H102" s="25" t="n">
        <v>99</v>
      </c>
      <c r="I102" s="25" t="inlineStr">
        <is>
          <t>P14syotto</t>
        </is>
      </c>
      <c r="J102" s="25" t="n">
        <v>31.1</v>
      </c>
      <c r="K102" s="25" t="n">
        <v>35</v>
      </c>
      <c r="L102" s="25" t="n">
        <v>99</v>
      </c>
      <c r="M102" s="25" t="n">
        <v>99</v>
      </c>
    </row>
    <row r="103" ht="15" customHeight="1" s="22">
      <c r="A103" s="25" t="inlineStr">
        <is>
          <t>P15</t>
        </is>
      </c>
      <c r="B103" s="25" t="inlineStr">
        <is>
          <t>P</t>
        </is>
      </c>
      <c r="C103" s="25" t="inlineStr">
        <is>
          <t>syotto</t>
        </is>
      </c>
      <c r="D103" s="25" t="n">
        <v>30</v>
      </c>
      <c r="E103" s="25" t="n">
        <v>34</v>
      </c>
      <c r="F103" s="25" t="n">
        <v>99</v>
      </c>
      <c r="G103" s="25" t="n">
        <v>99</v>
      </c>
      <c r="H103" s="25" t="n">
        <v>99</v>
      </c>
      <c r="I103" s="25" t="inlineStr">
        <is>
          <t>P15syotto</t>
        </is>
      </c>
      <c r="J103" s="25" t="n">
        <v>30</v>
      </c>
      <c r="K103" s="25" t="n">
        <v>34</v>
      </c>
      <c r="L103" s="25" t="n">
        <v>99</v>
      </c>
      <c r="M103" s="25" t="n">
        <v>99</v>
      </c>
    </row>
    <row r="104" ht="15" customHeight="1" s="22">
      <c r="A104" s="25" t="inlineStr">
        <is>
          <t>T10</t>
        </is>
      </c>
      <c r="B104" s="25" t="inlineStr">
        <is>
          <t>T</t>
        </is>
      </c>
      <c r="C104" s="25" t="inlineStr">
        <is>
          <t>lin5m</t>
        </is>
      </c>
      <c r="D104" s="25" t="n">
        <v>1.1</v>
      </c>
      <c r="E104" s="25" t="n">
        <v>1.13</v>
      </c>
      <c r="F104" s="25" t="n">
        <v>1.16</v>
      </c>
      <c r="G104" s="25" t="n">
        <v>1.2</v>
      </c>
      <c r="H104" s="25" t="n">
        <v>99</v>
      </c>
      <c r="I104" s="25" t="inlineStr">
        <is>
          <t>T10lin5m</t>
        </is>
      </c>
      <c r="J104" s="25" t="n">
        <v>1.1</v>
      </c>
      <c r="K104" s="25" t="n">
        <v>1.13</v>
      </c>
      <c r="L104" s="25" t="n">
        <v>1.16</v>
      </c>
      <c r="M104" s="25" t="n">
        <v>1.2</v>
      </c>
    </row>
    <row r="105" ht="15" customHeight="1" s="22">
      <c r="A105" s="25" t="inlineStr">
        <is>
          <t>T11</t>
        </is>
      </c>
      <c r="B105" s="25" t="inlineStr">
        <is>
          <t>T</t>
        </is>
      </c>
      <c r="C105" s="25" t="inlineStr">
        <is>
          <t>lin5m</t>
        </is>
      </c>
      <c r="D105" s="25" t="n">
        <v>1.07</v>
      </c>
      <c r="E105" s="25" t="n">
        <v>1.1</v>
      </c>
      <c r="F105" s="25" t="n">
        <v>1.13</v>
      </c>
      <c r="G105" s="25" t="n">
        <v>1.18</v>
      </c>
      <c r="H105" s="25" t="n">
        <v>99</v>
      </c>
      <c r="I105" s="25" t="inlineStr">
        <is>
          <t>T11lin5m</t>
        </is>
      </c>
      <c r="J105" s="25" t="n">
        <v>1.07</v>
      </c>
      <c r="K105" s="25" t="n">
        <v>1.1</v>
      </c>
      <c r="L105" s="25" t="n">
        <v>1.13</v>
      </c>
      <c r="M105" s="25" t="n">
        <v>1.18</v>
      </c>
    </row>
    <row r="106" ht="15" customHeight="1" s="22">
      <c r="A106" s="25" t="inlineStr">
        <is>
          <t>T12</t>
        </is>
      </c>
      <c r="B106" s="25" t="inlineStr">
        <is>
          <t>T</t>
        </is>
      </c>
      <c r="C106" s="25" t="inlineStr">
        <is>
          <t>lin5m</t>
        </is>
      </c>
      <c r="D106" s="25" t="n">
        <v>1.05</v>
      </c>
      <c r="E106" s="25" t="n">
        <v>1.08</v>
      </c>
      <c r="F106" s="25" t="n">
        <v>1.1</v>
      </c>
      <c r="G106" s="25" t="n">
        <v>1.14</v>
      </c>
      <c r="H106" s="25" t="n">
        <v>99</v>
      </c>
      <c r="I106" s="25" t="inlineStr">
        <is>
          <t>T12lin5m</t>
        </is>
      </c>
      <c r="J106" s="25" t="n">
        <v>1.05</v>
      </c>
      <c r="K106" s="25" t="n">
        <v>1.08</v>
      </c>
      <c r="L106" s="25" t="n">
        <v>1.1</v>
      </c>
      <c r="M106" s="25" t="n">
        <v>1.14</v>
      </c>
    </row>
    <row r="107" ht="15" customHeight="1" s="22">
      <c r="A107" s="25" t="inlineStr">
        <is>
          <t>T13</t>
        </is>
      </c>
      <c r="B107" s="25" t="inlineStr">
        <is>
          <t>T</t>
        </is>
      </c>
      <c r="C107" s="25" t="inlineStr">
        <is>
          <t>lin5m</t>
        </is>
      </c>
      <c r="D107" s="25" t="n">
        <v>1.03</v>
      </c>
      <c r="E107" s="25" t="n">
        <v>1.06</v>
      </c>
      <c r="F107" s="25" t="n">
        <v>1.08</v>
      </c>
      <c r="G107" s="25" t="n">
        <v>1.12</v>
      </c>
      <c r="H107" s="25" t="n">
        <v>99</v>
      </c>
      <c r="I107" s="25" t="inlineStr">
        <is>
          <t>T13lin5m</t>
        </is>
      </c>
      <c r="J107" s="25" t="n">
        <v>1.03</v>
      </c>
      <c r="K107" s="25" t="n">
        <v>1.06</v>
      </c>
      <c r="L107" s="25" t="n">
        <v>1.08</v>
      </c>
      <c r="M107" s="25" t="n">
        <v>1.12</v>
      </c>
    </row>
    <row r="108" ht="15" customHeight="1" s="22">
      <c r="A108" s="25" t="inlineStr">
        <is>
          <t>T14</t>
        </is>
      </c>
      <c r="B108" s="25" t="inlineStr">
        <is>
          <t>T</t>
        </is>
      </c>
      <c r="C108" s="25" t="inlineStr">
        <is>
          <t>lin5m</t>
        </is>
      </c>
      <c r="D108" s="25" t="n">
        <v>1.02</v>
      </c>
      <c r="E108" s="25" t="n">
        <v>1.05</v>
      </c>
      <c r="F108" s="25" t="n">
        <v>1.07</v>
      </c>
      <c r="G108" s="25" t="n">
        <v>1.11</v>
      </c>
      <c r="H108" s="25" t="n">
        <v>99</v>
      </c>
      <c r="I108" s="25" t="inlineStr">
        <is>
          <t>T14lin5m</t>
        </is>
      </c>
      <c r="J108" s="25" t="n">
        <v>1.02</v>
      </c>
      <c r="K108" s="25" t="n">
        <v>1.05</v>
      </c>
      <c r="L108" s="25" t="n">
        <v>1.07</v>
      </c>
      <c r="M108" s="25" t="n">
        <v>1.11</v>
      </c>
    </row>
    <row r="109" ht="15" customHeight="1" s="22">
      <c r="A109" s="25" t="inlineStr">
        <is>
          <t>T15</t>
        </is>
      </c>
      <c r="B109" s="25" t="inlineStr">
        <is>
          <t>T</t>
        </is>
      </c>
      <c r="C109" s="25" t="inlineStr">
        <is>
          <t>lin5m</t>
        </is>
      </c>
      <c r="D109" s="25" t="n">
        <v>1</v>
      </c>
      <c r="E109" s="25" t="n">
        <v>1.03</v>
      </c>
      <c r="F109" s="25" t="n">
        <v>1.06</v>
      </c>
      <c r="G109" s="25" t="n">
        <v>1.1</v>
      </c>
      <c r="H109" s="25" t="n">
        <v>99</v>
      </c>
      <c r="I109" s="25" t="inlineStr">
        <is>
          <t>T15lin5m</t>
        </is>
      </c>
      <c r="J109" s="25" t="n">
        <v>1</v>
      </c>
      <c r="K109" s="25" t="n">
        <v>1.03</v>
      </c>
      <c r="L109" s="25" t="n">
        <v>1.06</v>
      </c>
      <c r="M109" s="25" t="n">
        <v>1.1</v>
      </c>
    </row>
    <row r="110" ht="15" customHeight="1" s="22">
      <c r="A110" s="25" t="inlineStr">
        <is>
          <t>T16</t>
        </is>
      </c>
      <c r="B110" s="25" t="inlineStr">
        <is>
          <t>T</t>
        </is>
      </c>
      <c r="C110" s="25" t="inlineStr">
        <is>
          <t>lin5m</t>
        </is>
      </c>
      <c r="D110" s="25" t="n">
        <v>0.99</v>
      </c>
      <c r="E110" s="25" t="n">
        <v>1.02</v>
      </c>
      <c r="F110" s="25" t="n">
        <v>1.05</v>
      </c>
      <c r="G110" s="25" t="n">
        <v>1.09</v>
      </c>
      <c r="H110" s="25" t="n">
        <v>99</v>
      </c>
      <c r="I110" s="25" t="inlineStr">
        <is>
          <t>T16lin5m</t>
        </is>
      </c>
      <c r="J110" s="25" t="n">
        <v>0.99</v>
      </c>
      <c r="K110" s="25" t="n">
        <v>1.02</v>
      </c>
      <c r="L110" s="25" t="n">
        <v>1.05</v>
      </c>
      <c r="M110" s="25" t="n">
        <v>1.09</v>
      </c>
    </row>
    <row r="111" ht="15" customHeight="1" s="22">
      <c r="A111" s="25" t="inlineStr">
        <is>
          <t>T17</t>
        </is>
      </c>
      <c r="B111" s="25" t="inlineStr">
        <is>
          <t>T</t>
        </is>
      </c>
      <c r="C111" s="25" t="inlineStr">
        <is>
          <t>lin5m</t>
        </is>
      </c>
      <c r="D111" s="25" t="n">
        <v>0.98</v>
      </c>
      <c r="E111" s="25" t="n">
        <v>1.01</v>
      </c>
      <c r="F111" s="25" t="n">
        <v>1.04</v>
      </c>
      <c r="G111" s="25" t="n">
        <v>1.08</v>
      </c>
      <c r="H111" s="25" t="n">
        <v>99</v>
      </c>
      <c r="I111" s="25" t="inlineStr">
        <is>
          <t>T17lin5m</t>
        </is>
      </c>
      <c r="J111" s="25" t="n">
        <v>0.98</v>
      </c>
      <c r="K111" s="25" t="n">
        <v>1.01</v>
      </c>
      <c r="L111" s="25" t="n">
        <v>1.04</v>
      </c>
      <c r="M111" s="25" t="n">
        <v>1.08</v>
      </c>
    </row>
    <row r="112" ht="15" customHeight="1" s="22">
      <c r="A112" s="25" t="inlineStr">
        <is>
          <t>T18</t>
        </is>
      </c>
      <c r="B112" s="25" t="inlineStr">
        <is>
          <t>T</t>
        </is>
      </c>
      <c r="C112" s="25" t="inlineStr">
        <is>
          <t>lin5m</t>
        </is>
      </c>
      <c r="D112" s="25" t="n">
        <v>0.97</v>
      </c>
      <c r="E112" s="25" t="n">
        <v>1</v>
      </c>
      <c r="F112" s="25" t="n">
        <v>1.03</v>
      </c>
      <c r="G112" s="25" t="n">
        <v>1.07</v>
      </c>
      <c r="H112" s="25" t="n">
        <v>99</v>
      </c>
      <c r="I112" s="25" t="inlineStr">
        <is>
          <t>T18lin5m</t>
        </is>
      </c>
      <c r="J112" s="25" t="n">
        <v>0.97</v>
      </c>
      <c r="K112" s="25" t="n">
        <v>1</v>
      </c>
      <c r="L112" s="25" t="n">
        <v>1.03</v>
      </c>
      <c r="M112" s="25" t="n">
        <v>1.07</v>
      </c>
    </row>
    <row r="113" ht="15" customHeight="1" s="22">
      <c r="A113" s="25" t="inlineStr">
        <is>
          <t>T19</t>
        </is>
      </c>
      <c r="B113" s="25" t="inlineStr">
        <is>
          <t>T</t>
        </is>
      </c>
      <c r="C113" s="25" t="inlineStr">
        <is>
          <t>lin5m</t>
        </is>
      </c>
      <c r="D113" s="25" t="n">
        <v>0.96</v>
      </c>
      <c r="E113" s="25" t="n">
        <v>0.99</v>
      </c>
      <c r="F113" s="25" t="n">
        <v>1.02</v>
      </c>
      <c r="G113" s="25" t="n">
        <v>1.06</v>
      </c>
      <c r="H113" s="25" t="n">
        <v>99</v>
      </c>
      <c r="I113" s="25" t="inlineStr">
        <is>
          <t>T19lin5m</t>
        </is>
      </c>
      <c r="J113" s="25" t="n">
        <v>0.96</v>
      </c>
      <c r="K113" s="25" t="n">
        <v>0.99</v>
      </c>
      <c r="L113" s="25" t="n">
        <v>1.02</v>
      </c>
      <c r="M113" s="25" t="n">
        <v>1.06</v>
      </c>
    </row>
    <row r="114" ht="15" customHeight="1" s="22">
      <c r="A114" s="25" t="inlineStr">
        <is>
          <t>T10</t>
        </is>
      </c>
      <c r="B114" s="25" t="inlineStr">
        <is>
          <t>T</t>
        </is>
      </c>
      <c r="C114" s="25" t="inlineStr">
        <is>
          <t>lin10m</t>
        </is>
      </c>
      <c r="D114" s="25" t="n">
        <v>1.96</v>
      </c>
      <c r="E114" s="25" t="n">
        <v>2.01</v>
      </c>
      <c r="F114" s="25" t="n">
        <v>2.06</v>
      </c>
      <c r="G114" s="25" t="n">
        <v>2.12</v>
      </c>
      <c r="H114" s="25" t="n">
        <v>99</v>
      </c>
      <c r="I114" s="25" t="inlineStr">
        <is>
          <t>T10lin10m</t>
        </is>
      </c>
      <c r="J114" s="25" t="n">
        <v>1.96</v>
      </c>
      <c r="K114" s="25" t="n">
        <v>2.01</v>
      </c>
      <c r="L114" s="25" t="n">
        <v>2.06</v>
      </c>
      <c r="M114" s="25" t="n">
        <v>2.12</v>
      </c>
    </row>
    <row r="115" ht="15" customHeight="1" s="22">
      <c r="A115" s="25" t="inlineStr">
        <is>
          <t>T11</t>
        </is>
      </c>
      <c r="B115" s="25" t="inlineStr">
        <is>
          <t>T</t>
        </is>
      </c>
      <c r="C115" s="25" t="inlineStr">
        <is>
          <t>lin10m</t>
        </is>
      </c>
      <c r="D115" s="25" t="n">
        <v>1.91</v>
      </c>
      <c r="E115" s="25" t="n">
        <v>1.96</v>
      </c>
      <c r="F115" s="25" t="n">
        <v>2.01</v>
      </c>
      <c r="G115" s="25" t="n">
        <v>2.08</v>
      </c>
      <c r="H115" s="25" t="n">
        <v>99</v>
      </c>
      <c r="I115" s="25" t="inlineStr">
        <is>
          <t>T11lin10m</t>
        </is>
      </c>
      <c r="J115" s="25" t="n">
        <v>1.91</v>
      </c>
      <c r="K115" s="25" t="n">
        <v>1.96</v>
      </c>
      <c r="L115" s="25" t="n">
        <v>2.01</v>
      </c>
      <c r="M115" s="25" t="n">
        <v>2.08</v>
      </c>
    </row>
    <row r="116" ht="15" customHeight="1" s="22">
      <c r="A116" s="25" t="inlineStr">
        <is>
          <t>T12</t>
        </is>
      </c>
      <c r="B116" s="25" t="inlineStr">
        <is>
          <t>T</t>
        </is>
      </c>
      <c r="C116" s="25" t="inlineStr">
        <is>
          <t>lin10m</t>
        </is>
      </c>
      <c r="D116" s="25" t="n">
        <v>1.85</v>
      </c>
      <c r="E116" s="25" t="n">
        <v>1.91</v>
      </c>
      <c r="F116" s="25" t="n">
        <v>1.95</v>
      </c>
      <c r="G116" s="25" t="n">
        <v>2.01</v>
      </c>
      <c r="H116" s="25" t="n">
        <v>99</v>
      </c>
      <c r="I116" s="25" t="inlineStr">
        <is>
          <t>T12lin10m</t>
        </is>
      </c>
      <c r="J116" s="25" t="n">
        <v>1.85</v>
      </c>
      <c r="K116" s="25" t="n">
        <v>1.91</v>
      </c>
      <c r="L116" s="25" t="n">
        <v>1.95</v>
      </c>
      <c r="M116" s="25" t="n">
        <v>2.01</v>
      </c>
    </row>
    <row r="117" ht="15" customHeight="1" s="22">
      <c r="A117" s="25" t="inlineStr">
        <is>
          <t>T13</t>
        </is>
      </c>
      <c r="B117" s="25" t="inlineStr">
        <is>
          <t>T</t>
        </is>
      </c>
      <c r="C117" s="25" t="inlineStr">
        <is>
          <t>lin10m</t>
        </is>
      </c>
      <c r="D117" s="25" t="n">
        <v>1.83</v>
      </c>
      <c r="E117" s="25" t="n">
        <v>1.87</v>
      </c>
      <c r="F117" s="25" t="n">
        <v>1.91</v>
      </c>
      <c r="G117" s="25" t="n">
        <v>1.96</v>
      </c>
      <c r="H117" s="25" t="n">
        <v>99</v>
      </c>
      <c r="I117" s="25" t="inlineStr">
        <is>
          <t>T13lin10m</t>
        </is>
      </c>
      <c r="J117" s="25" t="n">
        <v>1.83</v>
      </c>
      <c r="K117" s="25" t="n">
        <v>1.87</v>
      </c>
      <c r="L117" s="25" t="n">
        <v>1.91</v>
      </c>
      <c r="M117" s="25" t="n">
        <v>1.96</v>
      </c>
    </row>
    <row r="118" ht="15" customHeight="1" s="22">
      <c r="A118" s="25" t="inlineStr">
        <is>
          <t>T14</t>
        </is>
      </c>
      <c r="B118" s="25" t="inlineStr">
        <is>
          <t>T</t>
        </is>
      </c>
      <c r="C118" s="25" t="inlineStr">
        <is>
          <t>lin10m</t>
        </is>
      </c>
      <c r="D118" s="25" t="n">
        <v>1.81</v>
      </c>
      <c r="E118" s="25" t="n">
        <v>1.85</v>
      </c>
      <c r="F118" s="25" t="n">
        <v>1.89</v>
      </c>
      <c r="G118" s="25" t="n">
        <v>1.95</v>
      </c>
      <c r="H118" s="25" t="n">
        <v>99</v>
      </c>
      <c r="I118" s="25" t="inlineStr">
        <is>
          <t>T14lin10m</t>
        </is>
      </c>
      <c r="J118" s="25" t="n">
        <v>1.81</v>
      </c>
      <c r="K118" s="25" t="n">
        <v>1.85</v>
      </c>
      <c r="L118" s="25" t="n">
        <v>1.89</v>
      </c>
      <c r="M118" s="25" t="n">
        <v>1.95</v>
      </c>
    </row>
    <row r="119" ht="15" customHeight="1" s="22">
      <c r="A119" s="25" t="inlineStr">
        <is>
          <t>T15</t>
        </is>
      </c>
      <c r="B119" s="25" t="inlineStr">
        <is>
          <t>T</t>
        </is>
      </c>
      <c r="C119" s="25" t="inlineStr">
        <is>
          <t>lin10m</t>
        </is>
      </c>
      <c r="D119" s="25" t="n">
        <v>1.78</v>
      </c>
      <c r="E119" s="25" t="n">
        <v>1.83</v>
      </c>
      <c r="F119" s="25" t="n">
        <v>1.87</v>
      </c>
      <c r="G119" s="25" t="n">
        <v>1.93</v>
      </c>
      <c r="H119" s="25" t="n">
        <v>99</v>
      </c>
      <c r="I119" s="25" t="inlineStr">
        <is>
          <t>T15lin10m</t>
        </is>
      </c>
      <c r="J119" s="25" t="n">
        <v>1.78</v>
      </c>
      <c r="K119" s="25" t="n">
        <v>1.83</v>
      </c>
      <c r="L119" s="25" t="n">
        <v>1.87</v>
      </c>
      <c r="M119" s="25" t="n">
        <v>1.93</v>
      </c>
    </row>
    <row r="120" ht="15" customHeight="1" s="22">
      <c r="A120" s="25" t="inlineStr">
        <is>
          <t>T16</t>
        </is>
      </c>
      <c r="B120" s="25" t="inlineStr">
        <is>
          <t>T</t>
        </is>
      </c>
      <c r="C120" s="25" t="inlineStr">
        <is>
          <t>lin10m</t>
        </is>
      </c>
      <c r="D120" s="25" t="n">
        <v>1.75</v>
      </c>
      <c r="E120" s="25" t="n">
        <v>1.81</v>
      </c>
      <c r="F120" s="25" t="n">
        <v>1.85</v>
      </c>
      <c r="G120" s="25" t="n">
        <v>1.92</v>
      </c>
      <c r="H120" s="25" t="n">
        <v>99</v>
      </c>
      <c r="I120" s="25" t="inlineStr">
        <is>
          <t>T16lin10m</t>
        </is>
      </c>
      <c r="J120" s="25" t="n">
        <v>1.75</v>
      </c>
      <c r="K120" s="25" t="n">
        <v>1.81</v>
      </c>
      <c r="L120" s="25" t="n">
        <v>1.85</v>
      </c>
      <c r="M120" s="25" t="n">
        <v>1.92</v>
      </c>
    </row>
    <row r="121" ht="15" customHeight="1" s="22">
      <c r="A121" s="25" t="inlineStr">
        <is>
          <t>T17</t>
        </is>
      </c>
      <c r="B121" s="25" t="inlineStr">
        <is>
          <t>T</t>
        </is>
      </c>
      <c r="C121" s="25" t="inlineStr">
        <is>
          <t>lin10m</t>
        </is>
      </c>
      <c r="D121" s="25" t="n">
        <v>1.74</v>
      </c>
      <c r="E121" s="25" t="n">
        <v>1.78</v>
      </c>
      <c r="F121" s="25" t="n">
        <v>1.84</v>
      </c>
      <c r="G121" s="25" t="n">
        <v>1.9</v>
      </c>
      <c r="H121" s="25" t="n">
        <v>99</v>
      </c>
      <c r="I121" s="25" t="inlineStr">
        <is>
          <t>T17lin10m</t>
        </is>
      </c>
      <c r="J121" s="25" t="n">
        <v>1.74</v>
      </c>
      <c r="K121" s="25" t="n">
        <v>1.78</v>
      </c>
      <c r="L121" s="25" t="n">
        <v>1.84</v>
      </c>
      <c r="M121" s="25" t="n">
        <v>1.9</v>
      </c>
    </row>
    <row r="122" ht="15" customHeight="1" s="22">
      <c r="A122" s="25" t="inlineStr">
        <is>
          <t>T18</t>
        </is>
      </c>
      <c r="B122" s="25" t="inlineStr">
        <is>
          <t>T</t>
        </is>
      </c>
      <c r="C122" s="25" t="inlineStr">
        <is>
          <t>lin10m</t>
        </is>
      </c>
      <c r="D122" s="25" t="n">
        <v>1.72</v>
      </c>
      <c r="E122" s="25" t="n">
        <v>1.77</v>
      </c>
      <c r="F122" s="25" t="n">
        <v>1.83</v>
      </c>
      <c r="G122" s="25" t="n">
        <v>1.89</v>
      </c>
      <c r="H122" s="25" t="n">
        <v>99</v>
      </c>
      <c r="I122" s="25" t="inlineStr">
        <is>
          <t>T18lin10m</t>
        </is>
      </c>
      <c r="J122" s="25" t="n">
        <v>1.72</v>
      </c>
      <c r="K122" s="25" t="n">
        <v>1.77</v>
      </c>
      <c r="L122" s="25" t="n">
        <v>1.83</v>
      </c>
      <c r="M122" s="25" t="n">
        <v>1.89</v>
      </c>
    </row>
    <row r="123" ht="15" customHeight="1" s="22">
      <c r="A123" s="25" t="inlineStr">
        <is>
          <t>T19</t>
        </is>
      </c>
      <c r="B123" s="25" t="inlineStr">
        <is>
          <t>T</t>
        </is>
      </c>
      <c r="C123" s="25" t="inlineStr">
        <is>
          <t>lin10m</t>
        </is>
      </c>
      <c r="D123" s="25" t="n">
        <v>1.71</v>
      </c>
      <c r="E123" s="25" t="n">
        <v>1.76</v>
      </c>
      <c r="F123" s="25" t="n">
        <v>1.81</v>
      </c>
      <c r="G123" s="25" t="n">
        <v>1.88</v>
      </c>
      <c r="H123" s="25" t="n">
        <v>99</v>
      </c>
      <c r="I123" s="25" t="inlineStr">
        <is>
          <t>T19lin10m</t>
        </is>
      </c>
      <c r="J123" s="25" t="n">
        <v>1.71</v>
      </c>
      <c r="K123" s="25" t="n">
        <v>1.76</v>
      </c>
      <c r="L123" s="25" t="n">
        <v>1.81</v>
      </c>
      <c r="M123" s="25" t="n">
        <v>1.88</v>
      </c>
    </row>
    <row r="124" ht="15" customHeight="1" s="22">
      <c r="A124" s="25" t="inlineStr">
        <is>
          <t>T10</t>
        </is>
      </c>
      <c r="B124" s="25" t="inlineStr">
        <is>
          <t>T</t>
        </is>
      </c>
      <c r="C124" s="25" t="inlineStr">
        <is>
          <t>lin20m</t>
        </is>
      </c>
      <c r="D124" s="25" t="n">
        <v>3.5</v>
      </c>
      <c r="E124" s="25" t="n">
        <v>3.61</v>
      </c>
      <c r="F124" s="25" t="n">
        <v>3.71</v>
      </c>
      <c r="G124" s="25" t="n">
        <v>3.82</v>
      </c>
      <c r="H124" s="25" t="n">
        <v>99</v>
      </c>
      <c r="I124" s="25" t="inlineStr">
        <is>
          <t>T10lin20m</t>
        </is>
      </c>
      <c r="J124" s="25" t="n">
        <v>3.5</v>
      </c>
      <c r="K124" s="25" t="n">
        <v>3.61</v>
      </c>
      <c r="L124" s="25" t="n">
        <v>3.71</v>
      </c>
      <c r="M124" s="25" t="n">
        <v>3.82</v>
      </c>
    </row>
    <row r="125" ht="15" customHeight="1" s="22">
      <c r="A125" s="25" t="inlineStr">
        <is>
          <t>T11</t>
        </is>
      </c>
      <c r="B125" s="25" t="inlineStr">
        <is>
          <t>T</t>
        </is>
      </c>
      <c r="C125" s="25" t="inlineStr">
        <is>
          <t>lin20m</t>
        </is>
      </c>
      <c r="D125" s="25" t="n">
        <v>3.4</v>
      </c>
      <c r="E125" s="25" t="n">
        <v>3.5</v>
      </c>
      <c r="F125" s="25" t="n">
        <v>3.59</v>
      </c>
      <c r="G125" s="25" t="n">
        <v>3.74</v>
      </c>
      <c r="H125" s="25" t="n">
        <v>99</v>
      </c>
      <c r="I125" s="25" t="inlineStr">
        <is>
          <t>T11lin20m</t>
        </is>
      </c>
      <c r="J125" s="25" t="n">
        <v>3.4</v>
      </c>
      <c r="K125" s="25" t="n">
        <v>3.5</v>
      </c>
      <c r="L125" s="25" t="n">
        <v>3.59</v>
      </c>
      <c r="M125" s="25" t="n">
        <v>3.74</v>
      </c>
    </row>
    <row r="126" ht="15" customHeight="1" s="22">
      <c r="A126" s="25" t="inlineStr">
        <is>
          <t>T12</t>
        </is>
      </c>
      <c r="B126" s="25" t="inlineStr">
        <is>
          <t>T</t>
        </is>
      </c>
      <c r="C126" s="25" t="inlineStr">
        <is>
          <t>lin20m</t>
        </is>
      </c>
      <c r="D126" s="25" t="n">
        <v>3.31</v>
      </c>
      <c r="E126" s="25" t="n">
        <v>3.4</v>
      </c>
      <c r="F126" s="25" t="n">
        <v>3.48</v>
      </c>
      <c r="G126" s="25" t="n">
        <v>3.58</v>
      </c>
      <c r="H126" s="25" t="n">
        <v>99</v>
      </c>
      <c r="I126" s="25" t="inlineStr">
        <is>
          <t>T12lin20m</t>
        </is>
      </c>
      <c r="J126" s="25" t="n">
        <v>3.31</v>
      </c>
      <c r="K126" s="25" t="n">
        <v>3.4</v>
      </c>
      <c r="L126" s="25" t="n">
        <v>3.48</v>
      </c>
      <c r="M126" s="25" t="n">
        <v>3.58</v>
      </c>
    </row>
    <row r="127" ht="15" customHeight="1" s="22">
      <c r="A127" s="25" t="inlineStr">
        <is>
          <t>T13</t>
        </is>
      </c>
      <c r="B127" s="25" t="inlineStr">
        <is>
          <t>T</t>
        </is>
      </c>
      <c r="C127" s="25" t="inlineStr">
        <is>
          <t>lin20m</t>
        </is>
      </c>
      <c r="D127" s="25" t="n">
        <v>3.24</v>
      </c>
      <c r="E127" s="25" t="n">
        <v>3.32</v>
      </c>
      <c r="F127" s="25" t="n">
        <v>3.39</v>
      </c>
      <c r="G127" s="25" t="n">
        <v>3.49</v>
      </c>
      <c r="H127" s="25" t="n">
        <v>99</v>
      </c>
      <c r="I127" s="25" t="inlineStr">
        <is>
          <t>T13lin20m</t>
        </is>
      </c>
      <c r="J127" s="25" t="n">
        <v>3.24</v>
      </c>
      <c r="K127" s="25" t="n">
        <v>3.32</v>
      </c>
      <c r="L127" s="25" t="n">
        <v>3.39</v>
      </c>
      <c r="M127" s="25" t="n">
        <v>3.49</v>
      </c>
    </row>
    <row r="128" ht="15" customHeight="1" s="22">
      <c r="A128" s="25" t="inlineStr">
        <is>
          <t>T14</t>
        </is>
      </c>
      <c r="B128" s="25" t="inlineStr">
        <is>
          <t>T</t>
        </is>
      </c>
      <c r="C128" s="25" t="inlineStr">
        <is>
          <t>lin20m</t>
        </is>
      </c>
      <c r="D128" s="25" t="n">
        <v>3.2</v>
      </c>
      <c r="E128" s="25" t="n">
        <v>3.27</v>
      </c>
      <c r="F128" s="25" t="n">
        <v>3.34</v>
      </c>
      <c r="G128" s="25" t="n">
        <v>3.44</v>
      </c>
      <c r="H128" s="25" t="n">
        <v>99</v>
      </c>
      <c r="I128" s="25" t="inlineStr">
        <is>
          <t>T14lin20m</t>
        </is>
      </c>
      <c r="J128" s="25" t="n">
        <v>3.2</v>
      </c>
      <c r="K128" s="25" t="n">
        <v>3.27</v>
      </c>
      <c r="L128" s="25" t="n">
        <v>3.34</v>
      </c>
      <c r="M128" s="25" t="n">
        <v>3.44</v>
      </c>
    </row>
    <row r="129" ht="15" customHeight="1" s="22">
      <c r="A129" s="25" t="inlineStr">
        <is>
          <t>T15</t>
        </is>
      </c>
      <c r="B129" s="25" t="inlineStr">
        <is>
          <t>T</t>
        </is>
      </c>
      <c r="C129" s="25" t="inlineStr">
        <is>
          <t>lin20m</t>
        </is>
      </c>
      <c r="D129" s="25" t="n">
        <v>3.12</v>
      </c>
      <c r="E129" s="25" t="n">
        <v>3.21</v>
      </c>
      <c r="F129" s="25" t="n">
        <v>3.28</v>
      </c>
      <c r="G129" s="25" t="n">
        <v>3.4</v>
      </c>
      <c r="H129" s="25" t="n">
        <v>99</v>
      </c>
      <c r="I129" s="25" t="inlineStr">
        <is>
          <t>T15lin20m</t>
        </is>
      </c>
      <c r="J129" s="25" t="n">
        <v>3.12</v>
      </c>
      <c r="K129" s="25" t="n">
        <v>3.21</v>
      </c>
      <c r="L129" s="25" t="n">
        <v>3.28</v>
      </c>
      <c r="M129" s="25" t="n">
        <v>3.4</v>
      </c>
    </row>
    <row r="130" ht="15" customHeight="1" s="22">
      <c r="A130" s="25" t="inlineStr">
        <is>
          <t>T16</t>
        </is>
      </c>
      <c r="B130" s="25" t="inlineStr">
        <is>
          <t>T</t>
        </is>
      </c>
      <c r="C130" s="25" t="inlineStr">
        <is>
          <t>lin20m</t>
        </is>
      </c>
      <c r="D130" s="25" t="n">
        <v>3.08</v>
      </c>
      <c r="E130" s="25" t="n">
        <v>3.19</v>
      </c>
      <c r="F130" s="25" t="n">
        <v>3.27</v>
      </c>
      <c r="G130" s="25" t="n">
        <v>3.37</v>
      </c>
      <c r="H130" s="25" t="n">
        <v>99</v>
      </c>
      <c r="I130" s="25" t="inlineStr">
        <is>
          <t>T16lin20m</t>
        </is>
      </c>
      <c r="J130" s="25" t="n">
        <v>3.08</v>
      </c>
      <c r="K130" s="25" t="n">
        <v>3.19</v>
      </c>
      <c r="L130" s="25" t="n">
        <v>3.27</v>
      </c>
      <c r="M130" s="25" t="n">
        <v>3.37</v>
      </c>
    </row>
    <row r="131" ht="15" customHeight="1" s="22">
      <c r="A131" s="25" t="inlineStr">
        <is>
          <t>T17</t>
        </is>
      </c>
      <c r="B131" s="25" t="inlineStr">
        <is>
          <t>T</t>
        </is>
      </c>
      <c r="C131" s="25" t="inlineStr">
        <is>
          <t>lin20m</t>
        </is>
      </c>
      <c r="D131" s="25" t="n">
        <v>3.06</v>
      </c>
      <c r="E131" s="25" t="n">
        <v>3.15</v>
      </c>
      <c r="F131" s="25" t="n">
        <v>3.26</v>
      </c>
      <c r="G131" s="25" t="n">
        <v>3.36</v>
      </c>
      <c r="H131" s="25" t="n">
        <v>99</v>
      </c>
      <c r="I131" s="25" t="inlineStr">
        <is>
          <t>T17lin20m</t>
        </is>
      </c>
      <c r="J131" s="25" t="n">
        <v>3.06</v>
      </c>
      <c r="K131" s="25" t="n">
        <v>3.15</v>
      </c>
      <c r="L131" s="25" t="n">
        <v>3.26</v>
      </c>
      <c r="M131" s="25" t="n">
        <v>3.36</v>
      </c>
    </row>
    <row r="132" ht="15" customHeight="1" s="22">
      <c r="A132" s="25" t="inlineStr">
        <is>
          <t>T18</t>
        </is>
      </c>
      <c r="B132" s="25" t="inlineStr">
        <is>
          <t>T</t>
        </is>
      </c>
      <c r="C132" s="25" t="inlineStr">
        <is>
          <t>lin20m</t>
        </is>
      </c>
      <c r="D132" s="25" t="n">
        <v>3.04</v>
      </c>
      <c r="E132" s="25" t="n">
        <v>3.13</v>
      </c>
      <c r="F132" s="25" t="n">
        <v>3.23</v>
      </c>
      <c r="G132" s="25" t="n">
        <v>3.34</v>
      </c>
      <c r="H132" s="25" t="n">
        <v>99</v>
      </c>
      <c r="I132" s="25" t="inlineStr">
        <is>
          <t>T18lin20m</t>
        </is>
      </c>
      <c r="J132" s="25" t="n">
        <v>3.04</v>
      </c>
      <c r="K132" s="25" t="n">
        <v>3.13</v>
      </c>
      <c r="L132" s="25" t="n">
        <v>3.23</v>
      </c>
      <c r="M132" s="25" t="n">
        <v>3.34</v>
      </c>
    </row>
    <row r="133" ht="15" customHeight="1" s="22">
      <c r="A133" s="25" t="inlineStr">
        <is>
          <t>T19</t>
        </is>
      </c>
      <c r="B133" s="25" t="inlineStr">
        <is>
          <t>T</t>
        </is>
      </c>
      <c r="C133" s="25" t="inlineStr">
        <is>
          <t>lin20m</t>
        </is>
      </c>
      <c r="D133" s="25" t="n">
        <v>3</v>
      </c>
      <c r="E133" s="25" t="n">
        <v>3.12</v>
      </c>
      <c r="F133" s="25" t="n">
        <v>3.2</v>
      </c>
      <c r="G133" s="25" t="n">
        <v>3.32</v>
      </c>
      <c r="H133" s="25" t="n">
        <v>99</v>
      </c>
      <c r="I133" s="25" t="inlineStr">
        <is>
          <t>T19lin20m</t>
        </is>
      </c>
      <c r="J133" s="25" t="n">
        <v>3</v>
      </c>
      <c r="K133" s="25" t="n">
        <v>3.12</v>
      </c>
      <c r="L133" s="25" t="n">
        <v>3.2</v>
      </c>
      <c r="M133" s="25" t="n">
        <v>3.32</v>
      </c>
    </row>
    <row r="134" ht="15" customHeight="1" s="22">
      <c r="A134" s="25" t="inlineStr">
        <is>
          <t>T10</t>
        </is>
      </c>
      <c r="B134" s="25" t="inlineStr">
        <is>
          <t>T</t>
        </is>
      </c>
      <c r="C134" s="25" t="inlineStr">
        <is>
          <t>lin30m</t>
        </is>
      </c>
      <c r="D134" s="25" t="n">
        <v>5</v>
      </c>
      <c r="E134" s="25" t="n">
        <v>5.16</v>
      </c>
      <c r="F134" s="25" t="n">
        <v>5.31</v>
      </c>
      <c r="G134" s="25" t="n">
        <v>5.48</v>
      </c>
      <c r="H134" s="25" t="n">
        <v>99</v>
      </c>
      <c r="I134" s="25" t="inlineStr">
        <is>
          <t>T10lin30m</t>
        </is>
      </c>
      <c r="J134" s="25" t="n">
        <v>5</v>
      </c>
      <c r="K134" s="25" t="n">
        <v>5.16</v>
      </c>
      <c r="L134" s="25" t="n">
        <v>5.31</v>
      </c>
      <c r="M134" s="25" t="n">
        <v>5.48</v>
      </c>
    </row>
    <row r="135" ht="15" customHeight="1" s="22">
      <c r="A135" s="25" t="inlineStr">
        <is>
          <t>T11</t>
        </is>
      </c>
      <c r="B135" s="25" t="inlineStr">
        <is>
          <t>T</t>
        </is>
      </c>
      <c r="C135" s="25" t="inlineStr">
        <is>
          <t>lin30m</t>
        </is>
      </c>
      <c r="D135" s="25" t="n">
        <v>4.84</v>
      </c>
      <c r="E135" s="25" t="n">
        <v>5</v>
      </c>
      <c r="F135" s="25" t="n">
        <v>5.14</v>
      </c>
      <c r="G135" s="25" t="n">
        <v>5.36</v>
      </c>
      <c r="H135" s="25" t="n">
        <v>99</v>
      </c>
      <c r="I135" s="25" t="inlineStr">
        <is>
          <t>T11lin30m</t>
        </is>
      </c>
      <c r="J135" s="25" t="n">
        <v>4.84</v>
      </c>
      <c r="K135" s="25" t="n">
        <v>5</v>
      </c>
      <c r="L135" s="25" t="n">
        <v>5.14</v>
      </c>
      <c r="M135" s="25" t="n">
        <v>5.36</v>
      </c>
    </row>
    <row r="136" ht="15" customHeight="1" s="22">
      <c r="A136" s="25" t="inlineStr">
        <is>
          <t>T12</t>
        </is>
      </c>
      <c r="B136" s="25" t="inlineStr">
        <is>
          <t>T</t>
        </is>
      </c>
      <c r="C136" s="25" t="inlineStr">
        <is>
          <t>lin30m</t>
        </is>
      </c>
      <c r="D136" s="25" t="n">
        <v>4.69</v>
      </c>
      <c r="E136" s="25" t="n">
        <v>4.83</v>
      </c>
      <c r="F136" s="25" t="n">
        <v>4.96</v>
      </c>
      <c r="G136" s="25" t="n">
        <v>5.12</v>
      </c>
      <c r="H136" s="25" t="n">
        <v>99</v>
      </c>
      <c r="I136" s="25" t="inlineStr">
        <is>
          <t>T12lin30m</t>
        </is>
      </c>
      <c r="J136" s="25" t="n">
        <v>4.69</v>
      </c>
      <c r="K136" s="25" t="n">
        <v>4.83</v>
      </c>
      <c r="L136" s="25" t="n">
        <v>4.96</v>
      </c>
      <c r="M136" s="25" t="n">
        <v>5.12</v>
      </c>
    </row>
    <row r="137" ht="15" customHeight="1" s="22">
      <c r="A137" s="25" t="inlineStr">
        <is>
          <t>T13</t>
        </is>
      </c>
      <c r="B137" s="25" t="inlineStr">
        <is>
          <t>T</t>
        </is>
      </c>
      <c r="C137" s="25" t="inlineStr">
        <is>
          <t>lin30m</t>
        </is>
      </c>
      <c r="D137" s="25" t="n">
        <v>4.59</v>
      </c>
      <c r="E137" s="25" t="n">
        <v>4.71</v>
      </c>
      <c r="F137" s="25" t="n">
        <v>4.83</v>
      </c>
      <c r="G137" s="25" t="n">
        <v>4.96</v>
      </c>
      <c r="H137" s="25" t="n">
        <v>99</v>
      </c>
      <c r="I137" s="25" t="inlineStr">
        <is>
          <t>T13lin30m</t>
        </is>
      </c>
      <c r="J137" s="25" t="n">
        <v>4.59</v>
      </c>
      <c r="K137" s="25" t="n">
        <v>4.71</v>
      </c>
      <c r="L137" s="25" t="n">
        <v>4.83</v>
      </c>
      <c r="M137" s="25" t="n">
        <v>4.96</v>
      </c>
    </row>
    <row r="138" ht="15" customHeight="1" s="22">
      <c r="A138" s="25" t="inlineStr">
        <is>
          <t>T14</t>
        </is>
      </c>
      <c r="B138" s="25" t="inlineStr">
        <is>
          <t>T</t>
        </is>
      </c>
      <c r="C138" s="25" t="inlineStr">
        <is>
          <t>lin30m</t>
        </is>
      </c>
      <c r="D138" s="25" t="n">
        <v>4.52</v>
      </c>
      <c r="E138" s="25" t="n">
        <v>4.63</v>
      </c>
      <c r="F138" s="25" t="n">
        <v>4.75</v>
      </c>
      <c r="G138" s="25" t="n">
        <v>4.88</v>
      </c>
      <c r="H138" s="25" t="n">
        <v>99</v>
      </c>
      <c r="I138" s="25" t="inlineStr">
        <is>
          <t>T14lin30m</t>
        </is>
      </c>
      <c r="J138" s="25" t="n">
        <v>4.52</v>
      </c>
      <c r="K138" s="25" t="n">
        <v>4.63</v>
      </c>
      <c r="L138" s="25" t="n">
        <v>4.75</v>
      </c>
      <c r="M138" s="25" t="n">
        <v>4.88</v>
      </c>
    </row>
    <row r="139" ht="15" customHeight="1" s="22">
      <c r="A139" s="25" t="inlineStr">
        <is>
          <t>T15</t>
        </is>
      </c>
      <c r="B139" s="25" t="inlineStr">
        <is>
          <t>T</t>
        </is>
      </c>
      <c r="C139" s="25" t="inlineStr">
        <is>
          <t>lin30m</t>
        </is>
      </c>
      <c r="D139" s="25" t="n">
        <v>4.43</v>
      </c>
      <c r="E139" s="25" t="n">
        <v>4.55</v>
      </c>
      <c r="F139" s="25" t="n">
        <v>4.68</v>
      </c>
      <c r="G139" s="25" t="n">
        <v>4.83</v>
      </c>
      <c r="H139" s="25" t="n">
        <v>99</v>
      </c>
      <c r="I139" s="25" t="inlineStr">
        <is>
          <t>T15lin30m</t>
        </is>
      </c>
      <c r="J139" s="25" t="n">
        <v>4.43</v>
      </c>
      <c r="K139" s="25" t="n">
        <v>4.55</v>
      </c>
      <c r="L139" s="25" t="n">
        <v>4.68</v>
      </c>
      <c r="M139" s="25" t="n">
        <v>4.83</v>
      </c>
    </row>
    <row r="140" ht="15" customHeight="1" s="22">
      <c r="A140" s="25" t="inlineStr">
        <is>
          <t>T16</t>
        </is>
      </c>
      <c r="B140" s="25" t="inlineStr">
        <is>
          <t>T</t>
        </is>
      </c>
      <c r="C140" s="25" t="inlineStr">
        <is>
          <t>lin30m</t>
        </is>
      </c>
      <c r="D140" s="25" t="n">
        <v>4.33</v>
      </c>
      <c r="E140" s="25" t="n">
        <v>4.51</v>
      </c>
      <c r="F140" s="25" t="n">
        <v>4.63</v>
      </c>
      <c r="G140" s="25" t="n">
        <v>4.8</v>
      </c>
      <c r="H140" s="25" t="n">
        <v>99</v>
      </c>
      <c r="I140" s="25" t="inlineStr">
        <is>
          <t>T16lin30m</t>
        </is>
      </c>
      <c r="J140" s="25" t="n">
        <v>4.33</v>
      </c>
      <c r="K140" s="25" t="n">
        <v>4.51</v>
      </c>
      <c r="L140" s="25" t="n">
        <v>4.63</v>
      </c>
      <c r="M140" s="25" t="n">
        <v>4.8</v>
      </c>
    </row>
    <row r="141" ht="15" customHeight="1" s="22">
      <c r="A141" s="25" t="inlineStr">
        <is>
          <t>T17</t>
        </is>
      </c>
      <c r="B141" s="25" t="inlineStr">
        <is>
          <t>T</t>
        </is>
      </c>
      <c r="C141" s="25" t="inlineStr">
        <is>
          <t>lin30m</t>
        </is>
      </c>
      <c r="D141" s="25" t="n">
        <v>4.31</v>
      </c>
      <c r="E141" s="25" t="n">
        <v>4.44</v>
      </c>
      <c r="F141" s="25" t="n">
        <v>4.61</v>
      </c>
      <c r="G141" s="25" t="n">
        <v>4.75</v>
      </c>
      <c r="H141" s="25" t="n">
        <v>99</v>
      </c>
      <c r="I141" s="25" t="inlineStr">
        <is>
          <t>T17lin30m</t>
        </is>
      </c>
      <c r="J141" s="25" t="n">
        <v>4.31</v>
      </c>
      <c r="K141" s="25" t="n">
        <v>4.44</v>
      </c>
      <c r="L141" s="25" t="n">
        <v>4.61</v>
      </c>
      <c r="M141" s="25" t="n">
        <v>4.75</v>
      </c>
    </row>
    <row r="142" ht="15" customHeight="1" s="22">
      <c r="A142" s="25" t="inlineStr">
        <is>
          <t>T18</t>
        </is>
      </c>
      <c r="B142" s="25" t="inlineStr">
        <is>
          <t>T</t>
        </is>
      </c>
      <c r="C142" s="25" t="inlineStr">
        <is>
          <t>lin30m</t>
        </is>
      </c>
      <c r="D142" s="25" t="n">
        <v>4.26</v>
      </c>
      <c r="E142" s="25" t="n">
        <v>4.41</v>
      </c>
      <c r="F142" s="25" t="n">
        <v>4.56</v>
      </c>
      <c r="G142" s="25" t="n">
        <v>4.73</v>
      </c>
      <c r="H142" s="25" t="n">
        <v>99</v>
      </c>
      <c r="I142" s="25" t="inlineStr">
        <is>
          <t>T18lin30m</t>
        </is>
      </c>
      <c r="J142" s="25" t="n">
        <v>4.26</v>
      </c>
      <c r="K142" s="25" t="n">
        <v>4.41</v>
      </c>
      <c r="L142" s="25" t="n">
        <v>4.56</v>
      </c>
      <c r="M142" s="25" t="n">
        <v>4.73</v>
      </c>
    </row>
    <row r="143" ht="15" customHeight="1" s="22">
      <c r="A143" s="25" t="inlineStr">
        <is>
          <t>T19</t>
        </is>
      </c>
      <c r="B143" s="25" t="inlineStr">
        <is>
          <t>T</t>
        </is>
      </c>
      <c r="C143" s="25" t="inlineStr">
        <is>
          <t>lin30m</t>
        </is>
      </c>
      <c r="D143" s="25" t="n">
        <v>4.22</v>
      </c>
      <c r="E143" s="25" t="n">
        <v>4.39</v>
      </c>
      <c r="F143" s="25" t="n">
        <v>4.53</v>
      </c>
      <c r="G143" s="25" t="n">
        <v>4.7</v>
      </c>
      <c r="H143" s="25" t="n">
        <v>99</v>
      </c>
      <c r="I143" s="25" t="inlineStr">
        <is>
          <t>T19lin30m</t>
        </is>
      </c>
      <c r="J143" s="25" t="n">
        <v>4.22</v>
      </c>
      <c r="K143" s="25" t="n">
        <v>4.39</v>
      </c>
      <c r="L143" s="25" t="n">
        <v>4.53</v>
      </c>
      <c r="M143" s="25" t="n">
        <v>4.7</v>
      </c>
    </row>
    <row r="144" ht="15" customHeight="1" s="22">
      <c r="A144" s="25" t="inlineStr">
        <is>
          <t>T10</t>
        </is>
      </c>
      <c r="B144" s="25" t="inlineStr">
        <is>
          <t>T</t>
        </is>
      </c>
      <c r="C144" s="25" t="inlineStr">
        <is>
          <t>kasirata</t>
        </is>
      </c>
      <c r="D144" s="25" t="n">
        <v>7.23</v>
      </c>
      <c r="E144" s="25" t="n">
        <v>7.45</v>
      </c>
      <c r="F144" s="25" t="n">
        <v>7.63</v>
      </c>
      <c r="G144" s="25" t="n">
        <v>7.7</v>
      </c>
      <c r="H144" s="25" t="n">
        <v>99</v>
      </c>
      <c r="I144" s="25" t="inlineStr">
        <is>
          <t>T10kasirata</t>
        </is>
      </c>
      <c r="J144" s="25" t="n">
        <v>7.23</v>
      </c>
      <c r="K144" s="25" t="n">
        <v>7.45</v>
      </c>
      <c r="L144" s="25" t="n">
        <v>7.63</v>
      </c>
      <c r="M144" s="25" t="n">
        <v>7.7</v>
      </c>
    </row>
    <row r="145" ht="15" customHeight="1" s="22">
      <c r="A145" s="25" t="inlineStr">
        <is>
          <t>T11</t>
        </is>
      </c>
      <c r="B145" s="25" t="inlineStr">
        <is>
          <t>T</t>
        </is>
      </c>
      <c r="C145" s="25" t="inlineStr">
        <is>
          <t>kasirata</t>
        </is>
      </c>
      <c r="D145" s="25" t="n">
        <v>7.15</v>
      </c>
      <c r="E145" s="25" t="n">
        <v>7.26</v>
      </c>
      <c r="F145" s="25" t="n">
        <v>7.38</v>
      </c>
      <c r="G145" s="25" t="n">
        <v>7.51</v>
      </c>
      <c r="H145" s="25" t="n">
        <v>99</v>
      </c>
      <c r="I145" s="25" t="inlineStr">
        <is>
          <t>T11kasirata</t>
        </is>
      </c>
      <c r="J145" s="25" t="n">
        <v>7.15</v>
      </c>
      <c r="K145" s="25" t="n">
        <v>7.26</v>
      </c>
      <c r="L145" s="25" t="n">
        <v>7.38</v>
      </c>
      <c r="M145" s="25" t="n">
        <v>7.51</v>
      </c>
    </row>
    <row r="146" ht="15" customHeight="1" s="22">
      <c r="A146" s="25" t="inlineStr">
        <is>
          <t>T12</t>
        </is>
      </c>
      <c r="B146" s="25" t="inlineStr">
        <is>
          <t>T</t>
        </is>
      </c>
      <c r="C146" s="25" t="inlineStr">
        <is>
          <t>kasirata</t>
        </is>
      </c>
      <c r="D146" s="25" t="n">
        <v>6.94</v>
      </c>
      <c r="E146" s="25" t="n">
        <v>7.1</v>
      </c>
      <c r="F146" s="25" t="n">
        <v>7.22</v>
      </c>
      <c r="G146" s="25" t="n">
        <v>7.35</v>
      </c>
      <c r="H146" s="25" t="n">
        <v>99</v>
      </c>
      <c r="I146" s="25" t="inlineStr">
        <is>
          <t>T12kasirata</t>
        </is>
      </c>
      <c r="J146" s="25" t="n">
        <v>6.94</v>
      </c>
      <c r="K146" s="25" t="n">
        <v>7.1</v>
      </c>
      <c r="L146" s="25" t="n">
        <v>7.22</v>
      </c>
      <c r="M146" s="25" t="n">
        <v>7.35</v>
      </c>
    </row>
    <row r="147" ht="15" customHeight="1" s="22">
      <c r="A147" s="25" t="inlineStr">
        <is>
          <t>T13</t>
        </is>
      </c>
      <c r="B147" s="25" t="inlineStr">
        <is>
          <t>T</t>
        </is>
      </c>
      <c r="C147" s="25" t="inlineStr">
        <is>
          <t>kasirata</t>
        </is>
      </c>
      <c r="D147" s="25" t="n">
        <v>6.74</v>
      </c>
      <c r="E147" s="25" t="n">
        <v>6.86</v>
      </c>
      <c r="F147" s="25" t="n">
        <v>7</v>
      </c>
      <c r="G147" s="25" t="n">
        <v>7.16</v>
      </c>
      <c r="H147" s="25" t="n">
        <v>99</v>
      </c>
      <c r="I147" s="25" t="inlineStr">
        <is>
          <t>T13kasirata</t>
        </is>
      </c>
      <c r="J147" s="25" t="n">
        <v>6.74</v>
      </c>
      <c r="K147" s="25" t="n">
        <v>6.86</v>
      </c>
      <c r="L147" s="25" t="n">
        <v>7</v>
      </c>
      <c r="M147" s="25" t="n">
        <v>7.16</v>
      </c>
    </row>
    <row r="148" ht="15" customHeight="1" s="22">
      <c r="A148" s="25" t="inlineStr">
        <is>
          <t>T14</t>
        </is>
      </c>
      <c r="B148" s="25" t="inlineStr">
        <is>
          <t>T</t>
        </is>
      </c>
      <c r="C148" s="25" t="inlineStr">
        <is>
          <t>kasirata</t>
        </is>
      </c>
      <c r="D148" s="25" t="n">
        <v>6.7</v>
      </c>
      <c r="E148" s="25" t="n">
        <v>6.8</v>
      </c>
      <c r="F148" s="25" t="n">
        <v>6.94</v>
      </c>
      <c r="G148" s="25" t="n">
        <v>7.08</v>
      </c>
      <c r="H148" s="25" t="n">
        <v>99</v>
      </c>
      <c r="I148" s="25" t="inlineStr">
        <is>
          <t>T14kasirata</t>
        </is>
      </c>
      <c r="J148" s="25" t="n">
        <v>6.7</v>
      </c>
      <c r="K148" s="25" t="n">
        <v>6.8</v>
      </c>
      <c r="L148" s="25" t="n">
        <v>6.94</v>
      </c>
      <c r="M148" s="25" t="n">
        <v>7.08</v>
      </c>
    </row>
    <row r="149" ht="15" customHeight="1" s="22">
      <c r="A149" s="25" t="inlineStr">
        <is>
          <t>T15</t>
        </is>
      </c>
      <c r="B149" s="25" t="inlineStr">
        <is>
          <t>T</t>
        </is>
      </c>
      <c r="C149" s="25" t="inlineStr">
        <is>
          <t>kasirata</t>
        </is>
      </c>
      <c r="D149" s="25" t="n">
        <v>6.65</v>
      </c>
      <c r="E149" s="25" t="n">
        <v>6.75</v>
      </c>
      <c r="F149" s="25" t="n">
        <v>6.9</v>
      </c>
      <c r="G149" s="25" t="n">
        <v>7.04</v>
      </c>
      <c r="H149" s="25" t="n">
        <v>99</v>
      </c>
      <c r="I149" s="25" t="inlineStr">
        <is>
          <t>T15kasirata</t>
        </is>
      </c>
      <c r="J149" s="25" t="n">
        <v>6.65</v>
      </c>
      <c r="K149" s="25" t="n">
        <v>6.75</v>
      </c>
      <c r="L149" s="25" t="n">
        <v>6.9</v>
      </c>
      <c r="M149" s="25" t="n">
        <v>7.04</v>
      </c>
    </row>
    <row r="150" ht="15" customHeight="1" s="22">
      <c r="A150" s="25" t="inlineStr">
        <is>
          <t>T16</t>
        </is>
      </c>
      <c r="B150" s="25" t="inlineStr">
        <is>
          <t>T</t>
        </is>
      </c>
      <c r="C150" s="25" t="inlineStr">
        <is>
          <t>kasirata</t>
        </is>
      </c>
      <c r="D150" s="25" t="n">
        <v>6.59</v>
      </c>
      <c r="E150" s="25" t="n">
        <v>6.7</v>
      </c>
      <c r="F150" s="25" t="n">
        <v>6.85</v>
      </c>
      <c r="G150" s="25" t="n">
        <v>7</v>
      </c>
      <c r="H150" s="25" t="n">
        <v>99</v>
      </c>
      <c r="I150" s="25" t="inlineStr">
        <is>
          <t>T16kasirata</t>
        </is>
      </c>
      <c r="J150" s="25" t="n">
        <v>6.59</v>
      </c>
      <c r="K150" s="25" t="n">
        <v>6.7</v>
      </c>
      <c r="L150" s="25" t="n">
        <v>6.85</v>
      </c>
      <c r="M150" s="25" t="n">
        <v>7</v>
      </c>
    </row>
    <row r="151" ht="15" customHeight="1" s="22">
      <c r="A151" s="25" t="inlineStr">
        <is>
          <t>T17</t>
        </is>
      </c>
      <c r="B151" s="25" t="inlineStr">
        <is>
          <t>T</t>
        </is>
      </c>
      <c r="C151" s="25" t="inlineStr">
        <is>
          <t>kasirata</t>
        </is>
      </c>
      <c r="D151" s="25" t="n">
        <v>6.55</v>
      </c>
      <c r="E151" s="25" t="n">
        <v>6.65</v>
      </c>
      <c r="F151" s="25" t="n">
        <v>6.8</v>
      </c>
      <c r="G151" s="25" t="n">
        <v>6.96</v>
      </c>
      <c r="H151" s="25" t="n">
        <v>99</v>
      </c>
      <c r="I151" s="25" t="inlineStr">
        <is>
          <t>T17kasirata</t>
        </is>
      </c>
      <c r="J151" s="25" t="n">
        <v>6.55</v>
      </c>
      <c r="K151" s="25" t="n">
        <v>6.65</v>
      </c>
      <c r="L151" s="25" t="n">
        <v>6.8</v>
      </c>
      <c r="M151" s="25" t="n">
        <v>6.96</v>
      </c>
    </row>
    <row r="152" ht="15" customHeight="1" s="22">
      <c r="A152" s="25" t="inlineStr">
        <is>
          <t>T18</t>
        </is>
      </c>
      <c r="B152" s="25" t="inlineStr">
        <is>
          <t>T</t>
        </is>
      </c>
      <c r="C152" s="25" t="inlineStr">
        <is>
          <t>kasirata</t>
        </is>
      </c>
      <c r="D152" s="25" t="n">
        <v>6.51</v>
      </c>
      <c r="E152" s="25" t="n">
        <v>6.59</v>
      </c>
      <c r="F152" s="25" t="n">
        <v>6.76</v>
      </c>
      <c r="G152" s="25" t="n">
        <v>6.9</v>
      </c>
      <c r="H152" s="25" t="n">
        <v>99</v>
      </c>
      <c r="I152" s="25" t="inlineStr">
        <is>
          <t>T18kasirata</t>
        </is>
      </c>
      <c r="J152" s="25" t="n">
        <v>6.51</v>
      </c>
      <c r="K152" s="25" t="n">
        <v>6.59</v>
      </c>
      <c r="L152" s="25" t="n">
        <v>6.76</v>
      </c>
      <c r="M152" s="25" t="n">
        <v>6.9</v>
      </c>
    </row>
    <row r="153" ht="15" customHeight="1" s="22">
      <c r="A153" s="25" t="inlineStr">
        <is>
          <t>T19</t>
        </is>
      </c>
      <c r="B153" s="25" t="inlineStr">
        <is>
          <t>T</t>
        </is>
      </c>
      <c r="C153" s="25" t="inlineStr">
        <is>
          <t>kasirata</t>
        </is>
      </c>
      <c r="D153" s="25" t="n">
        <v>6.45</v>
      </c>
      <c r="E153" s="25" t="n">
        <v>6.51</v>
      </c>
      <c r="F153" s="25" t="n">
        <v>6.65</v>
      </c>
      <c r="G153" s="25" t="n">
        <v>6.82</v>
      </c>
      <c r="H153" s="25" t="n">
        <v>99</v>
      </c>
      <c r="I153" s="25" t="inlineStr">
        <is>
          <t>T19kasirata</t>
        </is>
      </c>
      <c r="J153" s="25" t="n">
        <v>6.45</v>
      </c>
      <c r="K153" s="25" t="n">
        <v>6.51</v>
      </c>
      <c r="L153" s="25" t="n">
        <v>6.65</v>
      </c>
      <c r="M153" s="25" t="n">
        <v>6.82</v>
      </c>
    </row>
    <row r="154" ht="15" customHeight="1" s="22">
      <c r="A154" s="25" t="inlineStr">
        <is>
          <t>T10</t>
        </is>
      </c>
      <c r="B154" s="25" t="inlineStr">
        <is>
          <t>T</t>
        </is>
      </c>
      <c r="C154" s="25" t="inlineStr">
        <is>
          <t>smjuoksu</t>
        </is>
      </c>
      <c r="D154" s="25" t="n">
        <v>8.77</v>
      </c>
      <c r="E154" s="25" t="n">
        <v>9.050000000000001</v>
      </c>
      <c r="F154" s="25" t="n">
        <v>9.300000000000001</v>
      </c>
      <c r="G154" s="25" t="n">
        <v>9.6</v>
      </c>
      <c r="H154" s="25" t="n">
        <v>99</v>
      </c>
      <c r="I154" s="25" t="inlineStr">
        <is>
          <t>T10smjuoksu</t>
        </is>
      </c>
      <c r="J154" s="25" t="n">
        <v>8.77</v>
      </c>
      <c r="K154" s="25" t="n">
        <v>9.050000000000001</v>
      </c>
      <c r="L154" s="25" t="n">
        <v>9.300000000000001</v>
      </c>
      <c r="M154" s="25" t="n">
        <v>9.6</v>
      </c>
    </row>
    <row r="155" ht="15" customHeight="1" s="22">
      <c r="A155" s="25" t="inlineStr">
        <is>
          <t>T11</t>
        </is>
      </c>
      <c r="B155" s="25" t="inlineStr">
        <is>
          <t>T</t>
        </is>
      </c>
      <c r="C155" s="25" t="inlineStr">
        <is>
          <t>smjuoksu</t>
        </is>
      </c>
      <c r="D155" s="25" t="n">
        <v>8.5</v>
      </c>
      <c r="E155" s="25" t="n">
        <v>8.76</v>
      </c>
      <c r="F155" s="25" t="n">
        <v>8.99</v>
      </c>
      <c r="G155" s="25" t="n">
        <v>9.26</v>
      </c>
      <c r="H155" s="25" t="n">
        <v>99</v>
      </c>
      <c r="I155" s="25" t="inlineStr">
        <is>
          <t>T11smjuoksu</t>
        </is>
      </c>
      <c r="J155" s="25" t="n">
        <v>8.5</v>
      </c>
      <c r="K155" s="25" t="n">
        <v>8.76</v>
      </c>
      <c r="L155" s="25" t="n">
        <v>8.99</v>
      </c>
      <c r="M155" s="25" t="n">
        <v>9.26</v>
      </c>
    </row>
    <row r="156" ht="15" customHeight="1" s="22">
      <c r="A156" s="25" t="inlineStr">
        <is>
          <t>T12</t>
        </is>
      </c>
      <c r="B156" s="25" t="inlineStr">
        <is>
          <t>T</t>
        </is>
      </c>
      <c r="C156" s="25" t="inlineStr">
        <is>
          <t>smjuoksu</t>
        </is>
      </c>
      <c r="D156" s="25" t="n">
        <v>8.289999999999999</v>
      </c>
      <c r="E156" s="25" t="n">
        <v>8.5</v>
      </c>
      <c r="F156" s="25" t="n">
        <v>8.699999999999999</v>
      </c>
      <c r="G156" s="25" t="n">
        <v>8.92</v>
      </c>
      <c r="H156" s="25" t="n">
        <v>99</v>
      </c>
      <c r="I156" s="25" t="inlineStr">
        <is>
          <t>T12smjuoksu</t>
        </is>
      </c>
      <c r="J156" s="25" t="n">
        <v>8.289999999999999</v>
      </c>
      <c r="K156" s="25" t="n">
        <v>8.5</v>
      </c>
      <c r="L156" s="25" t="n">
        <v>8.699999999999999</v>
      </c>
      <c r="M156" s="25" t="n">
        <v>8.92</v>
      </c>
    </row>
    <row r="157" ht="15" customHeight="1" s="22">
      <c r="A157" s="25" t="inlineStr">
        <is>
          <t>T13</t>
        </is>
      </c>
      <c r="B157" s="25" t="inlineStr">
        <is>
          <t>T</t>
        </is>
      </c>
      <c r="C157" s="25" t="inlineStr">
        <is>
          <t>smjuoksu</t>
        </is>
      </c>
      <c r="D157" s="25" t="n">
        <v>8.109999999999999</v>
      </c>
      <c r="E157" s="25" t="n">
        <v>8.32</v>
      </c>
      <c r="F157" s="25" t="n">
        <v>8.51</v>
      </c>
      <c r="G157" s="25" t="n">
        <v>8.73</v>
      </c>
      <c r="H157" s="25" t="n">
        <v>99</v>
      </c>
      <c r="I157" s="25" t="inlineStr">
        <is>
          <t>T13smjuoksu</t>
        </is>
      </c>
      <c r="J157" s="25" t="n">
        <v>8.109999999999999</v>
      </c>
      <c r="K157" s="25" t="n">
        <v>8.32</v>
      </c>
      <c r="L157" s="25" t="n">
        <v>8.51</v>
      </c>
      <c r="M157" s="25" t="n">
        <v>8.73</v>
      </c>
    </row>
    <row r="158" ht="15" customHeight="1" s="22">
      <c r="A158" s="25" t="inlineStr">
        <is>
          <t>T14</t>
        </is>
      </c>
      <c r="B158" s="25" t="inlineStr">
        <is>
          <t>T</t>
        </is>
      </c>
      <c r="C158" s="25" t="inlineStr">
        <is>
          <t>smjuoksu</t>
        </is>
      </c>
      <c r="D158" s="25" t="n">
        <v>7.97</v>
      </c>
      <c r="E158" s="25" t="n">
        <v>8.210000000000001</v>
      </c>
      <c r="F158" s="25" t="n">
        <v>8.42</v>
      </c>
      <c r="G158" s="25" t="n">
        <v>8.67</v>
      </c>
      <c r="H158" s="25" t="n">
        <v>99</v>
      </c>
      <c r="I158" s="25" t="inlineStr">
        <is>
          <t>T14smjuoksu</t>
        </is>
      </c>
      <c r="J158" s="25" t="n">
        <v>7.97</v>
      </c>
      <c r="K158" s="25" t="n">
        <v>8.210000000000001</v>
      </c>
      <c r="L158" s="25" t="n">
        <v>8.42</v>
      </c>
      <c r="M158" s="25" t="n">
        <v>8.67</v>
      </c>
    </row>
    <row r="159" ht="15" customHeight="1" s="22">
      <c r="A159" s="25" t="inlineStr">
        <is>
          <t>T15</t>
        </is>
      </c>
      <c r="B159" s="25" t="inlineStr">
        <is>
          <t>T</t>
        </is>
      </c>
      <c r="C159" s="25" t="inlineStr">
        <is>
          <t>smjuoksu</t>
        </is>
      </c>
      <c r="D159" s="25" t="n">
        <v>7.95</v>
      </c>
      <c r="E159" s="25" t="n">
        <v>8.1</v>
      </c>
      <c r="F159" s="25" t="n">
        <v>8.390000000000001</v>
      </c>
      <c r="G159" s="25" t="n">
        <v>8.609999999999999</v>
      </c>
      <c r="H159" s="25" t="n">
        <v>99</v>
      </c>
      <c r="I159" s="25" t="inlineStr">
        <is>
          <t>T15smjuoksu</t>
        </is>
      </c>
      <c r="J159" s="25" t="n">
        <v>7.95</v>
      </c>
      <c r="K159" s="25" t="n">
        <v>8.1</v>
      </c>
      <c r="L159" s="25" t="n">
        <v>8.390000000000001</v>
      </c>
      <c r="M159" s="25" t="n">
        <v>8.609999999999999</v>
      </c>
    </row>
    <row r="160" ht="15" customHeight="1" s="22">
      <c r="A160" s="25" t="inlineStr">
        <is>
          <t>T16</t>
        </is>
      </c>
      <c r="B160" s="25" t="inlineStr">
        <is>
          <t>T</t>
        </is>
      </c>
      <c r="C160" s="25" t="inlineStr">
        <is>
          <t>smjuoksu</t>
        </is>
      </c>
      <c r="D160" s="25" t="n">
        <v>7.9</v>
      </c>
      <c r="E160" s="25" t="n">
        <v>8.050000000000001</v>
      </c>
      <c r="F160" s="25" t="n">
        <v>8.279999999999999</v>
      </c>
      <c r="G160" s="25" t="n">
        <v>8.449999999999999</v>
      </c>
      <c r="H160" s="25" t="n">
        <v>99</v>
      </c>
      <c r="I160" s="25" t="inlineStr">
        <is>
          <t>T16smjuoksu</t>
        </is>
      </c>
      <c r="J160" s="25" t="n">
        <v>7.9</v>
      </c>
      <c r="K160" s="25" t="n">
        <v>8.050000000000001</v>
      </c>
      <c r="L160" s="25" t="n">
        <v>8.279999999999999</v>
      </c>
      <c r="M160" s="25" t="n">
        <v>8.449999999999999</v>
      </c>
    </row>
    <row r="161" ht="15" customHeight="1" s="22">
      <c r="A161" s="25" t="inlineStr">
        <is>
          <t>T17</t>
        </is>
      </c>
      <c r="B161" s="25" t="inlineStr">
        <is>
          <t>T</t>
        </is>
      </c>
      <c r="C161" s="25" t="inlineStr">
        <is>
          <t>smjuoksu</t>
        </is>
      </c>
      <c r="D161" s="25" t="n">
        <v>7.85</v>
      </c>
      <c r="E161" s="25" t="n">
        <v>7.98</v>
      </c>
      <c r="F161" s="25" t="n">
        <v>8.25</v>
      </c>
      <c r="G161" s="25" t="n">
        <v>8.380000000000001</v>
      </c>
      <c r="H161" s="25" t="n">
        <v>99</v>
      </c>
      <c r="I161" s="25" t="inlineStr">
        <is>
          <t>T17smjuoksu</t>
        </is>
      </c>
      <c r="J161" s="25" t="n">
        <v>7.85</v>
      </c>
      <c r="K161" s="25" t="n">
        <v>7.98</v>
      </c>
      <c r="L161" s="25" t="n">
        <v>8.25</v>
      </c>
      <c r="M161" s="25" t="n">
        <v>8.380000000000001</v>
      </c>
    </row>
    <row r="162" ht="15" customHeight="1" s="22">
      <c r="A162" s="25" t="inlineStr">
        <is>
          <t>T18</t>
        </is>
      </c>
      <c r="B162" s="25" t="inlineStr">
        <is>
          <t>T</t>
        </is>
      </c>
      <c r="C162" s="25" t="inlineStr">
        <is>
          <t>smjuoksu</t>
        </is>
      </c>
      <c r="D162" s="25" t="n">
        <v>7.8</v>
      </c>
      <c r="E162" s="25" t="n">
        <v>7.91</v>
      </c>
      <c r="F162" s="25" t="n">
        <v>8.199999999999999</v>
      </c>
      <c r="G162" s="25" t="n">
        <v>8.300000000000001</v>
      </c>
      <c r="H162" s="25" t="n">
        <v>99</v>
      </c>
      <c r="I162" s="25" t="inlineStr">
        <is>
          <t>T18smjuoksu</t>
        </is>
      </c>
      <c r="J162" s="25" t="n">
        <v>7.8</v>
      </c>
      <c r="K162" s="25" t="n">
        <v>7.91</v>
      </c>
      <c r="L162" s="25" t="n">
        <v>8.199999999999999</v>
      </c>
      <c r="M162" s="25" t="n">
        <v>8.300000000000001</v>
      </c>
    </row>
    <row r="163" ht="15" customHeight="1" s="22">
      <c r="A163" s="25" t="inlineStr">
        <is>
          <t>T19</t>
        </is>
      </c>
      <c r="B163" s="25" t="inlineStr">
        <is>
          <t>T</t>
        </is>
      </c>
      <c r="C163" s="25" t="inlineStr">
        <is>
          <t>smjuoksu</t>
        </is>
      </c>
      <c r="D163" s="25" t="n">
        <v>7.75</v>
      </c>
      <c r="E163" s="25" t="n">
        <v>7.86</v>
      </c>
      <c r="F163" s="25" t="n">
        <v>8.15</v>
      </c>
      <c r="G163" s="25" t="n">
        <v>8.25</v>
      </c>
      <c r="H163" s="25" t="n">
        <v>99</v>
      </c>
      <c r="I163" s="25" t="inlineStr">
        <is>
          <t>T19smjuoksu</t>
        </is>
      </c>
      <c r="J163" s="25" t="n">
        <v>7.75</v>
      </c>
      <c r="K163" s="25" t="n">
        <v>7.86</v>
      </c>
      <c r="L163" s="25" t="n">
        <v>8.15</v>
      </c>
      <c r="M163" s="25" t="n">
        <v>8.25</v>
      </c>
    </row>
    <row r="164" ht="15" customHeight="1" s="22">
      <c r="A164" s="25" t="inlineStr">
        <is>
          <t>T10</t>
        </is>
      </c>
      <c r="B164" s="25" t="inlineStr">
        <is>
          <t>T</t>
        </is>
      </c>
      <c r="C164" s="25" t="inlineStr">
        <is>
          <t>smpallo</t>
        </is>
      </c>
      <c r="D164" s="25" t="n">
        <v>10.49</v>
      </c>
      <c r="E164" s="25" t="n">
        <v>10.9</v>
      </c>
      <c r="F164" s="25" t="n">
        <v>11.39</v>
      </c>
      <c r="G164" s="25" t="n">
        <v>11.96</v>
      </c>
      <c r="H164" s="25" t="n">
        <v>99</v>
      </c>
      <c r="I164" s="25" t="inlineStr">
        <is>
          <t>T10smpallo</t>
        </is>
      </c>
      <c r="J164" s="25" t="n">
        <v>10.49</v>
      </c>
      <c r="K164" s="25" t="n">
        <v>10.9</v>
      </c>
      <c r="L164" s="25" t="n">
        <v>11.39</v>
      </c>
      <c r="M164" s="25" t="n">
        <v>11.96</v>
      </c>
    </row>
    <row r="165" ht="15" customHeight="1" s="22">
      <c r="A165" s="25" t="inlineStr">
        <is>
          <t>T11</t>
        </is>
      </c>
      <c r="B165" s="25" t="inlineStr">
        <is>
          <t>T</t>
        </is>
      </c>
      <c r="C165" s="25" t="inlineStr">
        <is>
          <t>smpallo</t>
        </is>
      </c>
      <c r="D165" s="25" t="n">
        <v>9.949999999999999</v>
      </c>
      <c r="E165" s="25" t="n">
        <v>10.43</v>
      </c>
      <c r="F165" s="25" t="n">
        <v>10.83</v>
      </c>
      <c r="G165" s="25" t="n">
        <v>11.32</v>
      </c>
      <c r="H165" s="25" t="n">
        <v>99</v>
      </c>
      <c r="I165" s="25" t="inlineStr">
        <is>
          <t>T11smpallo</t>
        </is>
      </c>
      <c r="J165" s="25" t="n">
        <v>9.949999999999999</v>
      </c>
      <c r="K165" s="25" t="n">
        <v>10.43</v>
      </c>
      <c r="L165" s="25" t="n">
        <v>10.83</v>
      </c>
      <c r="M165" s="25" t="n">
        <v>11.32</v>
      </c>
    </row>
    <row r="166" ht="15" customHeight="1" s="22">
      <c r="A166" s="25" t="inlineStr">
        <is>
          <t>T12</t>
        </is>
      </c>
      <c r="B166" s="25" t="inlineStr">
        <is>
          <t>T</t>
        </is>
      </c>
      <c r="C166" s="25" t="inlineStr">
        <is>
          <t>smpallo</t>
        </is>
      </c>
      <c r="D166" s="25" t="n">
        <v>9.640000000000001</v>
      </c>
      <c r="E166" s="25" t="n">
        <v>10.11</v>
      </c>
      <c r="F166" s="25" t="n">
        <v>10.4</v>
      </c>
      <c r="G166" s="25" t="n">
        <v>10.87</v>
      </c>
      <c r="H166" s="25" t="n">
        <v>99</v>
      </c>
      <c r="I166" s="25" t="inlineStr">
        <is>
          <t>T12smpallo</t>
        </is>
      </c>
      <c r="J166" s="25" t="n">
        <v>9.640000000000001</v>
      </c>
      <c r="K166" s="25" t="n">
        <v>10.11</v>
      </c>
      <c r="L166" s="25" t="n">
        <v>10.4</v>
      </c>
      <c r="M166" s="25" t="n">
        <v>10.87</v>
      </c>
    </row>
    <row r="167" ht="15" customHeight="1" s="22">
      <c r="A167" s="25" t="inlineStr">
        <is>
          <t>T13</t>
        </is>
      </c>
      <c r="B167" s="25" t="inlineStr">
        <is>
          <t>T</t>
        </is>
      </c>
      <c r="C167" s="25" t="inlineStr">
        <is>
          <t>smpallo</t>
        </is>
      </c>
      <c r="D167" s="25" t="n">
        <v>9.41</v>
      </c>
      <c r="E167" s="25" t="n">
        <v>9.859999999999999</v>
      </c>
      <c r="F167" s="25" t="n">
        <v>10.12</v>
      </c>
      <c r="G167" s="25" t="n">
        <v>10.46</v>
      </c>
      <c r="H167" s="25" t="n">
        <v>99</v>
      </c>
      <c r="I167" s="25" t="inlineStr">
        <is>
          <t>T13smpallo</t>
        </is>
      </c>
      <c r="J167" s="25" t="n">
        <v>9.41</v>
      </c>
      <c r="K167" s="25" t="n">
        <v>9.859999999999999</v>
      </c>
      <c r="L167" s="25" t="n">
        <v>10.12</v>
      </c>
      <c r="M167" s="25" t="n">
        <v>10.46</v>
      </c>
    </row>
    <row r="168" ht="15" customHeight="1" s="22">
      <c r="A168" s="25" t="inlineStr">
        <is>
          <t>T14</t>
        </is>
      </c>
      <c r="B168" s="25" t="inlineStr">
        <is>
          <t>T</t>
        </is>
      </c>
      <c r="C168" s="25" t="inlineStr">
        <is>
          <t>smpallo</t>
        </is>
      </c>
      <c r="D168" s="25" t="n">
        <v>9.23</v>
      </c>
      <c r="E168" s="25" t="n">
        <v>9.529999999999999</v>
      </c>
      <c r="F168" s="25" t="n">
        <v>9.74</v>
      </c>
      <c r="G168" s="25" t="n">
        <v>10.19</v>
      </c>
      <c r="H168" s="25" t="n">
        <v>99</v>
      </c>
      <c r="I168" s="25" t="inlineStr">
        <is>
          <t>T14smpallo</t>
        </is>
      </c>
      <c r="J168" s="25" t="n">
        <v>9.23</v>
      </c>
      <c r="K168" s="25" t="n">
        <v>9.529999999999999</v>
      </c>
      <c r="L168" s="25" t="n">
        <v>9.74</v>
      </c>
      <c r="M168" s="25" t="n">
        <v>10.19</v>
      </c>
    </row>
    <row r="169" ht="15" customHeight="1" s="22">
      <c r="A169" s="25" t="inlineStr">
        <is>
          <t>T15</t>
        </is>
      </c>
      <c r="B169" s="25" t="inlineStr">
        <is>
          <t>T</t>
        </is>
      </c>
      <c r="C169" s="25" t="inlineStr">
        <is>
          <t>smpallo</t>
        </is>
      </c>
      <c r="D169" s="25" t="n">
        <v>9.07</v>
      </c>
      <c r="E169" s="25" t="n">
        <v>9.220000000000001</v>
      </c>
      <c r="F169" s="25" t="n">
        <v>9.51</v>
      </c>
      <c r="G169" s="25" t="n">
        <v>9.74</v>
      </c>
      <c r="H169" s="25" t="n">
        <v>99</v>
      </c>
      <c r="I169" s="25" t="inlineStr">
        <is>
          <t>T15smpallo</t>
        </is>
      </c>
      <c r="J169" s="25" t="n">
        <v>9.07</v>
      </c>
      <c r="K169" s="25" t="n">
        <v>9.220000000000001</v>
      </c>
      <c r="L169" s="25" t="n">
        <v>9.51</v>
      </c>
      <c r="M169" s="25" t="n">
        <v>9.74</v>
      </c>
    </row>
    <row r="170" ht="15" customHeight="1" s="22">
      <c r="A170" s="25" t="inlineStr">
        <is>
          <t>T16</t>
        </is>
      </c>
      <c r="B170" s="25" t="inlineStr">
        <is>
          <t>T</t>
        </is>
      </c>
      <c r="C170" s="25" t="inlineStr">
        <is>
          <t>smpallo</t>
        </is>
      </c>
      <c r="D170" s="25" t="n">
        <v>8.949999999999999</v>
      </c>
      <c r="E170" s="25" t="n">
        <v>9.1</v>
      </c>
      <c r="F170" s="25" t="n">
        <v>9.35</v>
      </c>
      <c r="G170" s="25" t="n">
        <v>9.56</v>
      </c>
      <c r="H170" s="25" t="n">
        <v>99</v>
      </c>
      <c r="I170" s="25" t="inlineStr">
        <is>
          <t>T16smpallo</t>
        </is>
      </c>
      <c r="J170" s="25" t="n">
        <v>8.949999999999999</v>
      </c>
      <c r="K170" s="25" t="n">
        <v>9.1</v>
      </c>
      <c r="L170" s="25" t="n">
        <v>9.35</v>
      </c>
      <c r="M170" s="25" t="n">
        <v>9.56</v>
      </c>
    </row>
    <row r="171" ht="15" customHeight="1" s="22">
      <c r="A171" s="25" t="inlineStr">
        <is>
          <t>T17</t>
        </is>
      </c>
      <c r="B171" s="25" t="inlineStr">
        <is>
          <t>T</t>
        </is>
      </c>
      <c r="C171" s="25" t="inlineStr">
        <is>
          <t>smpallo</t>
        </is>
      </c>
      <c r="D171" s="25" t="n">
        <v>8.9</v>
      </c>
      <c r="E171" s="25" t="n">
        <v>9.039999999999999</v>
      </c>
      <c r="F171" s="25" t="n">
        <v>9.32</v>
      </c>
      <c r="G171" s="25" t="n">
        <v>9.48</v>
      </c>
      <c r="H171" s="25" t="n">
        <v>99</v>
      </c>
      <c r="I171" s="25" t="inlineStr">
        <is>
          <t>T17smpallo</t>
        </is>
      </c>
      <c r="J171" s="25" t="n">
        <v>8.9</v>
      </c>
      <c r="K171" s="25" t="n">
        <v>9.039999999999999</v>
      </c>
      <c r="L171" s="25" t="n">
        <v>9.32</v>
      </c>
      <c r="M171" s="25" t="n">
        <v>9.48</v>
      </c>
    </row>
    <row r="172" ht="15" customHeight="1" s="22">
      <c r="A172" s="25" t="inlineStr">
        <is>
          <t>T18</t>
        </is>
      </c>
      <c r="B172" s="25" t="inlineStr">
        <is>
          <t>T</t>
        </is>
      </c>
      <c r="C172" s="25" t="inlineStr">
        <is>
          <t>smpallo</t>
        </is>
      </c>
      <c r="D172" s="25" t="n">
        <v>8.85</v>
      </c>
      <c r="E172" s="25" t="n">
        <v>8.970000000000001</v>
      </c>
      <c r="F172" s="25" t="n">
        <v>9.27</v>
      </c>
      <c r="G172" s="25" t="n">
        <v>9.4</v>
      </c>
      <c r="H172" s="25" t="n">
        <v>99</v>
      </c>
      <c r="I172" s="25" t="inlineStr">
        <is>
          <t>T18smpallo</t>
        </is>
      </c>
      <c r="J172" s="25" t="n">
        <v>8.85</v>
      </c>
      <c r="K172" s="25" t="n">
        <v>8.970000000000001</v>
      </c>
      <c r="L172" s="25" t="n">
        <v>9.27</v>
      </c>
      <c r="M172" s="25" t="n">
        <v>9.4</v>
      </c>
    </row>
    <row r="173" ht="15" customHeight="1" s="22">
      <c r="A173" s="25" t="inlineStr">
        <is>
          <t>T19</t>
        </is>
      </c>
      <c r="B173" s="25" t="inlineStr">
        <is>
          <t>T</t>
        </is>
      </c>
      <c r="C173" s="25" t="inlineStr">
        <is>
          <t>smpallo</t>
        </is>
      </c>
      <c r="D173" s="25" t="n">
        <v>8.800000000000001</v>
      </c>
      <c r="E173" s="25" t="n">
        <v>8.92</v>
      </c>
      <c r="F173" s="25" t="n">
        <v>9.220000000000001</v>
      </c>
      <c r="G173" s="25" t="n">
        <v>9.35</v>
      </c>
      <c r="H173" s="25" t="n">
        <v>99</v>
      </c>
      <c r="I173" s="25" t="inlineStr">
        <is>
          <t>T19smpallo</t>
        </is>
      </c>
      <c r="J173" s="25" t="n">
        <v>8.800000000000001</v>
      </c>
      <c r="K173" s="25" t="n">
        <v>8.92</v>
      </c>
      <c r="L173" s="25" t="n">
        <v>9.220000000000001</v>
      </c>
      <c r="M173" s="25" t="n">
        <v>9.35</v>
      </c>
    </row>
    <row r="174" ht="15" customHeight="1" s="22">
      <c r="A174" s="25" t="inlineStr">
        <is>
          <t>T10</t>
        </is>
      </c>
      <c r="B174" s="25" t="inlineStr">
        <is>
          <t>T</t>
        </is>
      </c>
      <c r="C174" s="25" t="inlineStr">
        <is>
          <t>cmj</t>
        </is>
      </c>
      <c r="D174" s="25" t="n">
        <v>26.2</v>
      </c>
      <c r="E174" s="25" t="n">
        <v>24</v>
      </c>
      <c r="F174" s="25" t="n">
        <v>22.5</v>
      </c>
      <c r="G174" s="25" t="n">
        <v>19.8</v>
      </c>
      <c r="H174" s="25" t="n">
        <v>0</v>
      </c>
      <c r="I174" s="25" t="inlineStr">
        <is>
          <t>T10cmj</t>
        </is>
      </c>
      <c r="J174" s="25" t="n">
        <v>26.2</v>
      </c>
      <c r="K174" s="25" t="n">
        <v>24</v>
      </c>
      <c r="L174" s="25" t="n">
        <v>22.5</v>
      </c>
      <c r="M174" s="25" t="n">
        <v>19.8</v>
      </c>
    </row>
    <row r="175" ht="15" customHeight="1" s="22">
      <c r="A175" s="25" t="inlineStr">
        <is>
          <t>T11</t>
        </is>
      </c>
      <c r="B175" s="25" t="inlineStr">
        <is>
          <t>T</t>
        </is>
      </c>
      <c r="C175" s="25" t="inlineStr">
        <is>
          <t>cmj</t>
        </is>
      </c>
      <c r="D175" s="25" t="n">
        <v>27.9</v>
      </c>
      <c r="E175" s="25" t="n">
        <v>25.2</v>
      </c>
      <c r="F175" s="25" t="n">
        <v>23.7</v>
      </c>
      <c r="G175" s="25" t="n">
        <v>21</v>
      </c>
      <c r="H175" s="25" t="n">
        <v>0</v>
      </c>
      <c r="I175" s="25" t="inlineStr">
        <is>
          <t>T11cmj</t>
        </is>
      </c>
      <c r="J175" s="25" t="n">
        <v>27.9</v>
      </c>
      <c r="K175" s="25" t="n">
        <v>25.2</v>
      </c>
      <c r="L175" s="25" t="n">
        <v>23.7</v>
      </c>
      <c r="M175" s="25" t="n">
        <v>21</v>
      </c>
    </row>
    <row r="176" ht="15" customHeight="1" s="22">
      <c r="A176" s="25" t="inlineStr">
        <is>
          <t>T12</t>
        </is>
      </c>
      <c r="B176" s="25" t="inlineStr">
        <is>
          <t>T</t>
        </is>
      </c>
      <c r="C176" s="25" t="inlineStr">
        <is>
          <t>cmj</t>
        </is>
      </c>
      <c r="D176" s="25" t="n">
        <v>29.3</v>
      </c>
      <c r="E176" s="25" t="n">
        <v>26.5</v>
      </c>
      <c r="F176" s="25" t="n">
        <v>25.3</v>
      </c>
      <c r="G176" s="25" t="n">
        <v>22.2</v>
      </c>
      <c r="H176" s="25" t="n">
        <v>0</v>
      </c>
      <c r="I176" s="25" t="inlineStr">
        <is>
          <t>T12cmj</t>
        </is>
      </c>
      <c r="J176" s="25" t="n">
        <v>29.3</v>
      </c>
      <c r="K176" s="25" t="n">
        <v>26.5</v>
      </c>
      <c r="L176" s="25" t="n">
        <v>25.3</v>
      </c>
      <c r="M176" s="25" t="n">
        <v>22.2</v>
      </c>
    </row>
    <row r="177" ht="15" customHeight="1" s="22">
      <c r="A177" s="25" t="inlineStr">
        <is>
          <t>T13</t>
        </is>
      </c>
      <c r="B177" s="25" t="inlineStr">
        <is>
          <t>T</t>
        </is>
      </c>
      <c r="C177" s="25" t="inlineStr">
        <is>
          <t>cmj</t>
        </is>
      </c>
      <c r="D177" s="25" t="n">
        <v>30.5</v>
      </c>
      <c r="E177" s="25" t="n">
        <v>27.7</v>
      </c>
      <c r="F177" s="25" t="n">
        <v>26.3</v>
      </c>
      <c r="G177" s="25" t="n">
        <v>23.2</v>
      </c>
      <c r="H177" s="25" t="n">
        <v>0</v>
      </c>
      <c r="I177" s="25" t="inlineStr">
        <is>
          <t>T13cmj</t>
        </is>
      </c>
      <c r="J177" s="25" t="n">
        <v>30.5</v>
      </c>
      <c r="K177" s="25" t="n">
        <v>27.7</v>
      </c>
      <c r="L177" s="25" t="n">
        <v>26.3</v>
      </c>
      <c r="M177" s="25" t="n">
        <v>23.2</v>
      </c>
    </row>
    <row r="178" ht="15" customHeight="1" s="22">
      <c r="A178" s="25" t="inlineStr">
        <is>
          <t>T14</t>
        </is>
      </c>
      <c r="B178" s="25" t="inlineStr">
        <is>
          <t>T</t>
        </is>
      </c>
      <c r="C178" s="25" t="inlineStr">
        <is>
          <t>cmj</t>
        </is>
      </c>
      <c r="D178" s="25" t="n">
        <v>32.2</v>
      </c>
      <c r="E178" s="25" t="n">
        <v>29.4</v>
      </c>
      <c r="F178" s="25" t="n">
        <v>28.4</v>
      </c>
      <c r="G178" s="25" t="n">
        <v>25</v>
      </c>
      <c r="H178" s="25" t="n">
        <v>0</v>
      </c>
      <c r="I178" s="25" t="inlineStr">
        <is>
          <t>T14cmj</t>
        </is>
      </c>
      <c r="J178" s="25" t="n">
        <v>32.2</v>
      </c>
      <c r="K178" s="25" t="n">
        <v>29.4</v>
      </c>
      <c r="L178" s="25" t="n">
        <v>28.4</v>
      </c>
      <c r="M178" s="25" t="n">
        <v>25</v>
      </c>
    </row>
    <row r="179" ht="15" customHeight="1" s="22">
      <c r="A179" s="25" t="inlineStr">
        <is>
          <t>T15</t>
        </is>
      </c>
      <c r="B179" s="25" t="inlineStr">
        <is>
          <t>T</t>
        </is>
      </c>
      <c r="C179" s="25" t="inlineStr">
        <is>
          <t>cmj</t>
        </is>
      </c>
      <c r="D179" s="25" t="n">
        <v>34.5</v>
      </c>
      <c r="E179" s="25" t="n">
        <v>32.2</v>
      </c>
      <c r="F179" s="25" t="n">
        <v>29.5</v>
      </c>
      <c r="G179" s="25" t="n">
        <v>26.7</v>
      </c>
      <c r="H179" s="25" t="n">
        <v>0</v>
      </c>
      <c r="I179" s="25" t="inlineStr">
        <is>
          <t>T15cmj</t>
        </is>
      </c>
      <c r="J179" s="25" t="n">
        <v>34.5</v>
      </c>
      <c r="K179" s="25" t="n">
        <v>32.2</v>
      </c>
      <c r="L179" s="25" t="n">
        <v>29.5</v>
      </c>
      <c r="M179" s="25" t="n">
        <v>26.7</v>
      </c>
    </row>
    <row r="180" ht="15" customHeight="1" s="22">
      <c r="A180" s="25" t="inlineStr">
        <is>
          <t>T16</t>
        </is>
      </c>
      <c r="B180" s="25" t="inlineStr">
        <is>
          <t>T</t>
        </is>
      </c>
      <c r="C180" s="25" t="inlineStr">
        <is>
          <t>cmj</t>
        </is>
      </c>
      <c r="D180" s="25" t="n">
        <v>35.4</v>
      </c>
      <c r="E180" s="25" t="n">
        <v>33.2</v>
      </c>
      <c r="F180" s="25" t="n">
        <v>30</v>
      </c>
      <c r="G180" s="25" t="n">
        <v>27.4</v>
      </c>
      <c r="H180" s="25" t="n">
        <v>0</v>
      </c>
      <c r="I180" s="25" t="inlineStr">
        <is>
          <t>T16cmj</t>
        </is>
      </c>
      <c r="J180" s="25" t="n">
        <v>35.4</v>
      </c>
      <c r="K180" s="25" t="n">
        <v>33.2</v>
      </c>
      <c r="L180" s="25" t="n">
        <v>30</v>
      </c>
      <c r="M180" s="25" t="n">
        <v>27.4</v>
      </c>
    </row>
    <row r="181" ht="15" customHeight="1" s="22">
      <c r="A181" s="25" t="inlineStr">
        <is>
          <t>T17</t>
        </is>
      </c>
      <c r="B181" s="25" t="inlineStr">
        <is>
          <t>T</t>
        </is>
      </c>
      <c r="C181" s="25" t="inlineStr">
        <is>
          <t>cmj</t>
        </is>
      </c>
      <c r="D181" s="25" t="n">
        <v>36</v>
      </c>
      <c r="E181" s="25" t="n">
        <v>34.4</v>
      </c>
      <c r="F181" s="25" t="n">
        <v>30.5</v>
      </c>
      <c r="G181" s="25" t="n">
        <v>27.8</v>
      </c>
      <c r="H181" s="25" t="n">
        <v>0</v>
      </c>
      <c r="I181" s="25" t="inlineStr">
        <is>
          <t>T17cmj</t>
        </is>
      </c>
      <c r="J181" s="25" t="n">
        <v>36</v>
      </c>
      <c r="K181" s="25" t="n">
        <v>34.4</v>
      </c>
      <c r="L181" s="25" t="n">
        <v>30.5</v>
      </c>
      <c r="M181" s="25" t="n">
        <v>27.8</v>
      </c>
    </row>
    <row r="182" ht="15" customHeight="1" s="22">
      <c r="A182" s="25" t="inlineStr">
        <is>
          <t>T18</t>
        </is>
      </c>
      <c r="B182" s="25" t="inlineStr">
        <is>
          <t>T</t>
        </is>
      </c>
      <c r="C182" s="25" t="inlineStr">
        <is>
          <t>cmj</t>
        </is>
      </c>
      <c r="D182" s="25" t="n">
        <v>37</v>
      </c>
      <c r="E182" s="25" t="n">
        <v>34.4</v>
      </c>
      <c r="F182" s="25" t="n">
        <v>30.5</v>
      </c>
      <c r="G182" s="25" t="n">
        <v>28.7</v>
      </c>
      <c r="H182" s="25" t="n">
        <v>0</v>
      </c>
      <c r="I182" s="25" t="inlineStr">
        <is>
          <t>T18cmj</t>
        </is>
      </c>
      <c r="J182" s="25" t="n">
        <v>37</v>
      </c>
      <c r="K182" s="25" t="n">
        <v>34.4</v>
      </c>
      <c r="L182" s="25" t="n">
        <v>30.5</v>
      </c>
      <c r="M182" s="25" t="n">
        <v>28.7</v>
      </c>
    </row>
    <row r="183" ht="15" customHeight="1" s="22">
      <c r="A183" s="25" t="inlineStr">
        <is>
          <t>T19</t>
        </is>
      </c>
      <c r="B183" s="25" t="inlineStr">
        <is>
          <t>T</t>
        </is>
      </c>
      <c r="C183" s="25" t="inlineStr">
        <is>
          <t>cmj</t>
        </is>
      </c>
      <c r="D183" s="25" t="n">
        <v>37.8</v>
      </c>
      <c r="E183" s="25" t="n">
        <v>34.8</v>
      </c>
      <c r="F183" s="25" t="n">
        <v>31.5</v>
      </c>
      <c r="G183" s="25" t="n">
        <v>29.2</v>
      </c>
      <c r="H183" s="25" t="n">
        <v>0</v>
      </c>
      <c r="I183" s="25" t="inlineStr">
        <is>
          <t>T19cmj</t>
        </is>
      </c>
      <c r="J183" s="25" t="n">
        <v>37.8</v>
      </c>
      <c r="K183" s="25" t="n">
        <v>34.8</v>
      </c>
      <c r="L183" s="25" t="n">
        <v>31.5</v>
      </c>
      <c r="M183" s="25" t="n">
        <v>29.2</v>
      </c>
    </row>
    <row r="184" ht="15" customHeight="1" s="22">
      <c r="A184" s="25" t="inlineStr">
        <is>
          <t>T10</t>
        </is>
      </c>
      <c r="B184" s="25" t="inlineStr">
        <is>
          <t>T</t>
        </is>
      </c>
      <c r="C184" s="25" t="inlineStr">
        <is>
          <t>bronco</t>
        </is>
      </c>
      <c r="D184" s="25" t="n">
        <v>3.8</v>
      </c>
      <c r="E184" s="25" t="n">
        <v>3.69</v>
      </c>
      <c r="F184" s="25" t="n">
        <v>3.54</v>
      </c>
      <c r="G184" s="25" t="n">
        <v>3.4</v>
      </c>
      <c r="H184" s="25" t="n">
        <v>0</v>
      </c>
      <c r="I184" s="25" t="inlineStr">
        <is>
          <t>T10bronco</t>
        </is>
      </c>
      <c r="J184" s="25" t="n">
        <v>3.8</v>
      </c>
      <c r="K184" s="25" t="n">
        <v>3.69</v>
      </c>
      <c r="L184" s="25" t="n">
        <v>3.54</v>
      </c>
      <c r="M184" s="25" t="n">
        <v>3.4</v>
      </c>
    </row>
    <row r="185" ht="15" customHeight="1" s="22">
      <c r="A185" s="25" t="inlineStr">
        <is>
          <t>T11</t>
        </is>
      </c>
      <c r="B185" s="25" t="inlineStr">
        <is>
          <t>T</t>
        </is>
      </c>
      <c r="C185" s="25" t="inlineStr">
        <is>
          <t>bronco</t>
        </is>
      </c>
      <c r="D185" s="25" t="n">
        <v>3.9</v>
      </c>
      <c r="E185" s="25" t="n">
        <v>3.77</v>
      </c>
      <c r="F185" s="25" t="n">
        <v>3.64</v>
      </c>
      <c r="G185" s="25" t="n">
        <v>3.5</v>
      </c>
      <c r="H185" s="25" t="n">
        <v>0</v>
      </c>
      <c r="I185" s="25" t="inlineStr">
        <is>
          <t>T11bronco</t>
        </is>
      </c>
      <c r="J185" s="25" t="n">
        <v>3.9</v>
      </c>
      <c r="K185" s="25" t="n">
        <v>3.77</v>
      </c>
      <c r="L185" s="25" t="n">
        <v>3.64</v>
      </c>
      <c r="M185" s="25" t="n">
        <v>3.5</v>
      </c>
    </row>
    <row r="186" ht="15" customHeight="1" s="22">
      <c r="A186" s="25" t="inlineStr">
        <is>
          <t>T12</t>
        </is>
      </c>
      <c r="B186" s="25" t="inlineStr">
        <is>
          <t>T</t>
        </is>
      </c>
      <c r="C186" s="25" t="inlineStr">
        <is>
          <t>bronco</t>
        </is>
      </c>
      <c r="D186" s="25" t="n">
        <v>4</v>
      </c>
      <c r="E186" s="25" t="n">
        <v>3.87</v>
      </c>
      <c r="F186" s="25" t="n">
        <v>3.72</v>
      </c>
      <c r="G186" s="25" t="n">
        <v>3.6</v>
      </c>
      <c r="H186" s="25" t="n">
        <v>0</v>
      </c>
      <c r="I186" s="25" t="inlineStr">
        <is>
          <t>T12bronco</t>
        </is>
      </c>
      <c r="J186" s="25" t="n">
        <v>4</v>
      </c>
      <c r="K186" s="25" t="n">
        <v>3.87</v>
      </c>
      <c r="L186" s="25" t="n">
        <v>3.72</v>
      </c>
      <c r="M186" s="25" t="n">
        <v>3.6</v>
      </c>
    </row>
    <row r="187" ht="15" customHeight="1" s="22">
      <c r="A187" s="25" t="inlineStr">
        <is>
          <t>T13</t>
        </is>
      </c>
      <c r="B187" s="25" t="inlineStr">
        <is>
          <t>T</t>
        </is>
      </c>
      <c r="C187" s="25" t="inlineStr">
        <is>
          <t>bronco</t>
        </is>
      </c>
      <c r="D187" s="25" t="n">
        <v>4.1</v>
      </c>
      <c r="E187" s="25" t="n">
        <v>3.97</v>
      </c>
      <c r="F187" s="25" t="n">
        <v>3.8</v>
      </c>
      <c r="G187" s="25" t="n">
        <v>3.7</v>
      </c>
      <c r="H187" s="25" t="n">
        <v>0</v>
      </c>
      <c r="I187" s="25" t="inlineStr">
        <is>
          <t>T13bronco</t>
        </is>
      </c>
      <c r="J187" s="25" t="n">
        <v>4.1</v>
      </c>
      <c r="K187" s="25" t="n">
        <v>3.97</v>
      </c>
      <c r="L187" s="25" t="n">
        <v>3.8</v>
      </c>
      <c r="M187" s="25" t="n">
        <v>3.7</v>
      </c>
    </row>
    <row r="188" ht="15" customHeight="1" s="22">
      <c r="A188" s="25" t="inlineStr">
        <is>
          <t>T14</t>
        </is>
      </c>
      <c r="B188" s="25" t="inlineStr">
        <is>
          <t>T</t>
        </is>
      </c>
      <c r="C188" s="25" t="inlineStr">
        <is>
          <t>bronco</t>
        </is>
      </c>
      <c r="D188" s="25" t="n">
        <v>4.2</v>
      </c>
      <c r="E188" s="25" t="n">
        <v>4.06</v>
      </c>
      <c r="F188" s="25" t="n">
        <v>3.9</v>
      </c>
      <c r="G188" s="25" t="n">
        <v>3.8</v>
      </c>
      <c r="H188" s="25" t="n">
        <v>0</v>
      </c>
      <c r="I188" s="25" t="inlineStr">
        <is>
          <t>T14bronco</t>
        </is>
      </c>
      <c r="J188" s="25" t="n">
        <v>4.2</v>
      </c>
      <c r="K188" s="25" t="n">
        <v>4.06</v>
      </c>
      <c r="L188" s="25" t="n">
        <v>3.9</v>
      </c>
      <c r="M188" s="25" t="n">
        <v>3.8</v>
      </c>
    </row>
    <row r="189" ht="15" customHeight="1" s="22">
      <c r="A189" s="25" t="inlineStr">
        <is>
          <t>T15</t>
        </is>
      </c>
      <c r="B189" s="25" t="inlineStr">
        <is>
          <t>T</t>
        </is>
      </c>
      <c r="C189" s="25" t="inlineStr">
        <is>
          <t>bronco</t>
        </is>
      </c>
      <c r="D189" s="25" t="n">
        <v>4.25</v>
      </c>
      <c r="E189" s="25" t="n">
        <v>4.11</v>
      </c>
      <c r="F189" s="25" t="n">
        <v>3.95</v>
      </c>
      <c r="G189" s="25" t="n">
        <v>3.85</v>
      </c>
      <c r="H189" s="25" t="n">
        <v>0</v>
      </c>
      <c r="I189" s="25" t="inlineStr">
        <is>
          <t>T15bronco</t>
        </is>
      </c>
      <c r="J189" s="25" t="n">
        <v>4.25</v>
      </c>
      <c r="K189" s="25" t="n">
        <v>4.11</v>
      </c>
      <c r="L189" s="25" t="n">
        <v>3.95</v>
      </c>
      <c r="M189" s="25" t="n">
        <v>3.85</v>
      </c>
    </row>
    <row r="190" ht="15" customHeight="1" s="22">
      <c r="A190" s="25" t="inlineStr">
        <is>
          <t>T16</t>
        </is>
      </c>
      <c r="B190" s="25" t="inlineStr">
        <is>
          <t>T</t>
        </is>
      </c>
      <c r="C190" s="25" t="inlineStr">
        <is>
          <t>bronco</t>
        </is>
      </c>
      <c r="D190" s="25" t="n">
        <v>4.3</v>
      </c>
      <c r="E190" s="25" t="n">
        <v>4.16</v>
      </c>
      <c r="F190" s="25" t="n">
        <v>4.05</v>
      </c>
      <c r="G190" s="25" t="n">
        <v>3.9</v>
      </c>
      <c r="H190" s="25" t="n">
        <v>0</v>
      </c>
      <c r="I190" s="25" t="inlineStr">
        <is>
          <t>T16bronco</t>
        </is>
      </c>
      <c r="J190" s="25" t="n">
        <v>4.3</v>
      </c>
      <c r="K190" s="25" t="n">
        <v>4.16</v>
      </c>
      <c r="L190" s="25" t="n">
        <v>4.05</v>
      </c>
      <c r="M190" s="25" t="n">
        <v>3.9</v>
      </c>
    </row>
    <row r="191" ht="15" customHeight="1" s="22">
      <c r="A191" s="25" t="inlineStr">
        <is>
          <t>T17</t>
        </is>
      </c>
      <c r="B191" s="25" t="inlineStr">
        <is>
          <t>T</t>
        </is>
      </c>
      <c r="C191" s="25" t="inlineStr">
        <is>
          <t>bronco</t>
        </is>
      </c>
      <c r="D191" s="25" t="n">
        <v>4.35</v>
      </c>
      <c r="E191" s="25" t="n">
        <v>4.21</v>
      </c>
      <c r="F191" s="25" t="n">
        <v>4.1</v>
      </c>
      <c r="G191" s="25" t="n">
        <v>3.95</v>
      </c>
      <c r="H191" s="25" t="n">
        <v>0</v>
      </c>
      <c r="I191" s="25" t="inlineStr">
        <is>
          <t>T17bronco</t>
        </is>
      </c>
      <c r="J191" s="25" t="n">
        <v>4.35</v>
      </c>
      <c r="K191" s="25" t="n">
        <v>4.21</v>
      </c>
      <c r="L191" s="25" t="n">
        <v>4.1</v>
      </c>
      <c r="M191" s="25" t="n">
        <v>3.95</v>
      </c>
    </row>
    <row r="192" ht="15" customHeight="1" s="22">
      <c r="A192" s="25" t="inlineStr">
        <is>
          <t>T18</t>
        </is>
      </c>
      <c r="B192" s="25" t="inlineStr">
        <is>
          <t>T</t>
        </is>
      </c>
      <c r="C192" s="25" t="inlineStr">
        <is>
          <t>bronco</t>
        </is>
      </c>
      <c r="D192" s="25" t="n">
        <v>4.4</v>
      </c>
      <c r="E192" s="25" t="n">
        <v>4.26</v>
      </c>
      <c r="F192" s="25" t="n">
        <v>4.15</v>
      </c>
      <c r="G192" s="25" t="n">
        <v>4</v>
      </c>
      <c r="H192" s="25" t="n">
        <v>0</v>
      </c>
      <c r="I192" s="25" t="inlineStr">
        <is>
          <t>T18bronco</t>
        </is>
      </c>
      <c r="J192" s="25" t="n">
        <v>4.4</v>
      </c>
      <c r="K192" s="25" t="n">
        <v>4.26</v>
      </c>
      <c r="L192" s="25" t="n">
        <v>4.15</v>
      </c>
      <c r="M192" s="25" t="n">
        <v>4</v>
      </c>
    </row>
    <row r="193" ht="15" customHeight="1" s="22">
      <c r="A193" s="25" t="inlineStr">
        <is>
          <t>T19</t>
        </is>
      </c>
      <c r="B193" s="25" t="inlineStr">
        <is>
          <t>T</t>
        </is>
      </c>
      <c r="C193" s="25" t="inlineStr">
        <is>
          <t>bronco</t>
        </is>
      </c>
      <c r="D193" s="25" t="n">
        <v>4.45</v>
      </c>
      <c r="E193" s="25" t="n">
        <v>4.31</v>
      </c>
      <c r="F193" s="25" t="n">
        <v>4.2</v>
      </c>
      <c r="G193" s="25" t="n">
        <v>4.05</v>
      </c>
      <c r="H193" s="25" t="n">
        <v>0</v>
      </c>
      <c r="I193" s="25" t="inlineStr">
        <is>
          <t>T19bronco</t>
        </is>
      </c>
      <c r="J193" s="25" t="n">
        <v>4.45</v>
      </c>
      <c r="K193" s="25" t="n">
        <v>4.31</v>
      </c>
      <c r="L193" s="25" t="n">
        <v>4.2</v>
      </c>
      <c r="M193" s="25" t="n">
        <v>4.05</v>
      </c>
    </row>
    <row r="194" ht="15" customHeight="1" s="22">
      <c r="A194" s="25" t="inlineStr">
        <is>
          <t>T10</t>
        </is>
      </c>
      <c r="B194" s="25" t="inlineStr">
        <is>
          <t>T</t>
        </is>
      </c>
      <c r="C194" s="25" t="inlineStr">
        <is>
          <t>pujottelu</t>
        </is>
      </c>
      <c r="D194" s="25" t="n">
        <v>28</v>
      </c>
      <c r="E194" s="25" t="n">
        <v>32</v>
      </c>
      <c r="F194" s="25" t="n">
        <v>99</v>
      </c>
      <c r="G194" s="25" t="n">
        <v>99</v>
      </c>
      <c r="H194" s="25" t="n">
        <v>99</v>
      </c>
      <c r="I194" s="25" t="inlineStr">
        <is>
          <t>T10pujottelu</t>
        </is>
      </c>
      <c r="J194" s="25" t="n">
        <v>28</v>
      </c>
      <c r="K194" s="25" t="n">
        <v>32</v>
      </c>
      <c r="L194" s="25" t="n">
        <v>99</v>
      </c>
      <c r="M194" s="25" t="n">
        <v>99</v>
      </c>
    </row>
    <row r="195" ht="15" customHeight="1" s="22">
      <c r="A195" s="25" t="inlineStr">
        <is>
          <t>T11</t>
        </is>
      </c>
      <c r="B195" s="25" t="inlineStr">
        <is>
          <t>T</t>
        </is>
      </c>
      <c r="C195" s="25" t="inlineStr">
        <is>
          <t>pujottelu</t>
        </is>
      </c>
      <c r="D195" s="25" t="n">
        <v>26.3</v>
      </c>
      <c r="E195" s="25" t="n">
        <v>29.8</v>
      </c>
      <c r="F195" s="25" t="n">
        <v>99</v>
      </c>
      <c r="G195" s="25" t="n">
        <v>99</v>
      </c>
      <c r="H195" s="25" t="n">
        <v>99</v>
      </c>
      <c r="I195" s="25" t="inlineStr">
        <is>
          <t>T11pujottelu</t>
        </is>
      </c>
      <c r="J195" s="25" t="n">
        <v>26.3</v>
      </c>
      <c r="K195" s="25" t="n">
        <v>29.8</v>
      </c>
      <c r="L195" s="25" t="n">
        <v>99</v>
      </c>
      <c r="M195" s="25" t="n">
        <v>99</v>
      </c>
    </row>
    <row r="196" ht="15" customHeight="1" s="22">
      <c r="A196" s="25" t="inlineStr">
        <is>
          <t>T12</t>
        </is>
      </c>
      <c r="B196" s="25" t="inlineStr">
        <is>
          <t>T</t>
        </is>
      </c>
      <c r="C196" s="25" t="inlineStr">
        <is>
          <t>pujottelu</t>
        </is>
      </c>
      <c r="D196" s="25" t="n">
        <v>25.1</v>
      </c>
      <c r="E196" s="25" t="n">
        <v>28.2</v>
      </c>
      <c r="F196" s="25" t="n">
        <v>99</v>
      </c>
      <c r="G196" s="25" t="n">
        <v>99</v>
      </c>
      <c r="H196" s="25" t="n">
        <v>99</v>
      </c>
      <c r="I196" s="25" t="inlineStr">
        <is>
          <t>T12pujottelu</t>
        </is>
      </c>
      <c r="J196" s="25" t="n">
        <v>25.1</v>
      </c>
      <c r="K196" s="25" t="n">
        <v>28.2</v>
      </c>
      <c r="L196" s="25" t="n">
        <v>99</v>
      </c>
      <c r="M196" s="25" t="n">
        <v>99</v>
      </c>
    </row>
    <row r="197" ht="15" customHeight="1" s="22">
      <c r="A197" s="25" t="inlineStr">
        <is>
          <t>T13</t>
        </is>
      </c>
      <c r="B197" s="25" t="inlineStr">
        <is>
          <t>T</t>
        </is>
      </c>
      <c r="C197" s="25" t="inlineStr">
        <is>
          <t>pujottelu</t>
        </is>
      </c>
      <c r="D197" s="25" t="n">
        <v>24.9</v>
      </c>
      <c r="E197" s="25" t="n">
        <v>27.5</v>
      </c>
      <c r="F197" s="25" t="n">
        <v>99</v>
      </c>
      <c r="G197" s="25" t="n">
        <v>99</v>
      </c>
      <c r="H197" s="25" t="n">
        <v>99</v>
      </c>
      <c r="I197" s="25" t="inlineStr">
        <is>
          <t>T13pujottelu</t>
        </is>
      </c>
      <c r="J197" s="25" t="n">
        <v>24.9</v>
      </c>
      <c r="K197" s="25" t="n">
        <v>27.5</v>
      </c>
      <c r="L197" s="25" t="n">
        <v>99</v>
      </c>
      <c r="M197" s="25" t="n">
        <v>99</v>
      </c>
    </row>
    <row r="198" ht="15" customHeight="1" s="22">
      <c r="A198" s="25" t="inlineStr">
        <is>
          <t>T14</t>
        </is>
      </c>
      <c r="B198" s="25" t="inlineStr">
        <is>
          <t>T</t>
        </is>
      </c>
      <c r="C198" s="25" t="inlineStr">
        <is>
          <t>pujottelu</t>
        </is>
      </c>
      <c r="D198" s="25" t="n">
        <v>24.2</v>
      </c>
      <c r="E198" s="25" t="n">
        <v>27</v>
      </c>
      <c r="F198" s="25" t="n">
        <v>99</v>
      </c>
      <c r="G198" s="25" t="n">
        <v>99</v>
      </c>
      <c r="H198" s="25" t="n">
        <v>99</v>
      </c>
      <c r="I198" s="25" t="inlineStr">
        <is>
          <t>T14pujottelu</t>
        </is>
      </c>
      <c r="J198" s="25" t="n">
        <v>24.2</v>
      </c>
      <c r="K198" s="25" t="n">
        <v>27</v>
      </c>
      <c r="L198" s="25" t="n">
        <v>99</v>
      </c>
      <c r="M198" s="25" t="n">
        <v>99</v>
      </c>
    </row>
    <row r="199" ht="15" customHeight="1" s="22">
      <c r="A199" s="25" t="inlineStr">
        <is>
          <t>T15</t>
        </is>
      </c>
      <c r="B199" s="25" t="inlineStr">
        <is>
          <t>T</t>
        </is>
      </c>
      <c r="C199" s="25" t="inlineStr">
        <is>
          <t>pujottelu</t>
        </is>
      </c>
      <c r="D199" s="25" t="n">
        <v>23.5</v>
      </c>
      <c r="E199" s="25" t="n">
        <v>26.3</v>
      </c>
      <c r="F199" s="25" t="n">
        <v>99</v>
      </c>
      <c r="G199" s="25" t="n">
        <v>99</v>
      </c>
      <c r="H199" s="25" t="n">
        <v>99</v>
      </c>
      <c r="I199" s="25" t="inlineStr">
        <is>
          <t>T15pujottelu</t>
        </is>
      </c>
      <c r="J199" s="25" t="n">
        <v>23.5</v>
      </c>
      <c r="K199" s="25" t="n">
        <v>26.3</v>
      </c>
      <c r="L199" s="25" t="n">
        <v>99</v>
      </c>
      <c r="M199" s="25" t="n">
        <v>99</v>
      </c>
    </row>
    <row r="200" ht="15" customHeight="1" s="22">
      <c r="A200" s="25" t="inlineStr">
        <is>
          <t>T10</t>
        </is>
      </c>
      <c r="B200" s="25" t="inlineStr">
        <is>
          <t>T</t>
        </is>
      </c>
      <c r="C200" s="25" t="inlineStr">
        <is>
          <t>syotto</t>
        </is>
      </c>
      <c r="D200" s="25" t="n">
        <v>43.8</v>
      </c>
      <c r="E200" s="25" t="n">
        <v>51.2</v>
      </c>
      <c r="F200" s="25" t="n">
        <v>99</v>
      </c>
      <c r="G200" s="25" t="n">
        <v>99</v>
      </c>
      <c r="H200" s="25" t="n">
        <v>99</v>
      </c>
      <c r="I200" s="25" t="inlineStr">
        <is>
          <t>T10syotto</t>
        </is>
      </c>
      <c r="J200" s="25" t="n">
        <v>43.8</v>
      </c>
      <c r="K200" s="25" t="n">
        <v>51.2</v>
      </c>
      <c r="L200" s="25" t="n">
        <v>99</v>
      </c>
      <c r="M200" s="25" t="n">
        <v>99</v>
      </c>
    </row>
    <row r="201" ht="15" customHeight="1" s="22">
      <c r="A201" s="25" t="inlineStr">
        <is>
          <t>T11</t>
        </is>
      </c>
      <c r="B201" s="25" t="inlineStr">
        <is>
          <t>T</t>
        </is>
      </c>
      <c r="C201" s="25" t="inlineStr">
        <is>
          <t>syotto</t>
        </is>
      </c>
      <c r="D201" s="25" t="n">
        <v>40.2</v>
      </c>
      <c r="E201" s="25" t="n">
        <v>46.9</v>
      </c>
      <c r="F201" s="25" t="n">
        <v>99</v>
      </c>
      <c r="G201" s="25" t="n">
        <v>99</v>
      </c>
      <c r="H201" s="25" t="n">
        <v>99</v>
      </c>
      <c r="I201" s="25" t="inlineStr">
        <is>
          <t>T11syotto</t>
        </is>
      </c>
      <c r="J201" s="25" t="n">
        <v>40.2</v>
      </c>
      <c r="K201" s="25" t="n">
        <v>46.9</v>
      </c>
      <c r="L201" s="25" t="n">
        <v>99</v>
      </c>
      <c r="M201" s="25" t="n">
        <v>99</v>
      </c>
    </row>
    <row r="202" ht="15" customHeight="1" s="22">
      <c r="A202" s="25" t="inlineStr">
        <is>
          <t>T12</t>
        </is>
      </c>
      <c r="B202" s="25" t="inlineStr">
        <is>
          <t>T</t>
        </is>
      </c>
      <c r="C202" s="25" t="inlineStr">
        <is>
          <t>syotto</t>
        </is>
      </c>
      <c r="D202" s="25" t="n">
        <v>37</v>
      </c>
      <c r="E202" s="25" t="n">
        <v>42.7</v>
      </c>
      <c r="F202" s="25" t="n">
        <v>99</v>
      </c>
      <c r="G202" s="25" t="n">
        <v>99</v>
      </c>
      <c r="H202" s="25" t="n">
        <v>99</v>
      </c>
      <c r="I202" s="25" t="inlineStr">
        <is>
          <t>T12syotto</t>
        </is>
      </c>
      <c r="J202" s="25" t="n">
        <v>37</v>
      </c>
      <c r="K202" s="25" t="n">
        <v>42.7</v>
      </c>
      <c r="L202" s="25" t="n">
        <v>99</v>
      </c>
      <c r="M202" s="25" t="n">
        <v>99</v>
      </c>
    </row>
    <row r="203" ht="15" customHeight="1" s="22">
      <c r="A203" s="25" t="inlineStr">
        <is>
          <t>T13</t>
        </is>
      </c>
      <c r="B203" s="25" t="inlineStr">
        <is>
          <t>T</t>
        </is>
      </c>
      <c r="C203" s="25" t="inlineStr">
        <is>
          <t>syotto</t>
        </is>
      </c>
      <c r="D203" s="25" t="n">
        <v>35.8</v>
      </c>
      <c r="E203" s="25" t="n">
        <v>40.9</v>
      </c>
      <c r="F203" s="25" t="n">
        <v>99</v>
      </c>
      <c r="G203" s="25" t="n">
        <v>99</v>
      </c>
      <c r="H203" s="25" t="n">
        <v>99</v>
      </c>
      <c r="I203" s="25" t="inlineStr">
        <is>
          <t>T13syotto</t>
        </is>
      </c>
      <c r="J203" s="25" t="n">
        <v>35.8</v>
      </c>
      <c r="K203" s="25" t="n">
        <v>40.9</v>
      </c>
      <c r="L203" s="25" t="n">
        <v>99</v>
      </c>
      <c r="M203" s="25" t="n">
        <v>99</v>
      </c>
    </row>
    <row r="204" ht="15" customHeight="1" s="22">
      <c r="A204" s="25" t="inlineStr">
        <is>
          <t>T14</t>
        </is>
      </c>
      <c r="B204" s="25" t="inlineStr">
        <is>
          <t>T</t>
        </is>
      </c>
      <c r="C204" s="25" t="inlineStr">
        <is>
          <t>syotto</t>
        </is>
      </c>
      <c r="D204" s="25" t="n">
        <v>34</v>
      </c>
      <c r="E204" s="25" t="n">
        <v>39.3</v>
      </c>
      <c r="F204" s="25" t="n">
        <v>99</v>
      </c>
      <c r="G204" s="25" t="n">
        <v>99</v>
      </c>
      <c r="H204" s="25" t="n">
        <v>99</v>
      </c>
      <c r="I204" s="25" t="inlineStr">
        <is>
          <t>T14syotto</t>
        </is>
      </c>
      <c r="J204" s="25" t="n">
        <v>34</v>
      </c>
      <c r="K204" s="25" t="n">
        <v>39.3</v>
      </c>
      <c r="L204" s="25" t="n">
        <v>99</v>
      </c>
      <c r="M204" s="25" t="n">
        <v>99</v>
      </c>
    </row>
    <row r="205" ht="15" customHeight="1" s="22">
      <c r="A205" s="25" t="inlineStr">
        <is>
          <t>T15</t>
        </is>
      </c>
      <c r="B205" s="25" t="inlineStr">
        <is>
          <t>T</t>
        </is>
      </c>
      <c r="C205" s="25" t="inlineStr">
        <is>
          <t>syotto</t>
        </is>
      </c>
      <c r="D205" s="25" t="n">
        <v>32.8</v>
      </c>
      <c r="E205" s="25" t="n">
        <v>38.5</v>
      </c>
      <c r="F205" s="25" t="n">
        <v>99</v>
      </c>
      <c r="G205" s="25" t="n">
        <v>99</v>
      </c>
      <c r="H205" s="25" t="n">
        <v>99</v>
      </c>
      <c r="I205" s="25" t="inlineStr">
        <is>
          <t>T15syotto</t>
        </is>
      </c>
      <c r="J205" s="25" t="n">
        <v>32.8</v>
      </c>
      <c r="K205" s="25" t="n">
        <v>38.5</v>
      </c>
      <c r="L205" s="25" t="n">
        <v>99</v>
      </c>
      <c r="M205" s="25" t="n">
        <v>99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7" ySplit="4" topLeftCell="H5" activePane="bottomRight" state="frozen"/>
      <selection pane="topRight"/>
      <selection pane="bottomLeft"/>
      <selection pane="bottomRigh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5" min="1" max="1"/>
    <col width="14" customWidth="1" style="25" min="2" max="2"/>
    <col width="11" customWidth="1" style="25" min="3" max="3"/>
    <col width="11" customWidth="1" style="25" min="4" max="4"/>
    <col width="14" customWidth="1" style="25" min="5" max="5"/>
    <col width="11" customWidth="1" style="25" min="6" max="6"/>
    <col width="11" customWidth="1" style="25" min="7" max="7"/>
    <col width="7" customWidth="1" style="25" min="8" max="11"/>
    <col width="7" customWidth="1" style="22" min="9" max="9"/>
    <col width="7" customWidth="1" style="22" min="10" max="10"/>
    <col width="9" customWidth="1" style="22" min="11" max="11"/>
    <col width="7" customWidth="1" style="25" min="12" max="12"/>
    <col width="7" customWidth="1" style="25" min="13" max="14"/>
    <col width="7" customWidth="1" style="22" min="14" max="14"/>
    <col width="7" customWidth="1" style="25" min="15" max="15"/>
    <col width="9" customWidth="1" style="25" min="16" max="17"/>
    <col width="7" customWidth="1" style="22" min="17" max="17"/>
    <col width="7" customWidth="1" style="25" min="18" max="18"/>
    <col width="7" customWidth="1" style="25" min="19" max="27"/>
    <col width="7" customWidth="1" style="22" min="20" max="20"/>
    <col width="9" customWidth="1" style="22" min="21" max="21"/>
    <col width="7" customWidth="1" style="22" min="22" max="22"/>
    <col width="7" customWidth="1" style="22" min="23" max="23"/>
    <col width="7" customWidth="1" style="22" min="24" max="24"/>
    <col width="7" customWidth="1" style="22" min="25" max="25"/>
    <col width="9" customWidth="1" style="22" min="26" max="26"/>
    <col width="7" customWidth="1" style="22" min="27" max="27"/>
    <col width="7" customWidth="1" style="25" min="28" max="28"/>
    <col width="7" customWidth="1" style="25" min="29" max="29"/>
    <col width="7" customWidth="1" style="25" min="30" max="30"/>
    <col width="9" customWidth="1" style="22" min="31" max="31"/>
    <col width="7" customWidth="1" style="22" min="32" max="32"/>
    <col width="7" customWidth="1" style="22" min="33" max="33"/>
    <col width="7" customWidth="1" style="22" min="34" max="34"/>
    <col width="7" customWidth="1" style="22" min="35" max="35"/>
    <col width="9" customWidth="1" style="22" min="36" max="36"/>
    <col width="7" customWidth="1" style="22" min="37" max="37"/>
    <col width="7" customWidth="1" style="22" min="38" max="38"/>
    <col width="7" customWidth="1" style="22" min="39" max="39"/>
    <col width="9" customWidth="1" style="22" min="40" max="40"/>
    <col width="7" customWidth="1" style="22" min="41" max="41"/>
    <col width="7" customWidth="1" style="22" min="42" max="42"/>
    <col width="7" customWidth="1" style="22" min="43" max="43"/>
    <col width="7" customWidth="1" style="22" min="44" max="44"/>
    <col width="9" customWidth="1" style="22" min="45" max="45"/>
    <col width="7" customWidth="1" style="22" min="46" max="46"/>
    <col width="7" customWidth="1" style="22" min="47" max="47"/>
    <col width="9" customWidth="1" style="22" min="48" max="48"/>
    <col width="7" customWidth="1" style="22" min="49" max="49"/>
    <col width="7" customWidth="1" style="22" min="50" max="50"/>
    <col width="7" customWidth="1" style="22" min="51" max="51"/>
    <col width="9" customWidth="1" style="22" min="52" max="52"/>
    <col width="7" customWidth="1" style="22" min="53" max="53"/>
    <col width="7" customWidth="1" style="22" min="54" max="54"/>
    <col width="7" customWidth="1" style="22" min="55" max="55"/>
    <col width="9" customWidth="1" style="22" min="56" max="56"/>
    <col width="7" customWidth="1" style="22" min="57" max="57"/>
    <col width="9" customWidth="1" style="22" min="58" max="58"/>
    <col width="9" customWidth="1" style="22" min="59" max="59"/>
    <col width="20" customWidth="1" style="22" min="60" max="60"/>
  </cols>
  <sheetData>
    <row r="1" ht="22" customHeight="1" s="22">
      <c r="A1" s="42" t="inlineStr">
        <is>
          <t>TalentMaster™ — H-H-polun fyysistekniset testit (Eerikkilä/Palloliitto 2024)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2" t="n"/>
      <c r="AE1" s="42" t="n"/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2" t="n"/>
      <c r="AS1" s="42" t="n"/>
      <c r="AT1" s="42" t="n"/>
      <c r="AU1" s="42" t="n"/>
      <c r="AV1" s="42" t="n"/>
      <c r="AW1" s="42" t="n"/>
      <c r="AX1" s="42" t="n"/>
      <c r="AY1" s="42" t="n"/>
      <c r="AZ1" s="42" t="n"/>
      <c r="BA1" s="42" t="n"/>
      <c r="BB1" s="42" t="n"/>
      <c r="BC1" s="42" t="n"/>
      <c r="BD1" s="42" t="n"/>
      <c r="BE1" s="42" t="n"/>
      <c r="BF1" s="42" t="n"/>
      <c r="BG1" s="42" t="n"/>
      <c r="BH1" s="42" t="n"/>
    </row>
    <row r="2" ht="15" customHeight="1" s="22">
      <c r="A2" s="43" t="inlineStr">
        <is>
          <t>🔵 Pakollinen kenttä   🟢 Syötä RAW-tulos (joka yritys)   ⭐ Paras = automaattinen   🟡 Taso = automaattinen   Bio-ikä = syötä Mirwald-pohjasta</t>
        </is>
      </c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  <c r="AA2" s="43" t="n"/>
      <c r="AB2" s="43" t="n"/>
      <c r="AC2" s="43" t="n"/>
      <c r="AD2" s="43" t="n"/>
      <c r="AE2" s="43" t="n"/>
      <c r="AF2" s="43" t="n"/>
      <c r="AG2" s="43" t="n"/>
      <c r="AH2" s="43" t="n"/>
      <c r="AI2" s="43" t="n"/>
      <c r="AJ2" s="43" t="n"/>
      <c r="AK2" s="43" t="n"/>
      <c r="AL2" s="43" t="n"/>
      <c r="AM2" s="43" t="n"/>
      <c r="AN2" s="43" t="n"/>
      <c r="AO2" s="43" t="n"/>
      <c r="AP2" s="43" t="n"/>
      <c r="AQ2" s="43" t="n"/>
      <c r="AR2" s="43" t="n"/>
      <c r="AS2" s="43" t="n"/>
      <c r="AT2" s="43" t="n"/>
      <c r="AU2" s="43" t="n"/>
      <c r="AV2" s="43" t="n"/>
      <c r="AW2" s="43" t="n"/>
      <c r="AX2" s="43" t="n"/>
      <c r="AY2" s="43" t="n"/>
      <c r="AZ2" s="43" t="n"/>
      <c r="BA2" s="43" t="n"/>
      <c r="BB2" s="43" t="n"/>
      <c r="BC2" s="43" t="n"/>
      <c r="BD2" s="43" t="n"/>
      <c r="BE2" s="43" t="n"/>
      <c r="BF2" s="43" t="n"/>
      <c r="BG2" s="43" t="n"/>
      <c r="BH2" s="43" t="n"/>
    </row>
    <row r="3" ht="14" customHeight="1" s="22">
      <c r="A3" s="44" t="inlineStr">
        <is>
          <t>YRITYKSET: Lin/Kasi/SM-j/CMJ = 3 yritystä | SM-pallo/Pujottelu/Syöttö = 2 yritystä | Bronco = 1 yritys | Paras tulos lasketaan automaattisesti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  <c r="AE3" s="44" t="n"/>
      <c r="AF3" s="44" t="n"/>
      <c r="AG3" s="44" t="n"/>
      <c r="AH3" s="44" t="n"/>
      <c r="AI3" s="44" t="n"/>
      <c r="AJ3" s="44" t="n"/>
      <c r="AK3" s="44" t="n"/>
      <c r="AL3" s="44" t="n"/>
      <c r="AM3" s="44" t="n"/>
      <c r="AN3" s="44" t="n"/>
      <c r="AO3" s="44" t="n"/>
      <c r="AP3" s="44" t="n"/>
      <c r="AQ3" s="44" t="n"/>
      <c r="AR3" s="44" t="n"/>
      <c r="AS3" s="44" t="n"/>
      <c r="AT3" s="44" t="n"/>
      <c r="AU3" s="44" t="n"/>
      <c r="AV3" s="44" t="n"/>
      <c r="AW3" s="44" t="n"/>
      <c r="AX3" s="44" t="n"/>
      <c r="AY3" s="44" t="n"/>
      <c r="AZ3" s="44" t="n"/>
      <c r="BA3" s="44" t="n"/>
      <c r="BB3" s="44" t="n"/>
      <c r="BC3" s="44" t="n"/>
      <c r="BD3" s="44" t="n"/>
      <c r="BE3" s="44" t="n"/>
      <c r="BF3" s="44" t="n"/>
      <c r="BG3" s="44" t="n"/>
      <c r="BH3" s="44" t="n"/>
    </row>
    <row r="4" ht="45" customHeight="1" s="22">
      <c r="A4" s="45" t="inlineStr">
        <is>
          <t>PalloID *</t>
        </is>
      </c>
      <c r="B4" s="45" t="inlineStr">
        <is>
          <t>Nimi *</t>
        </is>
      </c>
      <c r="C4" s="45" t="inlineStr">
        <is>
          <t>Syntymäaika *</t>
        </is>
      </c>
      <c r="D4" s="45" t="inlineStr">
        <is>
          <t>Sukupuoli *</t>
        </is>
      </c>
      <c r="E4" s="45" t="inlineStr">
        <is>
          <t>Joukkue *</t>
        </is>
      </c>
      <c r="F4" s="45" t="inlineStr">
        <is>
          <t>Testauspvm *</t>
        </is>
      </c>
      <c r="G4" s="45" t="inlineStr">
        <is>
          <t>Arvioija</t>
        </is>
      </c>
      <c r="H4" s="46" t="inlineStr">
        <is>
          <t>5m
(s)
[1]</t>
        </is>
      </c>
      <c r="I4" s="46" t="inlineStr">
        <is>
          <t>5m
(s)
[2]</t>
        </is>
      </c>
      <c r="J4" s="46" t="inlineStr">
        <is>
          <t>5m
(s)
[3]</t>
        </is>
      </c>
      <c r="K4" s="47" t="inlineStr">
        <is>
          <t>★ Paras
5m</t>
        </is>
      </c>
      <c r="L4" s="48" t="inlineStr">
        <is>
          <t>Taso
5m</t>
        </is>
      </c>
      <c r="M4" s="46" t="inlineStr">
        <is>
          <t>10m
(s)
[1]</t>
        </is>
      </c>
      <c r="N4" s="46" t="inlineStr">
        <is>
          <t>10m
(s)
[2]</t>
        </is>
      </c>
      <c r="O4" s="46" t="inlineStr">
        <is>
          <t>10m
(s)
[3]</t>
        </is>
      </c>
      <c r="P4" s="47" t="inlineStr">
        <is>
          <t>★ Paras
10m</t>
        </is>
      </c>
      <c r="Q4" s="48" t="inlineStr">
        <is>
          <t>Taso
10m</t>
        </is>
      </c>
      <c r="R4" s="46" t="inlineStr">
        <is>
          <t>20m
(s)
[1]</t>
        </is>
      </c>
      <c r="S4" s="46" t="inlineStr">
        <is>
          <t>20m
(s)
[2]</t>
        </is>
      </c>
      <c r="T4" s="46" t="inlineStr">
        <is>
          <t>20m
(s)
[3]</t>
        </is>
      </c>
      <c r="U4" s="47" t="inlineStr">
        <is>
          <t>★ Paras
20m</t>
        </is>
      </c>
      <c r="V4" s="48" t="inlineStr">
        <is>
          <t>Taso
20m</t>
        </is>
      </c>
      <c r="W4" s="46" t="inlineStr">
        <is>
          <t>30m
(s)
[1]</t>
        </is>
      </c>
      <c r="X4" s="46" t="inlineStr">
        <is>
          <t>30m
(s)
[2]</t>
        </is>
      </c>
      <c r="Y4" s="46" t="inlineStr">
        <is>
          <t>30m
(s)
[3]</t>
        </is>
      </c>
      <c r="Z4" s="47" t="inlineStr">
        <is>
          <t>★ Paras
30m</t>
        </is>
      </c>
      <c r="AA4" s="48" t="inlineStr">
        <is>
          <t>Taso
30m</t>
        </is>
      </c>
      <c r="AB4" s="46" t="inlineStr">
        <is>
          <t>Kasirata
(s)
[1]</t>
        </is>
      </c>
      <c r="AC4" s="46" t="inlineStr">
        <is>
          <t>Kasirata
(s)
[2]</t>
        </is>
      </c>
      <c r="AD4" s="46" t="inlineStr">
        <is>
          <t>Kasirata
(s)
[3]</t>
        </is>
      </c>
      <c r="AE4" s="47" t="inlineStr">
        <is>
          <t>★ Paras
Kasirata</t>
        </is>
      </c>
      <c r="AF4" s="48" t="inlineStr">
        <is>
          <t>Taso
Kasirata</t>
        </is>
      </c>
      <c r="AG4" s="46" t="inlineStr">
        <is>
          <t>SM-juoksu
(s)
[1]</t>
        </is>
      </c>
      <c r="AH4" s="46" t="inlineStr">
        <is>
          <t>SM-juoksu
(s)
[2]</t>
        </is>
      </c>
      <c r="AI4" s="46" t="inlineStr">
        <is>
          <t>SM-juoksu
(s)
[3]</t>
        </is>
      </c>
      <c r="AJ4" s="47" t="inlineStr">
        <is>
          <t>★ Paras
SM-juoksu</t>
        </is>
      </c>
      <c r="AK4" s="48" t="inlineStr">
        <is>
          <t>Taso
SM-juoksu</t>
        </is>
      </c>
      <c r="AL4" s="46" t="inlineStr">
        <is>
          <t>SM-pallo
(s)
[1]</t>
        </is>
      </c>
      <c r="AM4" s="46" t="inlineStr">
        <is>
          <t>SM-pallo
(s)
[2]</t>
        </is>
      </c>
      <c r="AN4" s="47" t="inlineStr">
        <is>
          <t>★ Paras
SM-pallo</t>
        </is>
      </c>
      <c r="AO4" s="48" t="inlineStr">
        <is>
          <t>Taso
SM-pallo</t>
        </is>
      </c>
      <c r="AP4" s="46" t="inlineStr">
        <is>
          <t>CMJ
(cm)
[1]</t>
        </is>
      </c>
      <c r="AQ4" s="46" t="inlineStr">
        <is>
          <t>CMJ
(cm)
[2]</t>
        </is>
      </c>
      <c r="AR4" s="46" t="inlineStr">
        <is>
          <t>CMJ
(cm)
[3]</t>
        </is>
      </c>
      <c r="AS4" s="47" t="inlineStr">
        <is>
          <t>★ Paras
CMJ</t>
        </is>
      </c>
      <c r="AT4" s="48" t="inlineStr">
        <is>
          <t>Taso
CMJ</t>
        </is>
      </c>
      <c r="AU4" s="46" t="inlineStr">
        <is>
          <t>Bronco
(m/s)
[1]</t>
        </is>
      </c>
      <c r="AV4" s="47" t="inlineStr">
        <is>
          <t>★ Paras
Bronco</t>
        </is>
      </c>
      <c r="AW4" s="48" t="inlineStr">
        <is>
          <t>Taso
Bronco</t>
        </is>
      </c>
      <c r="AX4" s="46" t="inlineStr">
        <is>
          <t>Pujottelu
(s)
[1]</t>
        </is>
      </c>
      <c r="AY4" s="46" t="inlineStr">
        <is>
          <t>Pujottelu
(s)
[2]</t>
        </is>
      </c>
      <c r="AZ4" s="47" t="inlineStr">
        <is>
          <t>★ Paras
Pujottelu</t>
        </is>
      </c>
      <c r="BA4" s="48" t="inlineStr">
        <is>
          <t>Taso
Pujottelu</t>
        </is>
      </c>
      <c r="BB4" s="46" t="inlineStr">
        <is>
          <t>Syöttö
(s)
[1]</t>
        </is>
      </c>
      <c r="BC4" s="46" t="inlineStr">
        <is>
          <t>Syöttö
(s)
[2]</t>
        </is>
      </c>
      <c r="BD4" s="47" t="inlineStr">
        <is>
          <t>★ Paras
Syöttö</t>
        </is>
      </c>
      <c r="BE4" s="48" t="inlineStr">
        <is>
          <t>Taso
Syöttö</t>
        </is>
      </c>
      <c r="BF4" s="49" t="inlineStr">
        <is>
          <t>Bio-ikä
(Mirwald)</t>
        </is>
      </c>
      <c r="BG4" s="50" t="inlineStr">
        <is>
          <t>Taso-ero
bio-krono</t>
        </is>
      </c>
      <c r="BH4" s="51" t="inlineStr">
        <is>
          <t>Huomio</t>
        </is>
      </c>
    </row>
    <row r="5" ht="17" customHeight="1" s="22">
      <c r="A5" s="52" t="n"/>
      <c r="B5" s="52" t="n"/>
      <c r="C5" s="53" t="n"/>
      <c r="D5" s="52" t="n"/>
      <c r="E5" s="52" t="n"/>
      <c r="F5" s="52" t="n"/>
      <c r="G5" s="52" t="n"/>
      <c r="H5" s="54" t="n"/>
      <c r="I5" s="54" t="n"/>
      <c r="J5" s="54" t="n"/>
      <c r="K5" s="55">
        <f>IFERROR(MIN(H5,I5,J5),"")</f>
        <v/>
      </c>
      <c r="L5" s="56">
        <f>IF(OR(K5="",D5=""),"",IF(K5&lt;=IFERROR(VLOOKUP(CONCATENATE(D5,YEAR(TODAY())-YEAR(C5),"lin5m"),_viitearvot!$I$2:$M$205,2,FALSE()),99),5,IF(K5&lt;=IFERROR(VLOOKUP(CONCATENATE(D5,YEAR(TODAY())-YEAR(C5),"lin5m"),_viitearvot!$I$2:$M$205,3,FALSE()),99),4,IF(K5&lt;=IFERROR(VLOOKUP(CONCATENATE(D5,YEAR(TODAY())-YEAR(C5),"lin5m"),_viitearvot!$I$2:$M$205,4,FALSE()),99),3,IF(K5&lt;=IFERROR(VLOOKUP(CONCATENATE(D5,YEAR(TODAY())-YEAR(C5),"lin5m"),_viitearvot!$I$2:$M$205,5,FALSE()),99),2,1)))))</f>
        <v/>
      </c>
      <c r="M5" s="54" t="n"/>
      <c r="N5" s="54" t="n"/>
      <c r="O5" s="54" t="n"/>
      <c r="P5" s="55">
        <f>IFERROR(MIN(M5,N5,O5),"")</f>
        <v/>
      </c>
      <c r="Q5" s="56">
        <f>IF(OR(P5="",D5=""),"",IF(P5&lt;=IFERROR(VLOOKUP(CONCATENATE(D5,YEAR(TODAY())-YEAR(C5),"lin10m"),_viitearvot!$I$2:$M$205,2,FALSE()),99),5,IF(P5&lt;=IFERROR(VLOOKUP(CONCATENATE(D5,YEAR(TODAY())-YEAR(C5),"lin10m"),_viitearvot!$I$2:$M$205,3,FALSE()),99),4,IF(P5&lt;=IFERROR(VLOOKUP(CONCATENATE(D5,YEAR(TODAY())-YEAR(C5),"lin10m"),_viitearvot!$I$2:$M$205,4,FALSE()),99),3,IF(P5&lt;=IFERROR(VLOOKUP(CONCATENATE(D5,YEAR(TODAY())-YEAR(C5),"lin10m"),_viitearvot!$I$2:$M$205,5,FALSE()),99),2,1)))))</f>
        <v/>
      </c>
      <c r="R5" s="54" t="n"/>
      <c r="S5" s="54" t="n"/>
      <c r="T5" s="54" t="n"/>
      <c r="U5" s="55">
        <f>IFERROR(MIN(R5,S5,T5),"")</f>
        <v/>
      </c>
      <c r="V5" s="56">
        <f>IF(OR(U5="",D5=""),"",IF(U5&lt;=IFERROR(VLOOKUP(CONCATENATE(D5,YEAR(TODAY())-YEAR(C5),"lin20m"),_viitearvot!$I$2:$M$205,2,FALSE()),99),5,IF(U5&lt;=IFERROR(VLOOKUP(CONCATENATE(D5,YEAR(TODAY())-YEAR(C5),"lin20m"),_viitearvot!$I$2:$M$205,3,FALSE()),99),4,IF(U5&lt;=IFERROR(VLOOKUP(CONCATENATE(D5,YEAR(TODAY())-YEAR(C5),"lin20m"),_viitearvot!$I$2:$M$205,4,FALSE()),99),3,IF(U5&lt;=IFERROR(VLOOKUP(CONCATENATE(D5,YEAR(TODAY())-YEAR(C5),"lin20m"),_viitearvot!$I$2:$M$205,5,FALSE()),99),2,1)))))</f>
        <v/>
      </c>
      <c r="W5" s="54" t="n"/>
      <c r="X5" s="54" t="n"/>
      <c r="Y5" s="54" t="n"/>
      <c r="Z5" s="55">
        <f>IFERROR(MIN(W5,X5,Y5),"")</f>
        <v/>
      </c>
      <c r="AA5" s="56">
        <f>IF(OR(Z5="",D5=""),"",IF(Z5&lt;=IFERROR(VLOOKUP(CONCATENATE(D5,YEAR(TODAY())-YEAR(C5),"lin30m"),_viitearvot!$I$2:$M$205,2,FALSE()),99),5,IF(Z5&lt;=IFERROR(VLOOKUP(CONCATENATE(D5,YEAR(TODAY())-YEAR(C5),"lin30m"),_viitearvot!$I$2:$M$205,3,FALSE()),99),4,IF(Z5&lt;=IFERROR(VLOOKUP(CONCATENATE(D5,YEAR(TODAY())-YEAR(C5),"lin30m"),_viitearvot!$I$2:$M$205,4,FALSE()),99),3,IF(Z5&lt;=IFERROR(VLOOKUP(CONCATENATE(D5,YEAR(TODAY())-YEAR(C5),"lin30m"),_viitearvot!$I$2:$M$205,5,FALSE()),99),2,1)))))</f>
        <v/>
      </c>
      <c r="AB5" s="54" t="n"/>
      <c r="AC5" s="54" t="n"/>
      <c r="AD5" s="54" t="n"/>
      <c r="AE5" s="55">
        <f>IFERROR(MIN(AB5,AC5,AD5),"")</f>
        <v/>
      </c>
      <c r="AF5" s="56">
        <f>IF(OR(AE5="",D5=""),"",IF(AE5&lt;=IFERROR(VLOOKUP(CONCATENATE(D5,YEAR(TODAY())-YEAR(C5),"kasirata"),_viitearvot!$I$2:$M$205,2,FALSE()),99),5,IF(AE5&lt;=IFERROR(VLOOKUP(CONCATENATE(D5,YEAR(TODAY())-YEAR(C5),"kasirata"),_viitearvot!$I$2:$M$205,3,FALSE()),99),4,IF(AE5&lt;=IFERROR(VLOOKUP(CONCATENATE(D5,YEAR(TODAY())-YEAR(C5),"kasirata"),_viitearvot!$I$2:$M$205,4,FALSE()),99),3,IF(AE5&lt;=IFERROR(VLOOKUP(CONCATENATE(D5,YEAR(TODAY())-YEAR(C5),"kasirata"),_viitearvot!$I$2:$M$205,5,FALSE()),99),2,1)))))</f>
        <v/>
      </c>
      <c r="AG5" s="54" t="n"/>
      <c r="AH5" s="54" t="n"/>
      <c r="AI5" s="54" t="n"/>
      <c r="AJ5" s="55">
        <f>IFERROR(MIN(AG5,AH5,AI5),"")</f>
        <v/>
      </c>
      <c r="AK5" s="56">
        <f>IF(OR(AJ5="",D5=""),"",IF(AJ5&lt;=IFERROR(VLOOKUP(CONCATENATE(D5,YEAR(TODAY())-YEAR(C5),"smjuoksu"),_viitearvot!$I$2:$M$205,2,FALSE()),99),5,IF(AJ5&lt;=IFERROR(VLOOKUP(CONCATENATE(D5,YEAR(TODAY())-YEAR(C5),"smjuoksu"),_viitearvot!$I$2:$M$205,3,FALSE()),99),4,IF(AJ5&lt;=IFERROR(VLOOKUP(CONCATENATE(D5,YEAR(TODAY())-YEAR(C5),"smjuoksu"),_viitearvot!$I$2:$M$205,4,FALSE()),99),3,IF(AJ5&lt;=IFERROR(VLOOKUP(CONCATENATE(D5,YEAR(TODAY())-YEAR(C5),"smjuoksu"),_viitearvot!$I$2:$M$205,5,FALSE()),99),2,1)))))</f>
        <v/>
      </c>
      <c r="AL5" s="54" t="n"/>
      <c r="AM5" s="54" t="n"/>
      <c r="AN5" s="55">
        <f>IFERROR(MIN(AL5,AM5),"")</f>
        <v/>
      </c>
      <c r="AO5" s="56">
        <f>IF(OR(AN5="",D5=""),"",IF(AN5&lt;=IFERROR(VLOOKUP(CONCATENATE(D5,YEAR(TODAY())-YEAR(C5),"smpallo"),_viitearvot!$I$2:$M$205,2,FALSE()),99),5,IF(AN5&lt;=IFERROR(VLOOKUP(CONCATENATE(D5,YEAR(TODAY())-YEAR(C5),"smpallo"),_viitearvot!$I$2:$M$205,3,FALSE()),99),4,IF(AN5&lt;=IFERROR(VLOOKUP(CONCATENATE(D5,YEAR(TODAY())-YEAR(C5),"smpallo"),_viitearvot!$I$2:$M$205,4,FALSE()),99),3,IF(AN5&lt;=IFERROR(VLOOKUP(CONCATENATE(D5,YEAR(TODAY())-YEAR(C5),"smpallo"),_viitearvot!$I$2:$M$205,5,FALSE()),99),2,1)))))</f>
        <v/>
      </c>
      <c r="AP5" s="54" t="n"/>
      <c r="AQ5" s="54" t="n"/>
      <c r="AR5" s="54" t="n"/>
      <c r="AS5" s="55">
        <f>IFERROR(MAX(AP5,AQ5,AR5),"")</f>
        <v/>
      </c>
      <c r="AT5" s="56">
        <f>IF(OR(AS5="",D5=""),"",IF(AS5&gt;=IFERROR(VLOOKUP(CONCATENATE(D5,YEAR(TODAY())-YEAR(C5),"cmj"),_viitearvot!$I$2:$M$205,2,FALSE()),0),5,IF(AS5&gt;=IFERROR(VLOOKUP(CONCATENATE(D5,YEAR(TODAY())-YEAR(C5),"cmj"),_viitearvot!$I$2:$M$205,3,FALSE()),0),4,IF(AS5&gt;=IFERROR(VLOOKUP(CONCATENATE(D5,YEAR(TODAY())-YEAR(C5),"cmj"),_viitearvot!$I$2:$M$205,4,FALSE()),0),3,IF(AS5&gt;=IFERROR(VLOOKUP(CONCATENATE(D5,YEAR(TODAY())-YEAR(C5),"cmj"),_viitearvot!$I$2:$M$205,5,FALSE()),0),2,1)))))</f>
        <v/>
      </c>
      <c r="AU5" s="54" t="n"/>
      <c r="AV5" s="55">
        <f>IFERROR(MAX(AU5),"")</f>
        <v/>
      </c>
      <c r="AW5" s="56">
        <f>IF(OR(AV5="",D5=""),"",IF(AV5&gt;=IFERROR(VLOOKUP(CONCATENATE(D5,YEAR(TODAY())-YEAR(C5),"bronco"),_viitearvot!$I$2:$M$205,2,FALSE()),0),5,IF(AV5&gt;=IFERROR(VLOOKUP(CONCATENATE(D5,YEAR(TODAY())-YEAR(C5),"bronco"),_viitearvot!$I$2:$M$205,3,FALSE()),0),4,IF(AV5&gt;=IFERROR(VLOOKUP(CONCATENATE(D5,YEAR(TODAY())-YEAR(C5),"bronco"),_viitearvot!$I$2:$M$205,4,FALSE()),0),3,IF(AV5&gt;=IFERROR(VLOOKUP(CONCATENATE(D5,YEAR(TODAY())-YEAR(C5),"bronco"),_viitearvot!$I$2:$M$205,5,FALSE()),0),2,1)))))</f>
        <v/>
      </c>
      <c r="AX5" s="54" t="n"/>
      <c r="AY5" s="54" t="n"/>
      <c r="AZ5" s="55">
        <f>IFERROR(MIN(AX5,AY5),"")</f>
        <v/>
      </c>
      <c r="BA5" s="56">
        <f>IF(OR(AZ5="",D5=""),"",IF(AZ5&lt;=IFERROR(VLOOKUP(CONCATENATE(D5,YEAR(TODAY())-YEAR(C5),"pujottelu"),_viitearvot!$I$2:$M$205,2,FALSE()),99),5,IF(AZ5&lt;=IFERROR(VLOOKUP(CONCATENATE(D5,YEAR(TODAY())-YEAR(C5),"pujottelu"),_viitearvot!$I$2:$M$205,3,FALSE()),99),4,IF(AZ5&lt;=IFERROR(VLOOKUP(CONCATENATE(D5,YEAR(TODAY())-YEAR(C5),"pujottelu"),_viitearvot!$I$2:$M$205,4,FALSE()),99),3,IF(AZ5&lt;=IFERROR(VLOOKUP(CONCATENATE(D5,YEAR(TODAY())-YEAR(C5),"pujottelu"),_viitearvot!$I$2:$M$205,5,FALSE()),99),2,1)))))</f>
        <v/>
      </c>
      <c r="BB5" s="54" t="n"/>
      <c r="BC5" s="54" t="n"/>
      <c r="BD5" s="55">
        <f>IFERROR(MIN(BB5,BC5),"")</f>
        <v/>
      </c>
      <c r="BE5" s="56">
        <f>IF(OR(BD5="",D5=""),"",IF(BD5&lt;=IFERROR(VLOOKUP(CONCATENATE(D5,YEAR(TODAY())-YEAR(C5),"syotto"),_viitearvot!$I$2:$M$205,2,FALSE()),99),5,IF(BD5&lt;=IFERROR(VLOOKUP(CONCATENATE(D5,YEAR(TODAY())-YEAR(C5),"syotto"),_viitearvot!$I$2:$M$205,3,FALSE()),99),4,IF(BD5&lt;=IFERROR(VLOOKUP(CONCATENATE(D5,YEAR(TODAY())-YEAR(C5),"syotto"),_viitearvot!$I$2:$M$205,4,FALSE()),99),3,IF(BD5&lt;=IFERROR(VLOOKUP(CONCATENATE(D5,YEAR(TODAY())-YEAR(C5),"syotto"),_viitearvot!$I$2:$M$205,5,FALSE()),99),2,1)))))</f>
        <v/>
      </c>
      <c r="BF5" s="57" t="n"/>
      <c r="BG5" s="58">
        <f>IF(OR(BF5="",K5=""),"",(IF(D5="P",IF(K5&lt;=IFERROR(VLOOKUP(CONCATENATE("P",ROUND(BF5,0),"lin5m"),_viitearvot!$A:$H,4,FALSE()),99),5,IF(K5&lt;=IFERROR(VLOOKUP(CONCATENATE("P",ROUND(BF5,0),"lin5m"),_viitearvot!$A:$H,5,FALSE()),99),4,IF(K5&lt;=IFERROR(VLOOKUP(CONCATENATE("P",ROUND(BF5,0),"lin5m"),_viitearvot!$A:$H,6,FALSE()),99),3,IF(K5&lt;=IFERROR(VLOOKUP(CONCATENATE("P",ROUND(BF5,0),"lin5m"),_viitearvot!$A:$H,7,FALSE()),99),2,1)))),IF(K5&lt;=IFERROR(VLOOKUP(CONCATENATE("T",ROUND(BF5,0),"lin5m"),_viitearvot!$A:$H,4,FALSE()),99),5,IF(K5&lt;=IFERROR(VLOOKUP(CONCATENATE("T",ROUND(BF5,0),"lin5m"),_viitearvot!$A:$H,5,FALSE()),99),4,IF(K5&lt;=IFERROR(VLOOKUP(CONCATENATE("T",ROUND(BF5,0),"lin5m"),_viitearvot!$A:$H,6,FALSE()),99),3,IF(K5&lt;=IFERROR(VLOOKUP(CONCATENATE("T",ROUND(BF5,0),"lin5m"),_viitearvot!$A:$H,7,FALSE()),99),2,1))))))-L5)</f>
        <v/>
      </c>
      <c r="BH5" s="59" t="n"/>
    </row>
    <row r="6" ht="17" customHeight="1" s="22">
      <c r="A6" s="60" t="n"/>
      <c r="B6" s="60" t="n"/>
      <c r="C6" s="61" t="n"/>
      <c r="D6" s="60" t="n"/>
      <c r="E6" s="60" t="n"/>
      <c r="F6" s="60" t="n"/>
      <c r="G6" s="60" t="n"/>
      <c r="H6" s="62" t="n"/>
      <c r="I6" s="62" t="n"/>
      <c r="J6" s="62" t="n"/>
      <c r="K6" s="63">
        <f>IFERROR(MIN(H6,I6,J6),"")</f>
        <v/>
      </c>
      <c r="L6" s="64">
        <f>IF(OR(K6="",D6=""),"",IF(K6&lt;=IFERROR(VLOOKUP(CONCATENATE(D6,YEAR(TODAY())-YEAR(C6),"lin5m"),_viitearvot!$I$2:$M$205,2,FALSE()),99),5,IF(K6&lt;=IFERROR(VLOOKUP(CONCATENATE(D6,YEAR(TODAY())-YEAR(C6),"lin5m"),_viitearvot!$I$2:$M$205,3,FALSE()),99),4,IF(K6&lt;=IFERROR(VLOOKUP(CONCATENATE(D6,YEAR(TODAY())-YEAR(C6),"lin5m"),_viitearvot!$I$2:$M$205,4,FALSE()),99),3,IF(K6&lt;=IFERROR(VLOOKUP(CONCATENATE(D6,YEAR(TODAY())-YEAR(C6),"lin5m"),_viitearvot!$I$2:$M$205,5,FALSE()),99),2,1)))))</f>
        <v/>
      </c>
      <c r="M6" s="62" t="n"/>
      <c r="N6" s="62" t="n"/>
      <c r="O6" s="62" t="n"/>
      <c r="P6" s="63">
        <f>IFERROR(MIN(M6,N6,O6),"")</f>
        <v/>
      </c>
      <c r="Q6" s="64">
        <f>IF(OR(P6="",D6=""),"",IF(P6&lt;=IFERROR(VLOOKUP(CONCATENATE(D6,YEAR(TODAY())-YEAR(C6),"lin10m"),_viitearvot!$I$2:$M$205,2,FALSE()),99),5,IF(P6&lt;=IFERROR(VLOOKUP(CONCATENATE(D6,YEAR(TODAY())-YEAR(C6),"lin10m"),_viitearvot!$I$2:$M$205,3,FALSE()),99),4,IF(P6&lt;=IFERROR(VLOOKUP(CONCATENATE(D6,YEAR(TODAY())-YEAR(C6),"lin10m"),_viitearvot!$I$2:$M$205,4,FALSE()),99),3,IF(P6&lt;=IFERROR(VLOOKUP(CONCATENATE(D6,YEAR(TODAY())-YEAR(C6),"lin10m"),_viitearvot!$I$2:$M$205,5,FALSE()),99),2,1)))))</f>
        <v/>
      </c>
      <c r="R6" s="62" t="n"/>
      <c r="S6" s="62" t="n"/>
      <c r="T6" s="62" t="n"/>
      <c r="U6" s="63">
        <f>IFERROR(MIN(R6,S6,T6),"")</f>
        <v/>
      </c>
      <c r="V6" s="64">
        <f>IF(OR(U6="",D6=""),"",IF(U6&lt;=IFERROR(VLOOKUP(CONCATENATE(D6,YEAR(TODAY())-YEAR(C6),"lin20m"),_viitearvot!$I$2:$M$205,2,FALSE()),99),5,IF(U6&lt;=IFERROR(VLOOKUP(CONCATENATE(D6,YEAR(TODAY())-YEAR(C6),"lin20m"),_viitearvot!$I$2:$M$205,3,FALSE()),99),4,IF(U6&lt;=IFERROR(VLOOKUP(CONCATENATE(D6,YEAR(TODAY())-YEAR(C6),"lin20m"),_viitearvot!$I$2:$M$205,4,FALSE()),99),3,IF(U6&lt;=IFERROR(VLOOKUP(CONCATENATE(D6,YEAR(TODAY())-YEAR(C6),"lin20m"),_viitearvot!$I$2:$M$205,5,FALSE()),99),2,1)))))</f>
        <v/>
      </c>
      <c r="W6" s="62" t="n"/>
      <c r="X6" s="62" t="n"/>
      <c r="Y6" s="62" t="n"/>
      <c r="Z6" s="63">
        <f>IFERROR(MIN(W6,X6,Y6),"")</f>
        <v/>
      </c>
      <c r="AA6" s="64">
        <f>IF(OR(Z6="",D6=""),"",IF(Z6&lt;=IFERROR(VLOOKUP(CONCATENATE(D6,YEAR(TODAY())-YEAR(C6),"lin30m"),_viitearvot!$I$2:$M$205,2,FALSE()),99),5,IF(Z6&lt;=IFERROR(VLOOKUP(CONCATENATE(D6,YEAR(TODAY())-YEAR(C6),"lin30m"),_viitearvot!$I$2:$M$205,3,FALSE()),99),4,IF(Z6&lt;=IFERROR(VLOOKUP(CONCATENATE(D6,YEAR(TODAY())-YEAR(C6),"lin30m"),_viitearvot!$I$2:$M$205,4,FALSE()),99),3,IF(Z6&lt;=IFERROR(VLOOKUP(CONCATENATE(D6,YEAR(TODAY())-YEAR(C6),"lin30m"),_viitearvot!$I$2:$M$205,5,FALSE()),99),2,1)))))</f>
        <v/>
      </c>
      <c r="AB6" s="62" t="n"/>
      <c r="AC6" s="62" t="n"/>
      <c r="AD6" s="62" t="n"/>
      <c r="AE6" s="63">
        <f>IFERROR(MIN(AB6,AC6,AD6),"")</f>
        <v/>
      </c>
      <c r="AF6" s="64">
        <f>IF(OR(AE6="",D6=""),"",IF(AE6&lt;=IFERROR(VLOOKUP(CONCATENATE(D6,YEAR(TODAY())-YEAR(C6),"kasirata"),_viitearvot!$I$2:$M$205,2,FALSE()),99),5,IF(AE6&lt;=IFERROR(VLOOKUP(CONCATENATE(D6,YEAR(TODAY())-YEAR(C6),"kasirata"),_viitearvot!$I$2:$M$205,3,FALSE()),99),4,IF(AE6&lt;=IFERROR(VLOOKUP(CONCATENATE(D6,YEAR(TODAY())-YEAR(C6),"kasirata"),_viitearvot!$I$2:$M$205,4,FALSE()),99),3,IF(AE6&lt;=IFERROR(VLOOKUP(CONCATENATE(D6,YEAR(TODAY())-YEAR(C6),"kasirata"),_viitearvot!$I$2:$M$205,5,FALSE()),99),2,1)))))</f>
        <v/>
      </c>
      <c r="AG6" s="62" t="n"/>
      <c r="AH6" s="62" t="n"/>
      <c r="AI6" s="62" t="n"/>
      <c r="AJ6" s="63">
        <f>IFERROR(MIN(AG6,AH6,AI6),"")</f>
        <v/>
      </c>
      <c r="AK6" s="64">
        <f>IF(OR(AJ6="",D6=""),"",IF(AJ6&lt;=IFERROR(VLOOKUP(CONCATENATE(D6,YEAR(TODAY())-YEAR(C6),"smjuoksu"),_viitearvot!$I$2:$M$205,2,FALSE()),99),5,IF(AJ6&lt;=IFERROR(VLOOKUP(CONCATENATE(D6,YEAR(TODAY())-YEAR(C6),"smjuoksu"),_viitearvot!$I$2:$M$205,3,FALSE()),99),4,IF(AJ6&lt;=IFERROR(VLOOKUP(CONCATENATE(D6,YEAR(TODAY())-YEAR(C6),"smjuoksu"),_viitearvot!$I$2:$M$205,4,FALSE()),99),3,IF(AJ6&lt;=IFERROR(VLOOKUP(CONCATENATE(D6,YEAR(TODAY())-YEAR(C6),"smjuoksu"),_viitearvot!$I$2:$M$205,5,FALSE()),99),2,1)))))</f>
        <v/>
      </c>
      <c r="AL6" s="62" t="n"/>
      <c r="AM6" s="62" t="n"/>
      <c r="AN6" s="63">
        <f>IFERROR(MIN(AL6,AM6),"")</f>
        <v/>
      </c>
      <c r="AO6" s="64">
        <f>IF(OR(AN6="",D6=""),"",IF(AN6&lt;=IFERROR(VLOOKUP(CONCATENATE(D6,YEAR(TODAY())-YEAR(C6),"smpallo"),_viitearvot!$I$2:$M$205,2,FALSE()),99),5,IF(AN6&lt;=IFERROR(VLOOKUP(CONCATENATE(D6,YEAR(TODAY())-YEAR(C6),"smpallo"),_viitearvot!$I$2:$M$205,3,FALSE()),99),4,IF(AN6&lt;=IFERROR(VLOOKUP(CONCATENATE(D6,YEAR(TODAY())-YEAR(C6),"smpallo"),_viitearvot!$I$2:$M$205,4,FALSE()),99),3,IF(AN6&lt;=IFERROR(VLOOKUP(CONCATENATE(D6,YEAR(TODAY())-YEAR(C6),"smpallo"),_viitearvot!$I$2:$M$205,5,FALSE()),99),2,1)))))</f>
        <v/>
      </c>
      <c r="AP6" s="62" t="n"/>
      <c r="AQ6" s="62" t="n"/>
      <c r="AR6" s="62" t="n"/>
      <c r="AS6" s="63">
        <f>IFERROR(MAX(AP6,AQ6,AR6),"")</f>
        <v/>
      </c>
      <c r="AT6" s="64">
        <f>IF(OR(AS6="",D6=""),"",IF(AS6&gt;=IFERROR(VLOOKUP(CONCATENATE(D6,YEAR(TODAY())-YEAR(C6),"cmj"),_viitearvot!$I$2:$M$205,2,FALSE()),0),5,IF(AS6&gt;=IFERROR(VLOOKUP(CONCATENATE(D6,YEAR(TODAY())-YEAR(C6),"cmj"),_viitearvot!$I$2:$M$205,3,FALSE()),0),4,IF(AS6&gt;=IFERROR(VLOOKUP(CONCATENATE(D6,YEAR(TODAY())-YEAR(C6),"cmj"),_viitearvot!$I$2:$M$205,4,FALSE()),0),3,IF(AS6&gt;=IFERROR(VLOOKUP(CONCATENATE(D6,YEAR(TODAY())-YEAR(C6),"cmj"),_viitearvot!$I$2:$M$205,5,FALSE()),0),2,1)))))</f>
        <v/>
      </c>
      <c r="AU6" s="62" t="n"/>
      <c r="AV6" s="63">
        <f>IFERROR(MAX(AU6),"")</f>
        <v/>
      </c>
      <c r="AW6" s="64">
        <f>IF(OR(AV6="",D6=""),"",IF(AV6&gt;=IFERROR(VLOOKUP(CONCATENATE(D6,YEAR(TODAY())-YEAR(C6),"bronco"),_viitearvot!$I$2:$M$205,2,FALSE()),0),5,IF(AV6&gt;=IFERROR(VLOOKUP(CONCATENATE(D6,YEAR(TODAY())-YEAR(C6),"bronco"),_viitearvot!$I$2:$M$205,3,FALSE()),0),4,IF(AV6&gt;=IFERROR(VLOOKUP(CONCATENATE(D6,YEAR(TODAY())-YEAR(C6),"bronco"),_viitearvot!$I$2:$M$205,4,FALSE()),0),3,IF(AV6&gt;=IFERROR(VLOOKUP(CONCATENATE(D6,YEAR(TODAY())-YEAR(C6),"bronco"),_viitearvot!$I$2:$M$205,5,FALSE()),0),2,1)))))</f>
        <v/>
      </c>
      <c r="AX6" s="62" t="n"/>
      <c r="AY6" s="62" t="n"/>
      <c r="AZ6" s="63">
        <f>IFERROR(MIN(AX6,AY6),"")</f>
        <v/>
      </c>
      <c r="BA6" s="64">
        <f>IF(OR(AZ6="",D6=""),"",IF(AZ6&lt;=IFERROR(VLOOKUP(CONCATENATE(D6,YEAR(TODAY())-YEAR(C6),"pujottelu"),_viitearvot!$I$2:$M$205,2,FALSE()),99),5,IF(AZ6&lt;=IFERROR(VLOOKUP(CONCATENATE(D6,YEAR(TODAY())-YEAR(C6),"pujottelu"),_viitearvot!$I$2:$M$205,3,FALSE()),99),4,IF(AZ6&lt;=IFERROR(VLOOKUP(CONCATENATE(D6,YEAR(TODAY())-YEAR(C6),"pujottelu"),_viitearvot!$I$2:$M$205,4,FALSE()),99),3,IF(AZ6&lt;=IFERROR(VLOOKUP(CONCATENATE(D6,YEAR(TODAY())-YEAR(C6),"pujottelu"),_viitearvot!$I$2:$M$205,5,FALSE()),99),2,1)))))</f>
        <v/>
      </c>
      <c r="BB6" s="62" t="n"/>
      <c r="BC6" s="62" t="n"/>
      <c r="BD6" s="63">
        <f>IFERROR(MIN(BB6,BC6),"")</f>
        <v/>
      </c>
      <c r="BE6" s="64">
        <f>IF(OR(BD6="",D6=""),"",IF(BD6&lt;=IFERROR(VLOOKUP(CONCATENATE(D6,YEAR(TODAY())-YEAR(C6),"syotto"),_viitearvot!$I$2:$M$205,2,FALSE()),99),5,IF(BD6&lt;=IFERROR(VLOOKUP(CONCATENATE(D6,YEAR(TODAY())-YEAR(C6),"syotto"),_viitearvot!$I$2:$M$205,3,FALSE()),99),4,IF(BD6&lt;=IFERROR(VLOOKUP(CONCATENATE(D6,YEAR(TODAY())-YEAR(C6),"syotto"),_viitearvot!$I$2:$M$205,4,FALSE()),99),3,IF(BD6&lt;=IFERROR(VLOOKUP(CONCATENATE(D6,YEAR(TODAY())-YEAR(C6),"syotto"),_viitearvot!$I$2:$M$205,5,FALSE()),99),2,1)))))</f>
        <v/>
      </c>
      <c r="BF6" s="65" t="n"/>
      <c r="BG6" s="66">
        <f>IF(OR(BF6="",K6=""),"",(IF(D6="P",IF(K6&lt;=IFERROR(VLOOKUP(CONCATENATE("P",ROUND(BF6,0),"lin5m"),_viitearvot!$A:$H,4,FALSE()),99),5,IF(K6&lt;=IFERROR(VLOOKUP(CONCATENATE("P",ROUND(BF6,0),"lin5m"),_viitearvot!$A:$H,5,FALSE()),99),4,IF(K6&lt;=IFERROR(VLOOKUP(CONCATENATE("P",ROUND(BF6,0),"lin5m"),_viitearvot!$A:$H,6,FALSE()),99),3,IF(K6&lt;=IFERROR(VLOOKUP(CONCATENATE("P",ROUND(BF6,0),"lin5m"),_viitearvot!$A:$H,7,FALSE()),99),2,1)))),IF(K6&lt;=IFERROR(VLOOKUP(CONCATENATE("T",ROUND(BF6,0),"lin5m"),_viitearvot!$A:$H,4,FALSE()),99),5,IF(K6&lt;=IFERROR(VLOOKUP(CONCATENATE("T",ROUND(BF6,0),"lin5m"),_viitearvot!$A:$H,5,FALSE()),99),4,IF(K6&lt;=IFERROR(VLOOKUP(CONCATENATE("T",ROUND(BF6,0),"lin5m"),_viitearvot!$A:$H,6,FALSE()),99),3,IF(K6&lt;=IFERROR(VLOOKUP(CONCATENATE("T",ROUND(BF6,0),"lin5m"),_viitearvot!$A:$H,7,FALSE()),99),2,1))))))-L6)</f>
        <v/>
      </c>
      <c r="BH6" s="67" t="n"/>
    </row>
    <row r="7" ht="17" customHeight="1" s="22">
      <c r="A7" s="52" t="n"/>
      <c r="B7" s="52" t="n"/>
      <c r="C7" s="53" t="n"/>
      <c r="D7" s="52" t="n"/>
      <c r="E7" s="52" t="n"/>
      <c r="F7" s="52" t="n"/>
      <c r="G7" s="52" t="n"/>
      <c r="H7" s="54" t="n"/>
      <c r="I7" s="54" t="n"/>
      <c r="J7" s="54" t="n"/>
      <c r="K7" s="55">
        <f>IFERROR(MIN(H7,I7,J7),"")</f>
        <v/>
      </c>
      <c r="L7" s="56">
        <f>IF(OR(K7="",D7=""),"",IF(K7&lt;=IFERROR(VLOOKUP(CONCATENATE(D7,YEAR(TODAY())-YEAR(C7),"lin5m"),_viitearvot!$I$2:$M$205,2,FALSE()),99),5,IF(K7&lt;=IFERROR(VLOOKUP(CONCATENATE(D7,YEAR(TODAY())-YEAR(C7),"lin5m"),_viitearvot!$I$2:$M$205,3,FALSE()),99),4,IF(K7&lt;=IFERROR(VLOOKUP(CONCATENATE(D7,YEAR(TODAY())-YEAR(C7),"lin5m"),_viitearvot!$I$2:$M$205,4,FALSE()),99),3,IF(K7&lt;=IFERROR(VLOOKUP(CONCATENATE(D7,YEAR(TODAY())-YEAR(C7),"lin5m"),_viitearvot!$I$2:$M$205,5,FALSE()),99),2,1)))))</f>
        <v/>
      </c>
      <c r="M7" s="54" t="n"/>
      <c r="N7" s="54" t="n"/>
      <c r="O7" s="54" t="n"/>
      <c r="P7" s="55">
        <f>IFERROR(MIN(M7,N7,O7),"")</f>
        <v/>
      </c>
      <c r="Q7" s="56">
        <f>IF(OR(P7="",D7=""),"",IF(P7&lt;=IFERROR(VLOOKUP(CONCATENATE(D7,YEAR(TODAY())-YEAR(C7),"lin10m"),_viitearvot!$I$2:$M$205,2,FALSE()),99),5,IF(P7&lt;=IFERROR(VLOOKUP(CONCATENATE(D7,YEAR(TODAY())-YEAR(C7),"lin10m"),_viitearvot!$I$2:$M$205,3,FALSE()),99),4,IF(P7&lt;=IFERROR(VLOOKUP(CONCATENATE(D7,YEAR(TODAY())-YEAR(C7),"lin10m"),_viitearvot!$I$2:$M$205,4,FALSE()),99),3,IF(P7&lt;=IFERROR(VLOOKUP(CONCATENATE(D7,YEAR(TODAY())-YEAR(C7),"lin10m"),_viitearvot!$I$2:$M$205,5,FALSE()),99),2,1)))))</f>
        <v/>
      </c>
      <c r="R7" s="54" t="n"/>
      <c r="S7" s="54" t="n"/>
      <c r="T7" s="54" t="n"/>
      <c r="U7" s="55">
        <f>IFERROR(MIN(R7,S7,T7),"")</f>
        <v/>
      </c>
      <c r="V7" s="56">
        <f>IF(OR(U7="",D7=""),"",IF(U7&lt;=IFERROR(VLOOKUP(CONCATENATE(D7,YEAR(TODAY())-YEAR(C7),"lin20m"),_viitearvot!$I$2:$M$205,2,FALSE()),99),5,IF(U7&lt;=IFERROR(VLOOKUP(CONCATENATE(D7,YEAR(TODAY())-YEAR(C7),"lin20m"),_viitearvot!$I$2:$M$205,3,FALSE()),99),4,IF(U7&lt;=IFERROR(VLOOKUP(CONCATENATE(D7,YEAR(TODAY())-YEAR(C7),"lin20m"),_viitearvot!$I$2:$M$205,4,FALSE()),99),3,IF(U7&lt;=IFERROR(VLOOKUP(CONCATENATE(D7,YEAR(TODAY())-YEAR(C7),"lin20m"),_viitearvot!$I$2:$M$205,5,FALSE()),99),2,1)))))</f>
        <v/>
      </c>
      <c r="W7" s="54" t="n"/>
      <c r="X7" s="54" t="n"/>
      <c r="Y7" s="54" t="n"/>
      <c r="Z7" s="55">
        <f>IFERROR(MIN(W7,X7,Y7),"")</f>
        <v/>
      </c>
      <c r="AA7" s="56">
        <f>IF(OR(Z7="",D7=""),"",IF(Z7&lt;=IFERROR(VLOOKUP(CONCATENATE(D7,YEAR(TODAY())-YEAR(C7),"lin30m"),_viitearvot!$I$2:$M$205,2,FALSE()),99),5,IF(Z7&lt;=IFERROR(VLOOKUP(CONCATENATE(D7,YEAR(TODAY())-YEAR(C7),"lin30m"),_viitearvot!$I$2:$M$205,3,FALSE()),99),4,IF(Z7&lt;=IFERROR(VLOOKUP(CONCATENATE(D7,YEAR(TODAY())-YEAR(C7),"lin30m"),_viitearvot!$I$2:$M$205,4,FALSE()),99),3,IF(Z7&lt;=IFERROR(VLOOKUP(CONCATENATE(D7,YEAR(TODAY())-YEAR(C7),"lin30m"),_viitearvot!$I$2:$M$205,5,FALSE()),99),2,1)))))</f>
        <v/>
      </c>
      <c r="AB7" s="54" t="n"/>
      <c r="AC7" s="54" t="n"/>
      <c r="AD7" s="54" t="n"/>
      <c r="AE7" s="55">
        <f>IFERROR(MIN(AB7,AC7,AD7),"")</f>
        <v/>
      </c>
      <c r="AF7" s="56">
        <f>IF(OR(AE7="",D7=""),"",IF(AE7&lt;=IFERROR(VLOOKUP(CONCATENATE(D7,YEAR(TODAY())-YEAR(C7),"kasirata"),_viitearvot!$I$2:$M$205,2,FALSE()),99),5,IF(AE7&lt;=IFERROR(VLOOKUP(CONCATENATE(D7,YEAR(TODAY())-YEAR(C7),"kasirata"),_viitearvot!$I$2:$M$205,3,FALSE()),99),4,IF(AE7&lt;=IFERROR(VLOOKUP(CONCATENATE(D7,YEAR(TODAY())-YEAR(C7),"kasirata"),_viitearvot!$I$2:$M$205,4,FALSE()),99),3,IF(AE7&lt;=IFERROR(VLOOKUP(CONCATENATE(D7,YEAR(TODAY())-YEAR(C7),"kasirata"),_viitearvot!$I$2:$M$205,5,FALSE()),99),2,1)))))</f>
        <v/>
      </c>
      <c r="AG7" s="54" t="n"/>
      <c r="AH7" s="54" t="n"/>
      <c r="AI7" s="54" t="n"/>
      <c r="AJ7" s="55">
        <f>IFERROR(MIN(AG7,AH7,AI7),"")</f>
        <v/>
      </c>
      <c r="AK7" s="56">
        <f>IF(OR(AJ7="",D7=""),"",IF(AJ7&lt;=IFERROR(VLOOKUP(CONCATENATE(D7,YEAR(TODAY())-YEAR(C7),"smjuoksu"),_viitearvot!$I$2:$M$205,2,FALSE()),99),5,IF(AJ7&lt;=IFERROR(VLOOKUP(CONCATENATE(D7,YEAR(TODAY())-YEAR(C7),"smjuoksu"),_viitearvot!$I$2:$M$205,3,FALSE()),99),4,IF(AJ7&lt;=IFERROR(VLOOKUP(CONCATENATE(D7,YEAR(TODAY())-YEAR(C7),"smjuoksu"),_viitearvot!$I$2:$M$205,4,FALSE()),99),3,IF(AJ7&lt;=IFERROR(VLOOKUP(CONCATENATE(D7,YEAR(TODAY())-YEAR(C7),"smjuoksu"),_viitearvot!$I$2:$M$205,5,FALSE()),99),2,1)))))</f>
        <v/>
      </c>
      <c r="AL7" s="54" t="n"/>
      <c r="AM7" s="54" t="n"/>
      <c r="AN7" s="55">
        <f>IFERROR(MIN(AL7,AM7),"")</f>
        <v/>
      </c>
      <c r="AO7" s="56">
        <f>IF(OR(AN7="",D7=""),"",IF(AN7&lt;=IFERROR(VLOOKUP(CONCATENATE(D7,YEAR(TODAY())-YEAR(C7),"smpallo"),_viitearvot!$I$2:$M$205,2,FALSE()),99),5,IF(AN7&lt;=IFERROR(VLOOKUP(CONCATENATE(D7,YEAR(TODAY())-YEAR(C7),"smpallo"),_viitearvot!$I$2:$M$205,3,FALSE()),99),4,IF(AN7&lt;=IFERROR(VLOOKUP(CONCATENATE(D7,YEAR(TODAY())-YEAR(C7),"smpallo"),_viitearvot!$I$2:$M$205,4,FALSE()),99),3,IF(AN7&lt;=IFERROR(VLOOKUP(CONCATENATE(D7,YEAR(TODAY())-YEAR(C7),"smpallo"),_viitearvot!$I$2:$M$205,5,FALSE()),99),2,1)))))</f>
        <v/>
      </c>
      <c r="AP7" s="54" t="n"/>
      <c r="AQ7" s="54" t="n"/>
      <c r="AR7" s="54" t="n"/>
      <c r="AS7" s="55">
        <f>IFERROR(MAX(AP7,AQ7,AR7),"")</f>
        <v/>
      </c>
      <c r="AT7" s="56">
        <f>IF(OR(AS7="",D7=""),"",IF(AS7&gt;=IFERROR(VLOOKUP(CONCATENATE(D7,YEAR(TODAY())-YEAR(C7),"cmj"),_viitearvot!$I$2:$M$205,2,FALSE()),0),5,IF(AS7&gt;=IFERROR(VLOOKUP(CONCATENATE(D7,YEAR(TODAY())-YEAR(C7),"cmj"),_viitearvot!$I$2:$M$205,3,FALSE()),0),4,IF(AS7&gt;=IFERROR(VLOOKUP(CONCATENATE(D7,YEAR(TODAY())-YEAR(C7),"cmj"),_viitearvot!$I$2:$M$205,4,FALSE()),0),3,IF(AS7&gt;=IFERROR(VLOOKUP(CONCATENATE(D7,YEAR(TODAY())-YEAR(C7),"cmj"),_viitearvot!$I$2:$M$205,5,FALSE()),0),2,1)))))</f>
        <v/>
      </c>
      <c r="AU7" s="54" t="n"/>
      <c r="AV7" s="55">
        <f>IFERROR(MAX(AU7),"")</f>
        <v/>
      </c>
      <c r="AW7" s="56">
        <f>IF(OR(AV7="",D7=""),"",IF(AV7&gt;=IFERROR(VLOOKUP(CONCATENATE(D7,YEAR(TODAY())-YEAR(C7),"bronco"),_viitearvot!$I$2:$M$205,2,FALSE()),0),5,IF(AV7&gt;=IFERROR(VLOOKUP(CONCATENATE(D7,YEAR(TODAY())-YEAR(C7),"bronco"),_viitearvot!$I$2:$M$205,3,FALSE()),0),4,IF(AV7&gt;=IFERROR(VLOOKUP(CONCATENATE(D7,YEAR(TODAY())-YEAR(C7),"bronco"),_viitearvot!$I$2:$M$205,4,FALSE()),0),3,IF(AV7&gt;=IFERROR(VLOOKUP(CONCATENATE(D7,YEAR(TODAY())-YEAR(C7),"bronco"),_viitearvot!$I$2:$M$205,5,FALSE()),0),2,1)))))</f>
        <v/>
      </c>
      <c r="AX7" s="54" t="n"/>
      <c r="AY7" s="54" t="n"/>
      <c r="AZ7" s="55">
        <f>IFERROR(MIN(AX7,AY7),"")</f>
        <v/>
      </c>
      <c r="BA7" s="56">
        <f>IF(OR(AZ7="",D7=""),"",IF(AZ7&lt;=IFERROR(VLOOKUP(CONCATENATE(D7,YEAR(TODAY())-YEAR(C7),"pujottelu"),_viitearvot!$I$2:$M$205,2,FALSE()),99),5,IF(AZ7&lt;=IFERROR(VLOOKUP(CONCATENATE(D7,YEAR(TODAY())-YEAR(C7),"pujottelu"),_viitearvot!$I$2:$M$205,3,FALSE()),99),4,IF(AZ7&lt;=IFERROR(VLOOKUP(CONCATENATE(D7,YEAR(TODAY())-YEAR(C7),"pujottelu"),_viitearvot!$I$2:$M$205,4,FALSE()),99),3,IF(AZ7&lt;=IFERROR(VLOOKUP(CONCATENATE(D7,YEAR(TODAY())-YEAR(C7),"pujottelu"),_viitearvot!$I$2:$M$205,5,FALSE()),99),2,1)))))</f>
        <v/>
      </c>
      <c r="BB7" s="54" t="n"/>
      <c r="BC7" s="54" t="n"/>
      <c r="BD7" s="55">
        <f>IFERROR(MIN(BB7,BC7),"")</f>
        <v/>
      </c>
      <c r="BE7" s="56">
        <f>IF(OR(BD7="",D7=""),"",IF(BD7&lt;=IFERROR(VLOOKUP(CONCATENATE(D7,YEAR(TODAY())-YEAR(C7),"syotto"),_viitearvot!$I$2:$M$205,2,FALSE()),99),5,IF(BD7&lt;=IFERROR(VLOOKUP(CONCATENATE(D7,YEAR(TODAY())-YEAR(C7),"syotto"),_viitearvot!$I$2:$M$205,3,FALSE()),99),4,IF(BD7&lt;=IFERROR(VLOOKUP(CONCATENATE(D7,YEAR(TODAY())-YEAR(C7),"syotto"),_viitearvot!$I$2:$M$205,4,FALSE()),99),3,IF(BD7&lt;=IFERROR(VLOOKUP(CONCATENATE(D7,YEAR(TODAY())-YEAR(C7),"syotto"),_viitearvot!$I$2:$M$205,5,FALSE()),99),2,1)))))</f>
        <v/>
      </c>
      <c r="BF7" s="57" t="n"/>
      <c r="BG7" s="58">
        <f>IF(OR(BF7="",K7=""),"",(IF(D7="P",IF(K7&lt;=IFERROR(VLOOKUP(CONCATENATE("P",ROUND(BF7,0),"lin5m"),_viitearvot!$A:$H,4,FALSE()),99),5,IF(K7&lt;=IFERROR(VLOOKUP(CONCATENATE("P",ROUND(BF7,0),"lin5m"),_viitearvot!$A:$H,5,FALSE()),99),4,IF(K7&lt;=IFERROR(VLOOKUP(CONCATENATE("P",ROUND(BF7,0),"lin5m"),_viitearvot!$A:$H,6,FALSE()),99),3,IF(K7&lt;=IFERROR(VLOOKUP(CONCATENATE("P",ROUND(BF7,0),"lin5m"),_viitearvot!$A:$H,7,FALSE()),99),2,1)))),IF(K7&lt;=IFERROR(VLOOKUP(CONCATENATE("T",ROUND(BF7,0),"lin5m"),_viitearvot!$A:$H,4,FALSE()),99),5,IF(K7&lt;=IFERROR(VLOOKUP(CONCATENATE("T",ROUND(BF7,0),"lin5m"),_viitearvot!$A:$H,5,FALSE()),99),4,IF(K7&lt;=IFERROR(VLOOKUP(CONCATENATE("T",ROUND(BF7,0),"lin5m"),_viitearvot!$A:$H,6,FALSE()),99),3,IF(K7&lt;=IFERROR(VLOOKUP(CONCATENATE("T",ROUND(BF7,0),"lin5m"),_viitearvot!$A:$H,7,FALSE()),99),2,1))))))-L7)</f>
        <v/>
      </c>
      <c r="BH7" s="59" t="n"/>
    </row>
    <row r="8" ht="17" customHeight="1" s="22">
      <c r="A8" s="60" t="n"/>
      <c r="B8" s="60" t="n"/>
      <c r="C8" s="61" t="n"/>
      <c r="D8" s="60" t="n"/>
      <c r="E8" s="60" t="n"/>
      <c r="F8" s="60" t="n"/>
      <c r="G8" s="60" t="n"/>
      <c r="H8" s="62" t="n"/>
      <c r="I8" s="62" t="n"/>
      <c r="J8" s="62" t="n"/>
      <c r="K8" s="63">
        <f>IFERROR(MIN(H8,I8,J8),"")</f>
        <v/>
      </c>
      <c r="L8" s="64">
        <f>IF(OR(K8="",D8=""),"",IF(K8&lt;=IFERROR(VLOOKUP(CONCATENATE(D8,YEAR(TODAY())-YEAR(C8),"lin5m"),_viitearvot!$I$2:$M$205,2,FALSE()),99),5,IF(K8&lt;=IFERROR(VLOOKUP(CONCATENATE(D8,YEAR(TODAY())-YEAR(C8),"lin5m"),_viitearvot!$I$2:$M$205,3,FALSE()),99),4,IF(K8&lt;=IFERROR(VLOOKUP(CONCATENATE(D8,YEAR(TODAY())-YEAR(C8),"lin5m"),_viitearvot!$I$2:$M$205,4,FALSE()),99),3,IF(K8&lt;=IFERROR(VLOOKUP(CONCATENATE(D8,YEAR(TODAY())-YEAR(C8),"lin5m"),_viitearvot!$I$2:$M$205,5,FALSE()),99),2,1)))))</f>
        <v/>
      </c>
      <c r="M8" s="62" t="n"/>
      <c r="N8" s="62" t="n"/>
      <c r="O8" s="62" t="n"/>
      <c r="P8" s="63">
        <f>IFERROR(MIN(M8,N8,O8),"")</f>
        <v/>
      </c>
      <c r="Q8" s="64">
        <f>IF(OR(P8="",D8=""),"",IF(P8&lt;=IFERROR(VLOOKUP(CONCATENATE(D8,YEAR(TODAY())-YEAR(C8),"lin10m"),_viitearvot!$I$2:$M$205,2,FALSE()),99),5,IF(P8&lt;=IFERROR(VLOOKUP(CONCATENATE(D8,YEAR(TODAY())-YEAR(C8),"lin10m"),_viitearvot!$I$2:$M$205,3,FALSE()),99),4,IF(P8&lt;=IFERROR(VLOOKUP(CONCATENATE(D8,YEAR(TODAY())-YEAR(C8),"lin10m"),_viitearvot!$I$2:$M$205,4,FALSE()),99),3,IF(P8&lt;=IFERROR(VLOOKUP(CONCATENATE(D8,YEAR(TODAY())-YEAR(C8),"lin10m"),_viitearvot!$I$2:$M$205,5,FALSE()),99),2,1)))))</f>
        <v/>
      </c>
      <c r="R8" s="62" t="n"/>
      <c r="S8" s="62" t="n"/>
      <c r="T8" s="62" t="n"/>
      <c r="U8" s="63">
        <f>IFERROR(MIN(R8,S8,T8),"")</f>
        <v/>
      </c>
      <c r="V8" s="64">
        <f>IF(OR(U8="",D8=""),"",IF(U8&lt;=IFERROR(VLOOKUP(CONCATENATE(D8,YEAR(TODAY())-YEAR(C8),"lin20m"),_viitearvot!$I$2:$M$205,2,FALSE()),99),5,IF(U8&lt;=IFERROR(VLOOKUP(CONCATENATE(D8,YEAR(TODAY())-YEAR(C8),"lin20m"),_viitearvot!$I$2:$M$205,3,FALSE()),99),4,IF(U8&lt;=IFERROR(VLOOKUP(CONCATENATE(D8,YEAR(TODAY())-YEAR(C8),"lin20m"),_viitearvot!$I$2:$M$205,4,FALSE()),99),3,IF(U8&lt;=IFERROR(VLOOKUP(CONCATENATE(D8,YEAR(TODAY())-YEAR(C8),"lin20m"),_viitearvot!$I$2:$M$205,5,FALSE()),99),2,1)))))</f>
        <v/>
      </c>
      <c r="W8" s="62" t="n"/>
      <c r="X8" s="62" t="n"/>
      <c r="Y8" s="62" t="n"/>
      <c r="Z8" s="63">
        <f>IFERROR(MIN(W8,X8,Y8),"")</f>
        <v/>
      </c>
      <c r="AA8" s="64">
        <f>IF(OR(Z8="",D8=""),"",IF(Z8&lt;=IFERROR(VLOOKUP(CONCATENATE(D8,YEAR(TODAY())-YEAR(C8),"lin30m"),_viitearvot!$I$2:$M$205,2,FALSE()),99),5,IF(Z8&lt;=IFERROR(VLOOKUP(CONCATENATE(D8,YEAR(TODAY())-YEAR(C8),"lin30m"),_viitearvot!$I$2:$M$205,3,FALSE()),99),4,IF(Z8&lt;=IFERROR(VLOOKUP(CONCATENATE(D8,YEAR(TODAY())-YEAR(C8),"lin30m"),_viitearvot!$I$2:$M$205,4,FALSE()),99),3,IF(Z8&lt;=IFERROR(VLOOKUP(CONCATENATE(D8,YEAR(TODAY())-YEAR(C8),"lin30m"),_viitearvot!$I$2:$M$205,5,FALSE()),99),2,1)))))</f>
        <v/>
      </c>
      <c r="AB8" s="62" t="n"/>
      <c r="AC8" s="62" t="n"/>
      <c r="AD8" s="62" t="n"/>
      <c r="AE8" s="63">
        <f>IFERROR(MIN(AB8,AC8,AD8),"")</f>
        <v/>
      </c>
      <c r="AF8" s="64">
        <f>IF(OR(AE8="",D8=""),"",IF(AE8&lt;=IFERROR(VLOOKUP(CONCATENATE(D8,YEAR(TODAY())-YEAR(C8),"kasirata"),_viitearvot!$I$2:$M$205,2,FALSE()),99),5,IF(AE8&lt;=IFERROR(VLOOKUP(CONCATENATE(D8,YEAR(TODAY())-YEAR(C8),"kasirata"),_viitearvot!$I$2:$M$205,3,FALSE()),99),4,IF(AE8&lt;=IFERROR(VLOOKUP(CONCATENATE(D8,YEAR(TODAY())-YEAR(C8),"kasirata"),_viitearvot!$I$2:$M$205,4,FALSE()),99),3,IF(AE8&lt;=IFERROR(VLOOKUP(CONCATENATE(D8,YEAR(TODAY())-YEAR(C8),"kasirata"),_viitearvot!$I$2:$M$205,5,FALSE()),99),2,1)))))</f>
        <v/>
      </c>
      <c r="AG8" s="62" t="n"/>
      <c r="AH8" s="62" t="n"/>
      <c r="AI8" s="62" t="n"/>
      <c r="AJ8" s="63">
        <f>IFERROR(MIN(AG8,AH8,AI8),"")</f>
        <v/>
      </c>
      <c r="AK8" s="64">
        <f>IF(OR(AJ8="",D8=""),"",IF(AJ8&lt;=IFERROR(VLOOKUP(CONCATENATE(D8,YEAR(TODAY())-YEAR(C8),"smjuoksu"),_viitearvot!$I$2:$M$205,2,FALSE()),99),5,IF(AJ8&lt;=IFERROR(VLOOKUP(CONCATENATE(D8,YEAR(TODAY())-YEAR(C8),"smjuoksu"),_viitearvot!$I$2:$M$205,3,FALSE()),99),4,IF(AJ8&lt;=IFERROR(VLOOKUP(CONCATENATE(D8,YEAR(TODAY())-YEAR(C8),"smjuoksu"),_viitearvot!$I$2:$M$205,4,FALSE()),99),3,IF(AJ8&lt;=IFERROR(VLOOKUP(CONCATENATE(D8,YEAR(TODAY())-YEAR(C8),"smjuoksu"),_viitearvot!$I$2:$M$205,5,FALSE()),99),2,1)))))</f>
        <v/>
      </c>
      <c r="AL8" s="62" t="n"/>
      <c r="AM8" s="62" t="n"/>
      <c r="AN8" s="63">
        <f>IFERROR(MIN(AL8,AM8),"")</f>
        <v/>
      </c>
      <c r="AO8" s="64">
        <f>IF(OR(AN8="",D8=""),"",IF(AN8&lt;=IFERROR(VLOOKUP(CONCATENATE(D8,YEAR(TODAY())-YEAR(C8),"smpallo"),_viitearvot!$I$2:$M$205,2,FALSE()),99),5,IF(AN8&lt;=IFERROR(VLOOKUP(CONCATENATE(D8,YEAR(TODAY())-YEAR(C8),"smpallo"),_viitearvot!$I$2:$M$205,3,FALSE()),99),4,IF(AN8&lt;=IFERROR(VLOOKUP(CONCATENATE(D8,YEAR(TODAY())-YEAR(C8),"smpallo"),_viitearvot!$I$2:$M$205,4,FALSE()),99),3,IF(AN8&lt;=IFERROR(VLOOKUP(CONCATENATE(D8,YEAR(TODAY())-YEAR(C8),"smpallo"),_viitearvot!$I$2:$M$205,5,FALSE()),99),2,1)))))</f>
        <v/>
      </c>
      <c r="AP8" s="62" t="n"/>
      <c r="AQ8" s="62" t="n"/>
      <c r="AR8" s="62" t="n"/>
      <c r="AS8" s="63">
        <f>IFERROR(MAX(AP8,AQ8,AR8),"")</f>
        <v/>
      </c>
      <c r="AT8" s="64">
        <f>IF(OR(AS8="",D8=""),"",IF(AS8&gt;=IFERROR(VLOOKUP(CONCATENATE(D8,YEAR(TODAY())-YEAR(C8),"cmj"),_viitearvot!$I$2:$M$205,2,FALSE()),0),5,IF(AS8&gt;=IFERROR(VLOOKUP(CONCATENATE(D8,YEAR(TODAY())-YEAR(C8),"cmj"),_viitearvot!$I$2:$M$205,3,FALSE()),0),4,IF(AS8&gt;=IFERROR(VLOOKUP(CONCATENATE(D8,YEAR(TODAY())-YEAR(C8),"cmj"),_viitearvot!$I$2:$M$205,4,FALSE()),0),3,IF(AS8&gt;=IFERROR(VLOOKUP(CONCATENATE(D8,YEAR(TODAY())-YEAR(C8),"cmj"),_viitearvot!$I$2:$M$205,5,FALSE()),0),2,1)))))</f>
        <v/>
      </c>
      <c r="AU8" s="62" t="n"/>
      <c r="AV8" s="63">
        <f>IFERROR(MAX(AU8),"")</f>
        <v/>
      </c>
      <c r="AW8" s="64">
        <f>IF(OR(AV8="",D8=""),"",IF(AV8&gt;=IFERROR(VLOOKUP(CONCATENATE(D8,YEAR(TODAY())-YEAR(C8),"bronco"),_viitearvot!$I$2:$M$205,2,FALSE()),0),5,IF(AV8&gt;=IFERROR(VLOOKUP(CONCATENATE(D8,YEAR(TODAY())-YEAR(C8),"bronco"),_viitearvot!$I$2:$M$205,3,FALSE()),0),4,IF(AV8&gt;=IFERROR(VLOOKUP(CONCATENATE(D8,YEAR(TODAY())-YEAR(C8),"bronco"),_viitearvot!$I$2:$M$205,4,FALSE()),0),3,IF(AV8&gt;=IFERROR(VLOOKUP(CONCATENATE(D8,YEAR(TODAY())-YEAR(C8),"bronco"),_viitearvot!$I$2:$M$205,5,FALSE()),0),2,1)))))</f>
        <v/>
      </c>
      <c r="AX8" s="62" t="n"/>
      <c r="AY8" s="62" t="n"/>
      <c r="AZ8" s="63">
        <f>IFERROR(MIN(AX8,AY8),"")</f>
        <v/>
      </c>
      <c r="BA8" s="64">
        <f>IF(OR(AZ8="",D8=""),"",IF(AZ8&lt;=IFERROR(VLOOKUP(CONCATENATE(D8,YEAR(TODAY())-YEAR(C8),"pujottelu"),_viitearvot!$I$2:$M$205,2,FALSE()),99),5,IF(AZ8&lt;=IFERROR(VLOOKUP(CONCATENATE(D8,YEAR(TODAY())-YEAR(C8),"pujottelu"),_viitearvot!$I$2:$M$205,3,FALSE()),99),4,IF(AZ8&lt;=IFERROR(VLOOKUP(CONCATENATE(D8,YEAR(TODAY())-YEAR(C8),"pujottelu"),_viitearvot!$I$2:$M$205,4,FALSE()),99),3,IF(AZ8&lt;=IFERROR(VLOOKUP(CONCATENATE(D8,YEAR(TODAY())-YEAR(C8),"pujottelu"),_viitearvot!$I$2:$M$205,5,FALSE()),99),2,1)))))</f>
        <v/>
      </c>
      <c r="BB8" s="62" t="n"/>
      <c r="BC8" s="62" t="n"/>
      <c r="BD8" s="63">
        <f>IFERROR(MIN(BB8,BC8),"")</f>
        <v/>
      </c>
      <c r="BE8" s="64">
        <f>IF(OR(BD8="",D8=""),"",IF(BD8&lt;=IFERROR(VLOOKUP(CONCATENATE(D8,YEAR(TODAY())-YEAR(C8),"syotto"),_viitearvot!$I$2:$M$205,2,FALSE()),99),5,IF(BD8&lt;=IFERROR(VLOOKUP(CONCATENATE(D8,YEAR(TODAY())-YEAR(C8),"syotto"),_viitearvot!$I$2:$M$205,3,FALSE()),99),4,IF(BD8&lt;=IFERROR(VLOOKUP(CONCATENATE(D8,YEAR(TODAY())-YEAR(C8),"syotto"),_viitearvot!$I$2:$M$205,4,FALSE()),99),3,IF(BD8&lt;=IFERROR(VLOOKUP(CONCATENATE(D8,YEAR(TODAY())-YEAR(C8),"syotto"),_viitearvot!$I$2:$M$205,5,FALSE()),99),2,1)))))</f>
        <v/>
      </c>
      <c r="BF8" s="65" t="n"/>
      <c r="BG8" s="66">
        <f>IF(OR(BF8="",K8=""),"",(IF(D8="P",IF(K8&lt;=IFERROR(VLOOKUP(CONCATENATE("P",ROUND(BF8,0),"lin5m"),_viitearvot!$A:$H,4,FALSE()),99),5,IF(K8&lt;=IFERROR(VLOOKUP(CONCATENATE("P",ROUND(BF8,0),"lin5m"),_viitearvot!$A:$H,5,FALSE()),99),4,IF(K8&lt;=IFERROR(VLOOKUP(CONCATENATE("P",ROUND(BF8,0),"lin5m"),_viitearvot!$A:$H,6,FALSE()),99),3,IF(K8&lt;=IFERROR(VLOOKUP(CONCATENATE("P",ROUND(BF8,0),"lin5m"),_viitearvot!$A:$H,7,FALSE()),99),2,1)))),IF(K8&lt;=IFERROR(VLOOKUP(CONCATENATE("T",ROUND(BF8,0),"lin5m"),_viitearvot!$A:$H,4,FALSE()),99),5,IF(K8&lt;=IFERROR(VLOOKUP(CONCATENATE("T",ROUND(BF8,0),"lin5m"),_viitearvot!$A:$H,5,FALSE()),99),4,IF(K8&lt;=IFERROR(VLOOKUP(CONCATENATE("T",ROUND(BF8,0),"lin5m"),_viitearvot!$A:$H,6,FALSE()),99),3,IF(K8&lt;=IFERROR(VLOOKUP(CONCATENATE("T",ROUND(BF8,0),"lin5m"),_viitearvot!$A:$H,7,FALSE()),99),2,1))))))-L8)</f>
        <v/>
      </c>
      <c r="BH8" s="67" t="n"/>
    </row>
    <row r="9" ht="17" customHeight="1" s="22">
      <c r="A9" s="52" t="n"/>
      <c r="B9" s="52" t="n"/>
      <c r="C9" s="53" t="n"/>
      <c r="D9" s="52" t="n"/>
      <c r="E9" s="52" t="n"/>
      <c r="F9" s="52" t="n"/>
      <c r="G9" s="52" t="n"/>
      <c r="H9" s="54" t="n"/>
      <c r="I9" s="54" t="n"/>
      <c r="J9" s="54" t="n"/>
      <c r="K9" s="55">
        <f>IFERROR(MIN(H9,I9,J9),"")</f>
        <v/>
      </c>
      <c r="L9" s="56">
        <f>IF(OR(K9="",D9=""),"",IF(K9&lt;=IFERROR(VLOOKUP(CONCATENATE(D9,YEAR(TODAY())-YEAR(C9),"lin5m"),_viitearvot!$I$2:$M$205,2,FALSE()),99),5,IF(K9&lt;=IFERROR(VLOOKUP(CONCATENATE(D9,YEAR(TODAY())-YEAR(C9),"lin5m"),_viitearvot!$I$2:$M$205,3,FALSE()),99),4,IF(K9&lt;=IFERROR(VLOOKUP(CONCATENATE(D9,YEAR(TODAY())-YEAR(C9),"lin5m"),_viitearvot!$I$2:$M$205,4,FALSE()),99),3,IF(K9&lt;=IFERROR(VLOOKUP(CONCATENATE(D9,YEAR(TODAY())-YEAR(C9),"lin5m"),_viitearvot!$I$2:$M$205,5,FALSE()),99),2,1)))))</f>
        <v/>
      </c>
      <c r="M9" s="54" t="n"/>
      <c r="N9" s="54" t="n"/>
      <c r="O9" s="54" t="n"/>
      <c r="P9" s="55">
        <f>IFERROR(MIN(M9,N9,O9),"")</f>
        <v/>
      </c>
      <c r="Q9" s="56">
        <f>IF(OR(P9="",D9=""),"",IF(P9&lt;=IFERROR(VLOOKUP(CONCATENATE(D9,YEAR(TODAY())-YEAR(C9),"lin10m"),_viitearvot!$I$2:$M$205,2,FALSE()),99),5,IF(P9&lt;=IFERROR(VLOOKUP(CONCATENATE(D9,YEAR(TODAY())-YEAR(C9),"lin10m"),_viitearvot!$I$2:$M$205,3,FALSE()),99),4,IF(P9&lt;=IFERROR(VLOOKUP(CONCATENATE(D9,YEAR(TODAY())-YEAR(C9),"lin10m"),_viitearvot!$I$2:$M$205,4,FALSE()),99),3,IF(P9&lt;=IFERROR(VLOOKUP(CONCATENATE(D9,YEAR(TODAY())-YEAR(C9),"lin10m"),_viitearvot!$I$2:$M$205,5,FALSE()),99),2,1)))))</f>
        <v/>
      </c>
      <c r="R9" s="54" t="n"/>
      <c r="S9" s="54" t="n"/>
      <c r="T9" s="54" t="n"/>
      <c r="U9" s="55">
        <f>IFERROR(MIN(R9,S9,T9),"")</f>
        <v/>
      </c>
      <c r="V9" s="56">
        <f>IF(OR(U9="",D9=""),"",IF(U9&lt;=IFERROR(VLOOKUP(CONCATENATE(D9,YEAR(TODAY())-YEAR(C9),"lin20m"),_viitearvot!$I$2:$M$205,2,FALSE()),99),5,IF(U9&lt;=IFERROR(VLOOKUP(CONCATENATE(D9,YEAR(TODAY())-YEAR(C9),"lin20m"),_viitearvot!$I$2:$M$205,3,FALSE()),99),4,IF(U9&lt;=IFERROR(VLOOKUP(CONCATENATE(D9,YEAR(TODAY())-YEAR(C9),"lin20m"),_viitearvot!$I$2:$M$205,4,FALSE()),99),3,IF(U9&lt;=IFERROR(VLOOKUP(CONCATENATE(D9,YEAR(TODAY())-YEAR(C9),"lin20m"),_viitearvot!$I$2:$M$205,5,FALSE()),99),2,1)))))</f>
        <v/>
      </c>
      <c r="W9" s="54" t="n"/>
      <c r="X9" s="54" t="n"/>
      <c r="Y9" s="54" t="n"/>
      <c r="Z9" s="55">
        <f>IFERROR(MIN(W9,X9,Y9),"")</f>
        <v/>
      </c>
      <c r="AA9" s="56">
        <f>IF(OR(Z9="",D9=""),"",IF(Z9&lt;=IFERROR(VLOOKUP(CONCATENATE(D9,YEAR(TODAY())-YEAR(C9),"lin30m"),_viitearvot!$I$2:$M$205,2,FALSE()),99),5,IF(Z9&lt;=IFERROR(VLOOKUP(CONCATENATE(D9,YEAR(TODAY())-YEAR(C9),"lin30m"),_viitearvot!$I$2:$M$205,3,FALSE()),99),4,IF(Z9&lt;=IFERROR(VLOOKUP(CONCATENATE(D9,YEAR(TODAY())-YEAR(C9),"lin30m"),_viitearvot!$I$2:$M$205,4,FALSE()),99),3,IF(Z9&lt;=IFERROR(VLOOKUP(CONCATENATE(D9,YEAR(TODAY())-YEAR(C9),"lin30m"),_viitearvot!$I$2:$M$205,5,FALSE()),99),2,1)))))</f>
        <v/>
      </c>
      <c r="AB9" s="54" t="n"/>
      <c r="AC9" s="54" t="n"/>
      <c r="AD9" s="54" t="n"/>
      <c r="AE9" s="55">
        <f>IFERROR(MIN(AB9,AC9,AD9),"")</f>
        <v/>
      </c>
      <c r="AF9" s="56">
        <f>IF(OR(AE9="",D9=""),"",IF(AE9&lt;=IFERROR(VLOOKUP(CONCATENATE(D9,YEAR(TODAY())-YEAR(C9),"kasirata"),_viitearvot!$I$2:$M$205,2,FALSE()),99),5,IF(AE9&lt;=IFERROR(VLOOKUP(CONCATENATE(D9,YEAR(TODAY())-YEAR(C9),"kasirata"),_viitearvot!$I$2:$M$205,3,FALSE()),99),4,IF(AE9&lt;=IFERROR(VLOOKUP(CONCATENATE(D9,YEAR(TODAY())-YEAR(C9),"kasirata"),_viitearvot!$I$2:$M$205,4,FALSE()),99),3,IF(AE9&lt;=IFERROR(VLOOKUP(CONCATENATE(D9,YEAR(TODAY())-YEAR(C9),"kasirata"),_viitearvot!$I$2:$M$205,5,FALSE()),99),2,1)))))</f>
        <v/>
      </c>
      <c r="AG9" s="54" t="n"/>
      <c r="AH9" s="54" t="n"/>
      <c r="AI9" s="54" t="n"/>
      <c r="AJ9" s="55">
        <f>IFERROR(MIN(AG9,AH9,AI9),"")</f>
        <v/>
      </c>
      <c r="AK9" s="56">
        <f>IF(OR(AJ9="",D9=""),"",IF(AJ9&lt;=IFERROR(VLOOKUP(CONCATENATE(D9,YEAR(TODAY())-YEAR(C9),"smjuoksu"),_viitearvot!$I$2:$M$205,2,FALSE()),99),5,IF(AJ9&lt;=IFERROR(VLOOKUP(CONCATENATE(D9,YEAR(TODAY())-YEAR(C9),"smjuoksu"),_viitearvot!$I$2:$M$205,3,FALSE()),99),4,IF(AJ9&lt;=IFERROR(VLOOKUP(CONCATENATE(D9,YEAR(TODAY())-YEAR(C9),"smjuoksu"),_viitearvot!$I$2:$M$205,4,FALSE()),99),3,IF(AJ9&lt;=IFERROR(VLOOKUP(CONCATENATE(D9,YEAR(TODAY())-YEAR(C9),"smjuoksu"),_viitearvot!$I$2:$M$205,5,FALSE()),99),2,1)))))</f>
        <v/>
      </c>
      <c r="AL9" s="54" t="n"/>
      <c r="AM9" s="54" t="n"/>
      <c r="AN9" s="55">
        <f>IFERROR(MIN(AL9,AM9),"")</f>
        <v/>
      </c>
      <c r="AO9" s="56">
        <f>IF(OR(AN9="",D9=""),"",IF(AN9&lt;=IFERROR(VLOOKUP(CONCATENATE(D9,YEAR(TODAY())-YEAR(C9),"smpallo"),_viitearvot!$I$2:$M$205,2,FALSE()),99),5,IF(AN9&lt;=IFERROR(VLOOKUP(CONCATENATE(D9,YEAR(TODAY())-YEAR(C9),"smpallo"),_viitearvot!$I$2:$M$205,3,FALSE()),99),4,IF(AN9&lt;=IFERROR(VLOOKUP(CONCATENATE(D9,YEAR(TODAY())-YEAR(C9),"smpallo"),_viitearvot!$I$2:$M$205,4,FALSE()),99),3,IF(AN9&lt;=IFERROR(VLOOKUP(CONCATENATE(D9,YEAR(TODAY())-YEAR(C9),"smpallo"),_viitearvot!$I$2:$M$205,5,FALSE()),99),2,1)))))</f>
        <v/>
      </c>
      <c r="AP9" s="54" t="n"/>
      <c r="AQ9" s="54" t="n"/>
      <c r="AR9" s="54" t="n"/>
      <c r="AS9" s="55">
        <f>IFERROR(MAX(AP9,AQ9,AR9),"")</f>
        <v/>
      </c>
      <c r="AT9" s="56">
        <f>IF(OR(AS9="",D9=""),"",IF(AS9&gt;=IFERROR(VLOOKUP(CONCATENATE(D9,YEAR(TODAY())-YEAR(C9),"cmj"),_viitearvot!$I$2:$M$205,2,FALSE()),0),5,IF(AS9&gt;=IFERROR(VLOOKUP(CONCATENATE(D9,YEAR(TODAY())-YEAR(C9),"cmj"),_viitearvot!$I$2:$M$205,3,FALSE()),0),4,IF(AS9&gt;=IFERROR(VLOOKUP(CONCATENATE(D9,YEAR(TODAY())-YEAR(C9),"cmj"),_viitearvot!$I$2:$M$205,4,FALSE()),0),3,IF(AS9&gt;=IFERROR(VLOOKUP(CONCATENATE(D9,YEAR(TODAY())-YEAR(C9),"cmj"),_viitearvot!$I$2:$M$205,5,FALSE()),0),2,1)))))</f>
        <v/>
      </c>
      <c r="AU9" s="54" t="n"/>
      <c r="AV9" s="55">
        <f>IFERROR(MAX(AU9),"")</f>
        <v/>
      </c>
      <c r="AW9" s="56">
        <f>IF(OR(AV9="",D9=""),"",IF(AV9&gt;=IFERROR(VLOOKUP(CONCATENATE(D9,YEAR(TODAY())-YEAR(C9),"bronco"),_viitearvot!$I$2:$M$205,2,FALSE()),0),5,IF(AV9&gt;=IFERROR(VLOOKUP(CONCATENATE(D9,YEAR(TODAY())-YEAR(C9),"bronco"),_viitearvot!$I$2:$M$205,3,FALSE()),0),4,IF(AV9&gt;=IFERROR(VLOOKUP(CONCATENATE(D9,YEAR(TODAY())-YEAR(C9),"bronco"),_viitearvot!$I$2:$M$205,4,FALSE()),0),3,IF(AV9&gt;=IFERROR(VLOOKUP(CONCATENATE(D9,YEAR(TODAY())-YEAR(C9),"bronco"),_viitearvot!$I$2:$M$205,5,FALSE()),0),2,1)))))</f>
        <v/>
      </c>
      <c r="AX9" s="54" t="n"/>
      <c r="AY9" s="54" t="n"/>
      <c r="AZ9" s="55">
        <f>IFERROR(MIN(AX9,AY9),"")</f>
        <v/>
      </c>
      <c r="BA9" s="56">
        <f>IF(OR(AZ9="",D9=""),"",IF(AZ9&lt;=IFERROR(VLOOKUP(CONCATENATE(D9,YEAR(TODAY())-YEAR(C9),"pujottelu"),_viitearvot!$I$2:$M$205,2,FALSE()),99),5,IF(AZ9&lt;=IFERROR(VLOOKUP(CONCATENATE(D9,YEAR(TODAY())-YEAR(C9),"pujottelu"),_viitearvot!$I$2:$M$205,3,FALSE()),99),4,IF(AZ9&lt;=IFERROR(VLOOKUP(CONCATENATE(D9,YEAR(TODAY())-YEAR(C9),"pujottelu"),_viitearvot!$I$2:$M$205,4,FALSE()),99),3,IF(AZ9&lt;=IFERROR(VLOOKUP(CONCATENATE(D9,YEAR(TODAY())-YEAR(C9),"pujottelu"),_viitearvot!$I$2:$M$205,5,FALSE()),99),2,1)))))</f>
        <v/>
      </c>
      <c r="BB9" s="54" t="n"/>
      <c r="BC9" s="54" t="n"/>
      <c r="BD9" s="55">
        <f>IFERROR(MIN(BB9,BC9),"")</f>
        <v/>
      </c>
      <c r="BE9" s="56">
        <f>IF(OR(BD9="",D9=""),"",IF(BD9&lt;=IFERROR(VLOOKUP(CONCATENATE(D9,YEAR(TODAY())-YEAR(C9),"syotto"),_viitearvot!$I$2:$M$205,2,FALSE()),99),5,IF(BD9&lt;=IFERROR(VLOOKUP(CONCATENATE(D9,YEAR(TODAY())-YEAR(C9),"syotto"),_viitearvot!$I$2:$M$205,3,FALSE()),99),4,IF(BD9&lt;=IFERROR(VLOOKUP(CONCATENATE(D9,YEAR(TODAY())-YEAR(C9),"syotto"),_viitearvot!$I$2:$M$205,4,FALSE()),99),3,IF(BD9&lt;=IFERROR(VLOOKUP(CONCATENATE(D9,YEAR(TODAY())-YEAR(C9),"syotto"),_viitearvot!$I$2:$M$205,5,FALSE()),99),2,1)))))</f>
        <v/>
      </c>
      <c r="BF9" s="57" t="n"/>
      <c r="BG9" s="58">
        <f>IF(OR(BF9="",K9=""),"",(IF(D9="P",IF(K9&lt;=IFERROR(VLOOKUP(CONCATENATE("P",ROUND(BF9,0),"lin5m"),_viitearvot!$A:$H,4,FALSE()),99),5,IF(K9&lt;=IFERROR(VLOOKUP(CONCATENATE("P",ROUND(BF9,0),"lin5m"),_viitearvot!$A:$H,5,FALSE()),99),4,IF(K9&lt;=IFERROR(VLOOKUP(CONCATENATE("P",ROUND(BF9,0),"lin5m"),_viitearvot!$A:$H,6,FALSE()),99),3,IF(K9&lt;=IFERROR(VLOOKUP(CONCATENATE("P",ROUND(BF9,0),"lin5m"),_viitearvot!$A:$H,7,FALSE()),99),2,1)))),IF(K9&lt;=IFERROR(VLOOKUP(CONCATENATE("T",ROUND(BF9,0),"lin5m"),_viitearvot!$A:$H,4,FALSE()),99),5,IF(K9&lt;=IFERROR(VLOOKUP(CONCATENATE("T",ROUND(BF9,0),"lin5m"),_viitearvot!$A:$H,5,FALSE()),99),4,IF(K9&lt;=IFERROR(VLOOKUP(CONCATENATE("T",ROUND(BF9,0),"lin5m"),_viitearvot!$A:$H,6,FALSE()),99),3,IF(K9&lt;=IFERROR(VLOOKUP(CONCATENATE("T",ROUND(BF9,0),"lin5m"),_viitearvot!$A:$H,7,FALSE()),99),2,1))))))-L9)</f>
        <v/>
      </c>
      <c r="BH9" s="59" t="n"/>
    </row>
    <row r="10" ht="17" customHeight="1" s="22">
      <c r="A10" s="60" t="n"/>
      <c r="B10" s="60" t="n"/>
      <c r="C10" s="61" t="n"/>
      <c r="D10" s="60" t="n"/>
      <c r="E10" s="60" t="n"/>
      <c r="F10" s="60" t="n"/>
      <c r="G10" s="60" t="n"/>
      <c r="H10" s="62" t="n"/>
      <c r="I10" s="62" t="n"/>
      <c r="J10" s="62" t="n"/>
      <c r="K10" s="63">
        <f>IFERROR(MIN(H10,I10,J10),"")</f>
        <v/>
      </c>
      <c r="L10" s="64">
        <f>IF(OR(K10="",D10=""),"",IF(K10&lt;=IFERROR(VLOOKUP(CONCATENATE(D10,YEAR(TODAY())-YEAR(C10),"lin5m"),_viitearvot!$I$2:$M$205,2,FALSE()),99),5,IF(K10&lt;=IFERROR(VLOOKUP(CONCATENATE(D10,YEAR(TODAY())-YEAR(C10),"lin5m"),_viitearvot!$I$2:$M$205,3,FALSE()),99),4,IF(K10&lt;=IFERROR(VLOOKUP(CONCATENATE(D10,YEAR(TODAY())-YEAR(C10),"lin5m"),_viitearvot!$I$2:$M$205,4,FALSE()),99),3,IF(K10&lt;=IFERROR(VLOOKUP(CONCATENATE(D10,YEAR(TODAY())-YEAR(C10),"lin5m"),_viitearvot!$I$2:$M$205,5,FALSE()),99),2,1)))))</f>
        <v/>
      </c>
      <c r="M10" s="62" t="n"/>
      <c r="N10" s="62" t="n"/>
      <c r="O10" s="62" t="n"/>
      <c r="P10" s="63">
        <f>IFERROR(MIN(M10,N10,O10),"")</f>
        <v/>
      </c>
      <c r="Q10" s="64">
        <f>IF(OR(P10="",D10=""),"",IF(P10&lt;=IFERROR(VLOOKUP(CONCATENATE(D10,YEAR(TODAY())-YEAR(C10),"lin10m"),_viitearvot!$I$2:$M$205,2,FALSE()),99),5,IF(P10&lt;=IFERROR(VLOOKUP(CONCATENATE(D10,YEAR(TODAY())-YEAR(C10),"lin10m"),_viitearvot!$I$2:$M$205,3,FALSE()),99),4,IF(P10&lt;=IFERROR(VLOOKUP(CONCATENATE(D10,YEAR(TODAY())-YEAR(C10),"lin10m"),_viitearvot!$I$2:$M$205,4,FALSE()),99),3,IF(P10&lt;=IFERROR(VLOOKUP(CONCATENATE(D10,YEAR(TODAY())-YEAR(C10),"lin10m"),_viitearvot!$I$2:$M$205,5,FALSE()),99),2,1)))))</f>
        <v/>
      </c>
      <c r="R10" s="62" t="n"/>
      <c r="S10" s="62" t="n"/>
      <c r="T10" s="62" t="n"/>
      <c r="U10" s="63">
        <f>IFERROR(MIN(R10,S10,T10),"")</f>
        <v/>
      </c>
      <c r="V10" s="64">
        <f>IF(OR(U10="",D10=""),"",IF(U10&lt;=IFERROR(VLOOKUP(CONCATENATE(D10,YEAR(TODAY())-YEAR(C10),"lin20m"),_viitearvot!$I$2:$M$205,2,FALSE()),99),5,IF(U10&lt;=IFERROR(VLOOKUP(CONCATENATE(D10,YEAR(TODAY())-YEAR(C10),"lin20m"),_viitearvot!$I$2:$M$205,3,FALSE()),99),4,IF(U10&lt;=IFERROR(VLOOKUP(CONCATENATE(D10,YEAR(TODAY())-YEAR(C10),"lin20m"),_viitearvot!$I$2:$M$205,4,FALSE()),99),3,IF(U10&lt;=IFERROR(VLOOKUP(CONCATENATE(D10,YEAR(TODAY())-YEAR(C10),"lin20m"),_viitearvot!$I$2:$M$205,5,FALSE()),99),2,1)))))</f>
        <v/>
      </c>
      <c r="W10" s="62" t="n"/>
      <c r="X10" s="62" t="n"/>
      <c r="Y10" s="62" t="n"/>
      <c r="Z10" s="63">
        <f>IFERROR(MIN(W10,X10,Y10),"")</f>
        <v/>
      </c>
      <c r="AA10" s="64">
        <f>IF(OR(Z10="",D10=""),"",IF(Z10&lt;=IFERROR(VLOOKUP(CONCATENATE(D10,YEAR(TODAY())-YEAR(C10),"lin30m"),_viitearvot!$I$2:$M$205,2,FALSE()),99),5,IF(Z10&lt;=IFERROR(VLOOKUP(CONCATENATE(D10,YEAR(TODAY())-YEAR(C10),"lin30m"),_viitearvot!$I$2:$M$205,3,FALSE()),99),4,IF(Z10&lt;=IFERROR(VLOOKUP(CONCATENATE(D10,YEAR(TODAY())-YEAR(C10),"lin30m"),_viitearvot!$I$2:$M$205,4,FALSE()),99),3,IF(Z10&lt;=IFERROR(VLOOKUP(CONCATENATE(D10,YEAR(TODAY())-YEAR(C10),"lin30m"),_viitearvot!$I$2:$M$205,5,FALSE()),99),2,1)))))</f>
        <v/>
      </c>
      <c r="AB10" s="62" t="n"/>
      <c r="AC10" s="62" t="n"/>
      <c r="AD10" s="62" t="n"/>
      <c r="AE10" s="63">
        <f>IFERROR(MIN(AB10,AC10,AD10),"")</f>
        <v/>
      </c>
      <c r="AF10" s="64">
        <f>IF(OR(AE10="",D10=""),"",IF(AE10&lt;=IFERROR(VLOOKUP(CONCATENATE(D10,YEAR(TODAY())-YEAR(C10),"kasirata"),_viitearvot!$I$2:$M$205,2,FALSE()),99),5,IF(AE10&lt;=IFERROR(VLOOKUP(CONCATENATE(D10,YEAR(TODAY())-YEAR(C10),"kasirata"),_viitearvot!$I$2:$M$205,3,FALSE()),99),4,IF(AE10&lt;=IFERROR(VLOOKUP(CONCATENATE(D10,YEAR(TODAY())-YEAR(C10),"kasirata"),_viitearvot!$I$2:$M$205,4,FALSE()),99),3,IF(AE10&lt;=IFERROR(VLOOKUP(CONCATENATE(D10,YEAR(TODAY())-YEAR(C10),"kasirata"),_viitearvot!$I$2:$M$205,5,FALSE()),99),2,1)))))</f>
        <v/>
      </c>
      <c r="AG10" s="62" t="n"/>
      <c r="AH10" s="62" t="n"/>
      <c r="AI10" s="62" t="n"/>
      <c r="AJ10" s="63">
        <f>IFERROR(MIN(AG10,AH10,AI10),"")</f>
        <v/>
      </c>
      <c r="AK10" s="64">
        <f>IF(OR(AJ10="",D10=""),"",IF(AJ10&lt;=IFERROR(VLOOKUP(CONCATENATE(D10,YEAR(TODAY())-YEAR(C10),"smjuoksu"),_viitearvot!$I$2:$M$205,2,FALSE()),99),5,IF(AJ10&lt;=IFERROR(VLOOKUP(CONCATENATE(D10,YEAR(TODAY())-YEAR(C10),"smjuoksu"),_viitearvot!$I$2:$M$205,3,FALSE()),99),4,IF(AJ10&lt;=IFERROR(VLOOKUP(CONCATENATE(D10,YEAR(TODAY())-YEAR(C10),"smjuoksu"),_viitearvot!$I$2:$M$205,4,FALSE()),99),3,IF(AJ10&lt;=IFERROR(VLOOKUP(CONCATENATE(D10,YEAR(TODAY())-YEAR(C10),"smjuoksu"),_viitearvot!$I$2:$M$205,5,FALSE()),99),2,1)))))</f>
        <v/>
      </c>
      <c r="AL10" s="62" t="n"/>
      <c r="AM10" s="62" t="n"/>
      <c r="AN10" s="63">
        <f>IFERROR(MIN(AL10,AM10),"")</f>
        <v/>
      </c>
      <c r="AO10" s="64">
        <f>IF(OR(AN10="",D10=""),"",IF(AN10&lt;=IFERROR(VLOOKUP(CONCATENATE(D10,YEAR(TODAY())-YEAR(C10),"smpallo"),_viitearvot!$I$2:$M$205,2,FALSE()),99),5,IF(AN10&lt;=IFERROR(VLOOKUP(CONCATENATE(D10,YEAR(TODAY())-YEAR(C10),"smpallo"),_viitearvot!$I$2:$M$205,3,FALSE()),99),4,IF(AN10&lt;=IFERROR(VLOOKUP(CONCATENATE(D10,YEAR(TODAY())-YEAR(C10),"smpallo"),_viitearvot!$I$2:$M$205,4,FALSE()),99),3,IF(AN10&lt;=IFERROR(VLOOKUP(CONCATENATE(D10,YEAR(TODAY())-YEAR(C10),"smpallo"),_viitearvot!$I$2:$M$205,5,FALSE()),99),2,1)))))</f>
        <v/>
      </c>
      <c r="AP10" s="62" t="n"/>
      <c r="AQ10" s="62" t="n"/>
      <c r="AR10" s="62" t="n"/>
      <c r="AS10" s="63">
        <f>IFERROR(MAX(AP10,AQ10,AR10),"")</f>
        <v/>
      </c>
      <c r="AT10" s="64">
        <f>IF(OR(AS10="",D10=""),"",IF(AS10&gt;=IFERROR(VLOOKUP(CONCATENATE(D10,YEAR(TODAY())-YEAR(C10),"cmj"),_viitearvot!$I$2:$M$205,2,FALSE()),0),5,IF(AS10&gt;=IFERROR(VLOOKUP(CONCATENATE(D10,YEAR(TODAY())-YEAR(C10),"cmj"),_viitearvot!$I$2:$M$205,3,FALSE()),0),4,IF(AS10&gt;=IFERROR(VLOOKUP(CONCATENATE(D10,YEAR(TODAY())-YEAR(C10),"cmj"),_viitearvot!$I$2:$M$205,4,FALSE()),0),3,IF(AS10&gt;=IFERROR(VLOOKUP(CONCATENATE(D10,YEAR(TODAY())-YEAR(C10),"cmj"),_viitearvot!$I$2:$M$205,5,FALSE()),0),2,1)))))</f>
        <v/>
      </c>
      <c r="AU10" s="62" t="n"/>
      <c r="AV10" s="63">
        <f>IFERROR(MAX(AU10),"")</f>
        <v/>
      </c>
      <c r="AW10" s="64">
        <f>IF(OR(AV10="",D10=""),"",IF(AV10&gt;=IFERROR(VLOOKUP(CONCATENATE(D10,YEAR(TODAY())-YEAR(C10),"bronco"),_viitearvot!$I$2:$M$205,2,FALSE()),0),5,IF(AV10&gt;=IFERROR(VLOOKUP(CONCATENATE(D10,YEAR(TODAY())-YEAR(C10),"bronco"),_viitearvot!$I$2:$M$205,3,FALSE()),0),4,IF(AV10&gt;=IFERROR(VLOOKUP(CONCATENATE(D10,YEAR(TODAY())-YEAR(C10),"bronco"),_viitearvot!$I$2:$M$205,4,FALSE()),0),3,IF(AV10&gt;=IFERROR(VLOOKUP(CONCATENATE(D10,YEAR(TODAY())-YEAR(C10),"bronco"),_viitearvot!$I$2:$M$205,5,FALSE()),0),2,1)))))</f>
        <v/>
      </c>
      <c r="AX10" s="62" t="n"/>
      <c r="AY10" s="62" t="n"/>
      <c r="AZ10" s="63">
        <f>IFERROR(MIN(AX10,AY10),"")</f>
        <v/>
      </c>
      <c r="BA10" s="64">
        <f>IF(OR(AZ10="",D10=""),"",IF(AZ10&lt;=IFERROR(VLOOKUP(CONCATENATE(D10,YEAR(TODAY())-YEAR(C10),"pujottelu"),_viitearvot!$I$2:$M$205,2,FALSE()),99),5,IF(AZ10&lt;=IFERROR(VLOOKUP(CONCATENATE(D10,YEAR(TODAY())-YEAR(C10),"pujottelu"),_viitearvot!$I$2:$M$205,3,FALSE()),99),4,IF(AZ10&lt;=IFERROR(VLOOKUP(CONCATENATE(D10,YEAR(TODAY())-YEAR(C10),"pujottelu"),_viitearvot!$I$2:$M$205,4,FALSE()),99),3,IF(AZ10&lt;=IFERROR(VLOOKUP(CONCATENATE(D10,YEAR(TODAY())-YEAR(C10),"pujottelu"),_viitearvot!$I$2:$M$205,5,FALSE()),99),2,1)))))</f>
        <v/>
      </c>
      <c r="BB10" s="62" t="n"/>
      <c r="BC10" s="62" t="n"/>
      <c r="BD10" s="63">
        <f>IFERROR(MIN(BB10,BC10),"")</f>
        <v/>
      </c>
      <c r="BE10" s="64">
        <f>IF(OR(BD10="",D10=""),"",IF(BD10&lt;=IFERROR(VLOOKUP(CONCATENATE(D10,YEAR(TODAY())-YEAR(C10),"syotto"),_viitearvot!$I$2:$M$205,2,FALSE()),99),5,IF(BD10&lt;=IFERROR(VLOOKUP(CONCATENATE(D10,YEAR(TODAY())-YEAR(C10),"syotto"),_viitearvot!$I$2:$M$205,3,FALSE()),99),4,IF(BD10&lt;=IFERROR(VLOOKUP(CONCATENATE(D10,YEAR(TODAY())-YEAR(C10),"syotto"),_viitearvot!$I$2:$M$205,4,FALSE()),99),3,IF(BD10&lt;=IFERROR(VLOOKUP(CONCATENATE(D10,YEAR(TODAY())-YEAR(C10),"syotto"),_viitearvot!$I$2:$M$205,5,FALSE()),99),2,1)))))</f>
        <v/>
      </c>
      <c r="BF10" s="65" t="n"/>
      <c r="BG10" s="66">
        <f>IF(OR(BF10="",K10=""),"",(IF(D10="P",IF(K10&lt;=IFERROR(VLOOKUP(CONCATENATE("P",ROUND(BF10,0),"lin5m"),_viitearvot!$A:$H,4,FALSE()),99),5,IF(K10&lt;=IFERROR(VLOOKUP(CONCATENATE("P",ROUND(BF10,0),"lin5m"),_viitearvot!$A:$H,5,FALSE()),99),4,IF(K10&lt;=IFERROR(VLOOKUP(CONCATENATE("P",ROUND(BF10,0),"lin5m"),_viitearvot!$A:$H,6,FALSE()),99),3,IF(K10&lt;=IFERROR(VLOOKUP(CONCATENATE("P",ROUND(BF10,0),"lin5m"),_viitearvot!$A:$H,7,FALSE()),99),2,1)))),IF(K10&lt;=IFERROR(VLOOKUP(CONCATENATE("T",ROUND(BF10,0),"lin5m"),_viitearvot!$A:$H,4,FALSE()),99),5,IF(K10&lt;=IFERROR(VLOOKUP(CONCATENATE("T",ROUND(BF10,0),"lin5m"),_viitearvot!$A:$H,5,FALSE()),99),4,IF(K10&lt;=IFERROR(VLOOKUP(CONCATENATE("T",ROUND(BF10,0),"lin5m"),_viitearvot!$A:$H,6,FALSE()),99),3,IF(K10&lt;=IFERROR(VLOOKUP(CONCATENATE("T",ROUND(BF10,0),"lin5m"),_viitearvot!$A:$H,7,FALSE()),99),2,1))))))-L10)</f>
        <v/>
      </c>
      <c r="BH10" s="67" t="n"/>
    </row>
    <row r="11" ht="17" customHeight="1" s="22">
      <c r="A11" s="52" t="n"/>
      <c r="B11" s="52" t="n"/>
      <c r="C11" s="53" t="n"/>
      <c r="D11" s="52" t="n"/>
      <c r="E11" s="52" t="n"/>
      <c r="F11" s="52" t="n"/>
      <c r="G11" s="52" t="n"/>
      <c r="H11" s="54" t="n"/>
      <c r="I11" s="54" t="n"/>
      <c r="J11" s="54" t="n"/>
      <c r="K11" s="55">
        <f>IFERROR(MIN(H11,I11,J11),"")</f>
        <v/>
      </c>
      <c r="L11" s="56">
        <f>IF(OR(K11="",D11=""),"",IF(K11&lt;=IFERROR(VLOOKUP(CONCATENATE(D11,YEAR(TODAY())-YEAR(C11),"lin5m"),_viitearvot!$I$2:$M$205,2,FALSE()),99),5,IF(K11&lt;=IFERROR(VLOOKUP(CONCATENATE(D11,YEAR(TODAY())-YEAR(C11),"lin5m"),_viitearvot!$I$2:$M$205,3,FALSE()),99),4,IF(K11&lt;=IFERROR(VLOOKUP(CONCATENATE(D11,YEAR(TODAY())-YEAR(C11),"lin5m"),_viitearvot!$I$2:$M$205,4,FALSE()),99),3,IF(K11&lt;=IFERROR(VLOOKUP(CONCATENATE(D11,YEAR(TODAY())-YEAR(C11),"lin5m"),_viitearvot!$I$2:$M$205,5,FALSE()),99),2,1)))))</f>
        <v/>
      </c>
      <c r="M11" s="54" t="n"/>
      <c r="N11" s="54" t="n"/>
      <c r="O11" s="54" t="n"/>
      <c r="P11" s="55">
        <f>IFERROR(MIN(M11,N11,O11),"")</f>
        <v/>
      </c>
      <c r="Q11" s="56">
        <f>IF(OR(P11="",D11=""),"",IF(P11&lt;=IFERROR(VLOOKUP(CONCATENATE(D11,YEAR(TODAY())-YEAR(C11),"lin10m"),_viitearvot!$I$2:$M$205,2,FALSE()),99),5,IF(P11&lt;=IFERROR(VLOOKUP(CONCATENATE(D11,YEAR(TODAY())-YEAR(C11),"lin10m"),_viitearvot!$I$2:$M$205,3,FALSE()),99),4,IF(P11&lt;=IFERROR(VLOOKUP(CONCATENATE(D11,YEAR(TODAY())-YEAR(C11),"lin10m"),_viitearvot!$I$2:$M$205,4,FALSE()),99),3,IF(P11&lt;=IFERROR(VLOOKUP(CONCATENATE(D11,YEAR(TODAY())-YEAR(C11),"lin10m"),_viitearvot!$I$2:$M$205,5,FALSE()),99),2,1)))))</f>
        <v/>
      </c>
      <c r="R11" s="54" t="n"/>
      <c r="S11" s="54" t="n"/>
      <c r="T11" s="54" t="n"/>
      <c r="U11" s="55">
        <f>IFERROR(MIN(R11,S11,T11),"")</f>
        <v/>
      </c>
      <c r="V11" s="56">
        <f>IF(OR(U11="",D11=""),"",IF(U11&lt;=IFERROR(VLOOKUP(CONCATENATE(D11,YEAR(TODAY())-YEAR(C11),"lin20m"),_viitearvot!$I$2:$M$205,2,FALSE()),99),5,IF(U11&lt;=IFERROR(VLOOKUP(CONCATENATE(D11,YEAR(TODAY())-YEAR(C11),"lin20m"),_viitearvot!$I$2:$M$205,3,FALSE()),99),4,IF(U11&lt;=IFERROR(VLOOKUP(CONCATENATE(D11,YEAR(TODAY())-YEAR(C11),"lin20m"),_viitearvot!$I$2:$M$205,4,FALSE()),99),3,IF(U11&lt;=IFERROR(VLOOKUP(CONCATENATE(D11,YEAR(TODAY())-YEAR(C11),"lin20m"),_viitearvot!$I$2:$M$205,5,FALSE()),99),2,1)))))</f>
        <v/>
      </c>
      <c r="W11" s="54" t="n"/>
      <c r="X11" s="54" t="n"/>
      <c r="Y11" s="54" t="n"/>
      <c r="Z11" s="55">
        <f>IFERROR(MIN(W11,X11,Y11),"")</f>
        <v/>
      </c>
      <c r="AA11" s="56">
        <f>IF(OR(Z11="",D11=""),"",IF(Z11&lt;=IFERROR(VLOOKUP(CONCATENATE(D11,YEAR(TODAY())-YEAR(C11),"lin30m"),_viitearvot!$I$2:$M$205,2,FALSE()),99),5,IF(Z11&lt;=IFERROR(VLOOKUP(CONCATENATE(D11,YEAR(TODAY())-YEAR(C11),"lin30m"),_viitearvot!$I$2:$M$205,3,FALSE()),99),4,IF(Z11&lt;=IFERROR(VLOOKUP(CONCATENATE(D11,YEAR(TODAY())-YEAR(C11),"lin30m"),_viitearvot!$I$2:$M$205,4,FALSE()),99),3,IF(Z11&lt;=IFERROR(VLOOKUP(CONCATENATE(D11,YEAR(TODAY())-YEAR(C11),"lin30m"),_viitearvot!$I$2:$M$205,5,FALSE()),99),2,1)))))</f>
        <v/>
      </c>
      <c r="AB11" s="54" t="n"/>
      <c r="AC11" s="54" t="n"/>
      <c r="AD11" s="54" t="n"/>
      <c r="AE11" s="55">
        <f>IFERROR(MIN(AB11,AC11,AD11),"")</f>
        <v/>
      </c>
      <c r="AF11" s="56">
        <f>IF(OR(AE11="",D11=""),"",IF(AE11&lt;=IFERROR(VLOOKUP(CONCATENATE(D11,YEAR(TODAY())-YEAR(C11),"kasirata"),_viitearvot!$I$2:$M$205,2,FALSE()),99),5,IF(AE11&lt;=IFERROR(VLOOKUP(CONCATENATE(D11,YEAR(TODAY())-YEAR(C11),"kasirata"),_viitearvot!$I$2:$M$205,3,FALSE()),99),4,IF(AE11&lt;=IFERROR(VLOOKUP(CONCATENATE(D11,YEAR(TODAY())-YEAR(C11),"kasirata"),_viitearvot!$I$2:$M$205,4,FALSE()),99),3,IF(AE11&lt;=IFERROR(VLOOKUP(CONCATENATE(D11,YEAR(TODAY())-YEAR(C11),"kasirata"),_viitearvot!$I$2:$M$205,5,FALSE()),99),2,1)))))</f>
        <v/>
      </c>
      <c r="AG11" s="54" t="n"/>
      <c r="AH11" s="54" t="n"/>
      <c r="AI11" s="54" t="n"/>
      <c r="AJ11" s="55">
        <f>IFERROR(MIN(AG11,AH11,AI11),"")</f>
        <v/>
      </c>
      <c r="AK11" s="56">
        <f>IF(OR(AJ11="",D11=""),"",IF(AJ11&lt;=IFERROR(VLOOKUP(CONCATENATE(D11,YEAR(TODAY())-YEAR(C11),"smjuoksu"),_viitearvot!$I$2:$M$205,2,FALSE()),99),5,IF(AJ11&lt;=IFERROR(VLOOKUP(CONCATENATE(D11,YEAR(TODAY())-YEAR(C11),"smjuoksu"),_viitearvot!$I$2:$M$205,3,FALSE()),99),4,IF(AJ11&lt;=IFERROR(VLOOKUP(CONCATENATE(D11,YEAR(TODAY())-YEAR(C11),"smjuoksu"),_viitearvot!$I$2:$M$205,4,FALSE()),99),3,IF(AJ11&lt;=IFERROR(VLOOKUP(CONCATENATE(D11,YEAR(TODAY())-YEAR(C11),"smjuoksu"),_viitearvot!$I$2:$M$205,5,FALSE()),99),2,1)))))</f>
        <v/>
      </c>
      <c r="AL11" s="54" t="n"/>
      <c r="AM11" s="54" t="n"/>
      <c r="AN11" s="55">
        <f>IFERROR(MIN(AL11,AM11),"")</f>
        <v/>
      </c>
      <c r="AO11" s="56">
        <f>IF(OR(AN11="",D11=""),"",IF(AN11&lt;=IFERROR(VLOOKUP(CONCATENATE(D11,YEAR(TODAY())-YEAR(C11),"smpallo"),_viitearvot!$I$2:$M$205,2,FALSE()),99),5,IF(AN11&lt;=IFERROR(VLOOKUP(CONCATENATE(D11,YEAR(TODAY())-YEAR(C11),"smpallo"),_viitearvot!$I$2:$M$205,3,FALSE()),99),4,IF(AN11&lt;=IFERROR(VLOOKUP(CONCATENATE(D11,YEAR(TODAY())-YEAR(C11),"smpallo"),_viitearvot!$I$2:$M$205,4,FALSE()),99),3,IF(AN11&lt;=IFERROR(VLOOKUP(CONCATENATE(D11,YEAR(TODAY())-YEAR(C11),"smpallo"),_viitearvot!$I$2:$M$205,5,FALSE()),99),2,1)))))</f>
        <v/>
      </c>
      <c r="AP11" s="54" t="n"/>
      <c r="AQ11" s="54" t="n"/>
      <c r="AR11" s="54" t="n"/>
      <c r="AS11" s="55">
        <f>IFERROR(MAX(AP11,AQ11,AR11),"")</f>
        <v/>
      </c>
      <c r="AT11" s="56">
        <f>IF(OR(AS11="",D11=""),"",IF(AS11&gt;=IFERROR(VLOOKUP(CONCATENATE(D11,YEAR(TODAY())-YEAR(C11),"cmj"),_viitearvot!$I$2:$M$205,2,FALSE()),0),5,IF(AS11&gt;=IFERROR(VLOOKUP(CONCATENATE(D11,YEAR(TODAY())-YEAR(C11),"cmj"),_viitearvot!$I$2:$M$205,3,FALSE()),0),4,IF(AS11&gt;=IFERROR(VLOOKUP(CONCATENATE(D11,YEAR(TODAY())-YEAR(C11),"cmj"),_viitearvot!$I$2:$M$205,4,FALSE()),0),3,IF(AS11&gt;=IFERROR(VLOOKUP(CONCATENATE(D11,YEAR(TODAY())-YEAR(C11),"cmj"),_viitearvot!$I$2:$M$205,5,FALSE()),0),2,1)))))</f>
        <v/>
      </c>
      <c r="AU11" s="54" t="n"/>
      <c r="AV11" s="55">
        <f>IFERROR(MAX(AU11),"")</f>
        <v/>
      </c>
      <c r="AW11" s="56">
        <f>IF(OR(AV11="",D11=""),"",IF(AV11&gt;=IFERROR(VLOOKUP(CONCATENATE(D11,YEAR(TODAY())-YEAR(C11),"bronco"),_viitearvot!$I$2:$M$205,2,FALSE()),0),5,IF(AV11&gt;=IFERROR(VLOOKUP(CONCATENATE(D11,YEAR(TODAY())-YEAR(C11),"bronco"),_viitearvot!$I$2:$M$205,3,FALSE()),0),4,IF(AV11&gt;=IFERROR(VLOOKUP(CONCATENATE(D11,YEAR(TODAY())-YEAR(C11),"bronco"),_viitearvot!$I$2:$M$205,4,FALSE()),0),3,IF(AV11&gt;=IFERROR(VLOOKUP(CONCATENATE(D11,YEAR(TODAY())-YEAR(C11),"bronco"),_viitearvot!$I$2:$M$205,5,FALSE()),0),2,1)))))</f>
        <v/>
      </c>
      <c r="AX11" s="54" t="n"/>
      <c r="AY11" s="54" t="n"/>
      <c r="AZ11" s="55">
        <f>IFERROR(MIN(AX11,AY11),"")</f>
        <v/>
      </c>
      <c r="BA11" s="56">
        <f>IF(OR(AZ11="",D11=""),"",IF(AZ11&lt;=IFERROR(VLOOKUP(CONCATENATE(D11,YEAR(TODAY())-YEAR(C11),"pujottelu"),_viitearvot!$I$2:$M$205,2,FALSE()),99),5,IF(AZ11&lt;=IFERROR(VLOOKUP(CONCATENATE(D11,YEAR(TODAY())-YEAR(C11),"pujottelu"),_viitearvot!$I$2:$M$205,3,FALSE()),99),4,IF(AZ11&lt;=IFERROR(VLOOKUP(CONCATENATE(D11,YEAR(TODAY())-YEAR(C11),"pujottelu"),_viitearvot!$I$2:$M$205,4,FALSE()),99),3,IF(AZ11&lt;=IFERROR(VLOOKUP(CONCATENATE(D11,YEAR(TODAY())-YEAR(C11),"pujottelu"),_viitearvot!$I$2:$M$205,5,FALSE()),99),2,1)))))</f>
        <v/>
      </c>
      <c r="BB11" s="54" t="n"/>
      <c r="BC11" s="54" t="n"/>
      <c r="BD11" s="55">
        <f>IFERROR(MIN(BB11,BC11),"")</f>
        <v/>
      </c>
      <c r="BE11" s="56">
        <f>IF(OR(BD11="",D11=""),"",IF(BD11&lt;=IFERROR(VLOOKUP(CONCATENATE(D11,YEAR(TODAY())-YEAR(C11),"syotto"),_viitearvot!$I$2:$M$205,2,FALSE()),99),5,IF(BD11&lt;=IFERROR(VLOOKUP(CONCATENATE(D11,YEAR(TODAY())-YEAR(C11),"syotto"),_viitearvot!$I$2:$M$205,3,FALSE()),99),4,IF(BD11&lt;=IFERROR(VLOOKUP(CONCATENATE(D11,YEAR(TODAY())-YEAR(C11),"syotto"),_viitearvot!$I$2:$M$205,4,FALSE()),99),3,IF(BD11&lt;=IFERROR(VLOOKUP(CONCATENATE(D11,YEAR(TODAY())-YEAR(C11),"syotto"),_viitearvot!$I$2:$M$205,5,FALSE()),99),2,1)))))</f>
        <v/>
      </c>
      <c r="BF11" s="57" t="n"/>
      <c r="BG11" s="58">
        <f>IF(OR(BF11="",K11=""),"",(IF(D11="P",IF(K11&lt;=IFERROR(VLOOKUP(CONCATENATE("P",ROUND(BF11,0),"lin5m"),_viitearvot!$A:$H,4,FALSE()),99),5,IF(K11&lt;=IFERROR(VLOOKUP(CONCATENATE("P",ROUND(BF11,0),"lin5m"),_viitearvot!$A:$H,5,FALSE()),99),4,IF(K11&lt;=IFERROR(VLOOKUP(CONCATENATE("P",ROUND(BF11,0),"lin5m"),_viitearvot!$A:$H,6,FALSE()),99),3,IF(K11&lt;=IFERROR(VLOOKUP(CONCATENATE("P",ROUND(BF11,0),"lin5m"),_viitearvot!$A:$H,7,FALSE()),99),2,1)))),IF(K11&lt;=IFERROR(VLOOKUP(CONCATENATE("T",ROUND(BF11,0),"lin5m"),_viitearvot!$A:$H,4,FALSE()),99),5,IF(K11&lt;=IFERROR(VLOOKUP(CONCATENATE("T",ROUND(BF11,0),"lin5m"),_viitearvot!$A:$H,5,FALSE()),99),4,IF(K11&lt;=IFERROR(VLOOKUP(CONCATENATE("T",ROUND(BF11,0),"lin5m"),_viitearvot!$A:$H,6,FALSE()),99),3,IF(K11&lt;=IFERROR(VLOOKUP(CONCATENATE("T",ROUND(BF11,0),"lin5m"),_viitearvot!$A:$H,7,FALSE()),99),2,1))))))-L11)</f>
        <v/>
      </c>
      <c r="BH11" s="59" t="n"/>
    </row>
    <row r="12" ht="17" customHeight="1" s="22">
      <c r="A12" s="60" t="n"/>
      <c r="B12" s="60" t="n"/>
      <c r="C12" s="61" t="n"/>
      <c r="D12" s="60" t="n"/>
      <c r="E12" s="60" t="n"/>
      <c r="F12" s="60" t="n"/>
      <c r="G12" s="60" t="n"/>
      <c r="H12" s="62" t="n"/>
      <c r="I12" s="62" t="n"/>
      <c r="J12" s="62" t="n"/>
      <c r="K12" s="63">
        <f>IFERROR(MIN(H12,I12,J12),"")</f>
        <v/>
      </c>
      <c r="L12" s="64">
        <f>IF(OR(K12="",D12=""),"",IF(K12&lt;=IFERROR(VLOOKUP(CONCATENATE(D12,YEAR(TODAY())-YEAR(C12),"lin5m"),_viitearvot!$I$2:$M$205,2,FALSE()),99),5,IF(K12&lt;=IFERROR(VLOOKUP(CONCATENATE(D12,YEAR(TODAY())-YEAR(C12),"lin5m"),_viitearvot!$I$2:$M$205,3,FALSE()),99),4,IF(K12&lt;=IFERROR(VLOOKUP(CONCATENATE(D12,YEAR(TODAY())-YEAR(C12),"lin5m"),_viitearvot!$I$2:$M$205,4,FALSE()),99),3,IF(K12&lt;=IFERROR(VLOOKUP(CONCATENATE(D12,YEAR(TODAY())-YEAR(C12),"lin5m"),_viitearvot!$I$2:$M$205,5,FALSE()),99),2,1)))))</f>
        <v/>
      </c>
      <c r="M12" s="62" t="n"/>
      <c r="N12" s="62" t="n"/>
      <c r="O12" s="62" t="n"/>
      <c r="P12" s="63">
        <f>IFERROR(MIN(M12,N12,O12),"")</f>
        <v/>
      </c>
      <c r="Q12" s="64">
        <f>IF(OR(P12="",D12=""),"",IF(P12&lt;=IFERROR(VLOOKUP(CONCATENATE(D12,YEAR(TODAY())-YEAR(C12),"lin10m"),_viitearvot!$I$2:$M$205,2,FALSE()),99),5,IF(P12&lt;=IFERROR(VLOOKUP(CONCATENATE(D12,YEAR(TODAY())-YEAR(C12),"lin10m"),_viitearvot!$I$2:$M$205,3,FALSE()),99),4,IF(P12&lt;=IFERROR(VLOOKUP(CONCATENATE(D12,YEAR(TODAY())-YEAR(C12),"lin10m"),_viitearvot!$I$2:$M$205,4,FALSE()),99),3,IF(P12&lt;=IFERROR(VLOOKUP(CONCATENATE(D12,YEAR(TODAY())-YEAR(C12),"lin10m"),_viitearvot!$I$2:$M$205,5,FALSE()),99),2,1)))))</f>
        <v/>
      </c>
      <c r="R12" s="62" t="n"/>
      <c r="S12" s="62" t="n"/>
      <c r="T12" s="62" t="n"/>
      <c r="U12" s="63">
        <f>IFERROR(MIN(R12,S12,T12),"")</f>
        <v/>
      </c>
      <c r="V12" s="64">
        <f>IF(OR(U12="",D12=""),"",IF(U12&lt;=IFERROR(VLOOKUP(CONCATENATE(D12,YEAR(TODAY())-YEAR(C12),"lin20m"),_viitearvot!$I$2:$M$205,2,FALSE()),99),5,IF(U12&lt;=IFERROR(VLOOKUP(CONCATENATE(D12,YEAR(TODAY())-YEAR(C12),"lin20m"),_viitearvot!$I$2:$M$205,3,FALSE()),99),4,IF(U12&lt;=IFERROR(VLOOKUP(CONCATENATE(D12,YEAR(TODAY())-YEAR(C12),"lin20m"),_viitearvot!$I$2:$M$205,4,FALSE()),99),3,IF(U12&lt;=IFERROR(VLOOKUP(CONCATENATE(D12,YEAR(TODAY())-YEAR(C12),"lin20m"),_viitearvot!$I$2:$M$205,5,FALSE()),99),2,1)))))</f>
        <v/>
      </c>
      <c r="W12" s="62" t="n"/>
      <c r="X12" s="62" t="n"/>
      <c r="Y12" s="62" t="n"/>
      <c r="Z12" s="63">
        <f>IFERROR(MIN(W12,X12,Y12),"")</f>
        <v/>
      </c>
      <c r="AA12" s="64">
        <f>IF(OR(Z12="",D12=""),"",IF(Z12&lt;=IFERROR(VLOOKUP(CONCATENATE(D12,YEAR(TODAY())-YEAR(C12),"lin30m"),_viitearvot!$I$2:$M$205,2,FALSE()),99),5,IF(Z12&lt;=IFERROR(VLOOKUP(CONCATENATE(D12,YEAR(TODAY())-YEAR(C12),"lin30m"),_viitearvot!$I$2:$M$205,3,FALSE()),99),4,IF(Z12&lt;=IFERROR(VLOOKUP(CONCATENATE(D12,YEAR(TODAY())-YEAR(C12),"lin30m"),_viitearvot!$I$2:$M$205,4,FALSE()),99),3,IF(Z12&lt;=IFERROR(VLOOKUP(CONCATENATE(D12,YEAR(TODAY())-YEAR(C12),"lin30m"),_viitearvot!$I$2:$M$205,5,FALSE()),99),2,1)))))</f>
        <v/>
      </c>
      <c r="AB12" s="62" t="n"/>
      <c r="AC12" s="62" t="n"/>
      <c r="AD12" s="62" t="n"/>
      <c r="AE12" s="63">
        <f>IFERROR(MIN(AB12,AC12,AD12),"")</f>
        <v/>
      </c>
      <c r="AF12" s="64">
        <f>IF(OR(AE12="",D12=""),"",IF(AE12&lt;=IFERROR(VLOOKUP(CONCATENATE(D12,YEAR(TODAY())-YEAR(C12),"kasirata"),_viitearvot!$I$2:$M$205,2,FALSE()),99),5,IF(AE12&lt;=IFERROR(VLOOKUP(CONCATENATE(D12,YEAR(TODAY())-YEAR(C12),"kasirata"),_viitearvot!$I$2:$M$205,3,FALSE()),99),4,IF(AE12&lt;=IFERROR(VLOOKUP(CONCATENATE(D12,YEAR(TODAY())-YEAR(C12),"kasirata"),_viitearvot!$I$2:$M$205,4,FALSE()),99),3,IF(AE12&lt;=IFERROR(VLOOKUP(CONCATENATE(D12,YEAR(TODAY())-YEAR(C12),"kasirata"),_viitearvot!$I$2:$M$205,5,FALSE()),99),2,1)))))</f>
        <v/>
      </c>
      <c r="AG12" s="62" t="n"/>
      <c r="AH12" s="62" t="n"/>
      <c r="AI12" s="62" t="n"/>
      <c r="AJ12" s="63">
        <f>IFERROR(MIN(AG12,AH12,AI12),"")</f>
        <v/>
      </c>
      <c r="AK12" s="64">
        <f>IF(OR(AJ12="",D12=""),"",IF(AJ12&lt;=IFERROR(VLOOKUP(CONCATENATE(D12,YEAR(TODAY())-YEAR(C12),"smjuoksu"),_viitearvot!$I$2:$M$205,2,FALSE()),99),5,IF(AJ12&lt;=IFERROR(VLOOKUP(CONCATENATE(D12,YEAR(TODAY())-YEAR(C12),"smjuoksu"),_viitearvot!$I$2:$M$205,3,FALSE()),99),4,IF(AJ12&lt;=IFERROR(VLOOKUP(CONCATENATE(D12,YEAR(TODAY())-YEAR(C12),"smjuoksu"),_viitearvot!$I$2:$M$205,4,FALSE()),99),3,IF(AJ12&lt;=IFERROR(VLOOKUP(CONCATENATE(D12,YEAR(TODAY())-YEAR(C12),"smjuoksu"),_viitearvot!$I$2:$M$205,5,FALSE()),99),2,1)))))</f>
        <v/>
      </c>
      <c r="AL12" s="62" t="n"/>
      <c r="AM12" s="62" t="n"/>
      <c r="AN12" s="63">
        <f>IFERROR(MIN(AL12,AM12),"")</f>
        <v/>
      </c>
      <c r="AO12" s="64">
        <f>IF(OR(AN12="",D12=""),"",IF(AN12&lt;=IFERROR(VLOOKUP(CONCATENATE(D12,YEAR(TODAY())-YEAR(C12),"smpallo"),_viitearvot!$I$2:$M$205,2,FALSE()),99),5,IF(AN12&lt;=IFERROR(VLOOKUP(CONCATENATE(D12,YEAR(TODAY())-YEAR(C12),"smpallo"),_viitearvot!$I$2:$M$205,3,FALSE()),99),4,IF(AN12&lt;=IFERROR(VLOOKUP(CONCATENATE(D12,YEAR(TODAY())-YEAR(C12),"smpallo"),_viitearvot!$I$2:$M$205,4,FALSE()),99),3,IF(AN12&lt;=IFERROR(VLOOKUP(CONCATENATE(D12,YEAR(TODAY())-YEAR(C12),"smpallo"),_viitearvot!$I$2:$M$205,5,FALSE()),99),2,1)))))</f>
        <v/>
      </c>
      <c r="AP12" s="62" t="n"/>
      <c r="AQ12" s="62" t="n"/>
      <c r="AR12" s="62" t="n"/>
      <c r="AS12" s="63">
        <f>IFERROR(MAX(AP12,AQ12,AR12),"")</f>
        <v/>
      </c>
      <c r="AT12" s="64">
        <f>IF(OR(AS12="",D12=""),"",IF(AS12&gt;=IFERROR(VLOOKUP(CONCATENATE(D12,YEAR(TODAY())-YEAR(C12),"cmj"),_viitearvot!$I$2:$M$205,2,FALSE()),0),5,IF(AS12&gt;=IFERROR(VLOOKUP(CONCATENATE(D12,YEAR(TODAY())-YEAR(C12),"cmj"),_viitearvot!$I$2:$M$205,3,FALSE()),0),4,IF(AS12&gt;=IFERROR(VLOOKUP(CONCATENATE(D12,YEAR(TODAY())-YEAR(C12),"cmj"),_viitearvot!$I$2:$M$205,4,FALSE()),0),3,IF(AS12&gt;=IFERROR(VLOOKUP(CONCATENATE(D12,YEAR(TODAY())-YEAR(C12),"cmj"),_viitearvot!$I$2:$M$205,5,FALSE()),0),2,1)))))</f>
        <v/>
      </c>
      <c r="AU12" s="62" t="n"/>
      <c r="AV12" s="63">
        <f>IFERROR(MAX(AU12),"")</f>
        <v/>
      </c>
      <c r="AW12" s="64">
        <f>IF(OR(AV12="",D12=""),"",IF(AV12&gt;=IFERROR(VLOOKUP(CONCATENATE(D12,YEAR(TODAY())-YEAR(C12),"bronco"),_viitearvot!$I$2:$M$205,2,FALSE()),0),5,IF(AV12&gt;=IFERROR(VLOOKUP(CONCATENATE(D12,YEAR(TODAY())-YEAR(C12),"bronco"),_viitearvot!$I$2:$M$205,3,FALSE()),0),4,IF(AV12&gt;=IFERROR(VLOOKUP(CONCATENATE(D12,YEAR(TODAY())-YEAR(C12),"bronco"),_viitearvot!$I$2:$M$205,4,FALSE()),0),3,IF(AV12&gt;=IFERROR(VLOOKUP(CONCATENATE(D12,YEAR(TODAY())-YEAR(C12),"bronco"),_viitearvot!$I$2:$M$205,5,FALSE()),0),2,1)))))</f>
        <v/>
      </c>
      <c r="AX12" s="62" t="n"/>
      <c r="AY12" s="62" t="n"/>
      <c r="AZ12" s="63">
        <f>IFERROR(MIN(AX12,AY12),"")</f>
        <v/>
      </c>
      <c r="BA12" s="64">
        <f>IF(OR(AZ12="",D12=""),"",IF(AZ12&lt;=IFERROR(VLOOKUP(CONCATENATE(D12,YEAR(TODAY())-YEAR(C12),"pujottelu"),_viitearvot!$I$2:$M$205,2,FALSE()),99),5,IF(AZ12&lt;=IFERROR(VLOOKUP(CONCATENATE(D12,YEAR(TODAY())-YEAR(C12),"pujottelu"),_viitearvot!$I$2:$M$205,3,FALSE()),99),4,IF(AZ12&lt;=IFERROR(VLOOKUP(CONCATENATE(D12,YEAR(TODAY())-YEAR(C12),"pujottelu"),_viitearvot!$I$2:$M$205,4,FALSE()),99),3,IF(AZ12&lt;=IFERROR(VLOOKUP(CONCATENATE(D12,YEAR(TODAY())-YEAR(C12),"pujottelu"),_viitearvot!$I$2:$M$205,5,FALSE()),99),2,1)))))</f>
        <v/>
      </c>
      <c r="BB12" s="62" t="n"/>
      <c r="BC12" s="62" t="n"/>
      <c r="BD12" s="63">
        <f>IFERROR(MIN(BB12,BC12),"")</f>
        <v/>
      </c>
      <c r="BE12" s="64">
        <f>IF(OR(BD12="",D12=""),"",IF(BD12&lt;=IFERROR(VLOOKUP(CONCATENATE(D12,YEAR(TODAY())-YEAR(C12),"syotto"),_viitearvot!$I$2:$M$205,2,FALSE()),99),5,IF(BD12&lt;=IFERROR(VLOOKUP(CONCATENATE(D12,YEAR(TODAY())-YEAR(C12),"syotto"),_viitearvot!$I$2:$M$205,3,FALSE()),99),4,IF(BD12&lt;=IFERROR(VLOOKUP(CONCATENATE(D12,YEAR(TODAY())-YEAR(C12),"syotto"),_viitearvot!$I$2:$M$205,4,FALSE()),99),3,IF(BD12&lt;=IFERROR(VLOOKUP(CONCATENATE(D12,YEAR(TODAY())-YEAR(C12),"syotto"),_viitearvot!$I$2:$M$205,5,FALSE()),99),2,1)))))</f>
        <v/>
      </c>
      <c r="BF12" s="65" t="n"/>
      <c r="BG12" s="66">
        <f>IF(OR(BF12="",K12=""),"",(IF(D12="P",IF(K12&lt;=IFERROR(VLOOKUP(CONCATENATE("P",ROUND(BF12,0),"lin5m"),_viitearvot!$A:$H,4,FALSE()),99),5,IF(K12&lt;=IFERROR(VLOOKUP(CONCATENATE("P",ROUND(BF12,0),"lin5m"),_viitearvot!$A:$H,5,FALSE()),99),4,IF(K12&lt;=IFERROR(VLOOKUP(CONCATENATE("P",ROUND(BF12,0),"lin5m"),_viitearvot!$A:$H,6,FALSE()),99),3,IF(K12&lt;=IFERROR(VLOOKUP(CONCATENATE("P",ROUND(BF12,0),"lin5m"),_viitearvot!$A:$H,7,FALSE()),99),2,1)))),IF(K12&lt;=IFERROR(VLOOKUP(CONCATENATE("T",ROUND(BF12,0),"lin5m"),_viitearvot!$A:$H,4,FALSE()),99),5,IF(K12&lt;=IFERROR(VLOOKUP(CONCATENATE("T",ROUND(BF12,0),"lin5m"),_viitearvot!$A:$H,5,FALSE()),99),4,IF(K12&lt;=IFERROR(VLOOKUP(CONCATENATE("T",ROUND(BF12,0),"lin5m"),_viitearvot!$A:$H,6,FALSE()),99),3,IF(K12&lt;=IFERROR(VLOOKUP(CONCATENATE("T",ROUND(BF12,0),"lin5m"),_viitearvot!$A:$H,7,FALSE()),99),2,1))))))-L12)</f>
        <v/>
      </c>
      <c r="BH12" s="67" t="n"/>
    </row>
    <row r="13" ht="17" customHeight="1" s="22">
      <c r="A13" s="52" t="n"/>
      <c r="B13" s="52" t="n"/>
      <c r="C13" s="53" t="n"/>
      <c r="D13" s="52" t="n"/>
      <c r="E13" s="52" t="n"/>
      <c r="F13" s="52" t="n"/>
      <c r="G13" s="52" t="n"/>
      <c r="H13" s="54" t="n"/>
      <c r="I13" s="54" t="n"/>
      <c r="J13" s="54" t="n"/>
      <c r="K13" s="55">
        <f>IFERROR(MIN(H13,I13,J13),"")</f>
        <v/>
      </c>
      <c r="L13" s="56">
        <f>IF(OR(K13="",D13=""),"",IF(K13&lt;=IFERROR(VLOOKUP(CONCATENATE(D13,YEAR(TODAY())-YEAR(C13),"lin5m"),_viitearvot!$I$2:$M$205,2,FALSE()),99),5,IF(K13&lt;=IFERROR(VLOOKUP(CONCATENATE(D13,YEAR(TODAY())-YEAR(C13),"lin5m"),_viitearvot!$I$2:$M$205,3,FALSE()),99),4,IF(K13&lt;=IFERROR(VLOOKUP(CONCATENATE(D13,YEAR(TODAY())-YEAR(C13),"lin5m"),_viitearvot!$I$2:$M$205,4,FALSE()),99),3,IF(K13&lt;=IFERROR(VLOOKUP(CONCATENATE(D13,YEAR(TODAY())-YEAR(C13),"lin5m"),_viitearvot!$I$2:$M$205,5,FALSE()),99),2,1)))))</f>
        <v/>
      </c>
      <c r="M13" s="54" t="n"/>
      <c r="N13" s="54" t="n"/>
      <c r="O13" s="54" t="n"/>
      <c r="P13" s="55">
        <f>IFERROR(MIN(M13,N13,O13),"")</f>
        <v/>
      </c>
      <c r="Q13" s="56">
        <f>IF(OR(P13="",D13=""),"",IF(P13&lt;=IFERROR(VLOOKUP(CONCATENATE(D13,YEAR(TODAY())-YEAR(C13),"lin10m"),_viitearvot!$I$2:$M$205,2,FALSE()),99),5,IF(P13&lt;=IFERROR(VLOOKUP(CONCATENATE(D13,YEAR(TODAY())-YEAR(C13),"lin10m"),_viitearvot!$I$2:$M$205,3,FALSE()),99),4,IF(P13&lt;=IFERROR(VLOOKUP(CONCATENATE(D13,YEAR(TODAY())-YEAR(C13),"lin10m"),_viitearvot!$I$2:$M$205,4,FALSE()),99),3,IF(P13&lt;=IFERROR(VLOOKUP(CONCATENATE(D13,YEAR(TODAY())-YEAR(C13),"lin10m"),_viitearvot!$I$2:$M$205,5,FALSE()),99),2,1)))))</f>
        <v/>
      </c>
      <c r="R13" s="54" t="n"/>
      <c r="S13" s="54" t="n"/>
      <c r="T13" s="54" t="n"/>
      <c r="U13" s="55">
        <f>IFERROR(MIN(R13,S13,T13),"")</f>
        <v/>
      </c>
      <c r="V13" s="56">
        <f>IF(OR(U13="",D13=""),"",IF(U13&lt;=IFERROR(VLOOKUP(CONCATENATE(D13,YEAR(TODAY())-YEAR(C13),"lin20m"),_viitearvot!$I$2:$M$205,2,FALSE()),99),5,IF(U13&lt;=IFERROR(VLOOKUP(CONCATENATE(D13,YEAR(TODAY())-YEAR(C13),"lin20m"),_viitearvot!$I$2:$M$205,3,FALSE()),99),4,IF(U13&lt;=IFERROR(VLOOKUP(CONCATENATE(D13,YEAR(TODAY())-YEAR(C13),"lin20m"),_viitearvot!$I$2:$M$205,4,FALSE()),99),3,IF(U13&lt;=IFERROR(VLOOKUP(CONCATENATE(D13,YEAR(TODAY())-YEAR(C13),"lin20m"),_viitearvot!$I$2:$M$205,5,FALSE()),99),2,1)))))</f>
        <v/>
      </c>
      <c r="W13" s="54" t="n"/>
      <c r="X13" s="54" t="n"/>
      <c r="Y13" s="54" t="n"/>
      <c r="Z13" s="55">
        <f>IFERROR(MIN(W13,X13,Y13),"")</f>
        <v/>
      </c>
      <c r="AA13" s="56">
        <f>IF(OR(Z13="",D13=""),"",IF(Z13&lt;=IFERROR(VLOOKUP(CONCATENATE(D13,YEAR(TODAY())-YEAR(C13),"lin30m"),_viitearvot!$I$2:$M$205,2,FALSE()),99),5,IF(Z13&lt;=IFERROR(VLOOKUP(CONCATENATE(D13,YEAR(TODAY())-YEAR(C13),"lin30m"),_viitearvot!$I$2:$M$205,3,FALSE()),99),4,IF(Z13&lt;=IFERROR(VLOOKUP(CONCATENATE(D13,YEAR(TODAY())-YEAR(C13),"lin30m"),_viitearvot!$I$2:$M$205,4,FALSE()),99),3,IF(Z13&lt;=IFERROR(VLOOKUP(CONCATENATE(D13,YEAR(TODAY())-YEAR(C13),"lin30m"),_viitearvot!$I$2:$M$205,5,FALSE()),99),2,1)))))</f>
        <v/>
      </c>
      <c r="AB13" s="54" t="n"/>
      <c r="AC13" s="54" t="n"/>
      <c r="AD13" s="54" t="n"/>
      <c r="AE13" s="55">
        <f>IFERROR(MIN(AB13,AC13,AD13),"")</f>
        <v/>
      </c>
      <c r="AF13" s="56">
        <f>IF(OR(AE13="",D13=""),"",IF(AE13&lt;=IFERROR(VLOOKUP(CONCATENATE(D13,YEAR(TODAY())-YEAR(C13),"kasirata"),_viitearvot!$I$2:$M$205,2,FALSE()),99),5,IF(AE13&lt;=IFERROR(VLOOKUP(CONCATENATE(D13,YEAR(TODAY())-YEAR(C13),"kasirata"),_viitearvot!$I$2:$M$205,3,FALSE()),99),4,IF(AE13&lt;=IFERROR(VLOOKUP(CONCATENATE(D13,YEAR(TODAY())-YEAR(C13),"kasirata"),_viitearvot!$I$2:$M$205,4,FALSE()),99),3,IF(AE13&lt;=IFERROR(VLOOKUP(CONCATENATE(D13,YEAR(TODAY())-YEAR(C13),"kasirata"),_viitearvot!$I$2:$M$205,5,FALSE()),99),2,1)))))</f>
        <v/>
      </c>
      <c r="AG13" s="54" t="n"/>
      <c r="AH13" s="54" t="n"/>
      <c r="AI13" s="54" t="n"/>
      <c r="AJ13" s="55">
        <f>IFERROR(MIN(AG13,AH13,AI13),"")</f>
        <v/>
      </c>
      <c r="AK13" s="56">
        <f>IF(OR(AJ13="",D13=""),"",IF(AJ13&lt;=IFERROR(VLOOKUP(CONCATENATE(D13,YEAR(TODAY())-YEAR(C13),"smjuoksu"),_viitearvot!$I$2:$M$205,2,FALSE()),99),5,IF(AJ13&lt;=IFERROR(VLOOKUP(CONCATENATE(D13,YEAR(TODAY())-YEAR(C13),"smjuoksu"),_viitearvot!$I$2:$M$205,3,FALSE()),99),4,IF(AJ13&lt;=IFERROR(VLOOKUP(CONCATENATE(D13,YEAR(TODAY())-YEAR(C13),"smjuoksu"),_viitearvot!$I$2:$M$205,4,FALSE()),99),3,IF(AJ13&lt;=IFERROR(VLOOKUP(CONCATENATE(D13,YEAR(TODAY())-YEAR(C13),"smjuoksu"),_viitearvot!$I$2:$M$205,5,FALSE()),99),2,1)))))</f>
        <v/>
      </c>
      <c r="AL13" s="54" t="n"/>
      <c r="AM13" s="54" t="n"/>
      <c r="AN13" s="55">
        <f>IFERROR(MIN(AL13,AM13),"")</f>
        <v/>
      </c>
      <c r="AO13" s="56">
        <f>IF(OR(AN13="",D13=""),"",IF(AN13&lt;=IFERROR(VLOOKUP(CONCATENATE(D13,YEAR(TODAY())-YEAR(C13),"smpallo"),_viitearvot!$I$2:$M$205,2,FALSE()),99),5,IF(AN13&lt;=IFERROR(VLOOKUP(CONCATENATE(D13,YEAR(TODAY())-YEAR(C13),"smpallo"),_viitearvot!$I$2:$M$205,3,FALSE()),99),4,IF(AN13&lt;=IFERROR(VLOOKUP(CONCATENATE(D13,YEAR(TODAY())-YEAR(C13),"smpallo"),_viitearvot!$I$2:$M$205,4,FALSE()),99),3,IF(AN13&lt;=IFERROR(VLOOKUP(CONCATENATE(D13,YEAR(TODAY())-YEAR(C13),"smpallo"),_viitearvot!$I$2:$M$205,5,FALSE()),99),2,1)))))</f>
        <v/>
      </c>
      <c r="AP13" s="54" t="n"/>
      <c r="AQ13" s="54" t="n"/>
      <c r="AR13" s="54" t="n"/>
      <c r="AS13" s="55">
        <f>IFERROR(MAX(AP13,AQ13,AR13),"")</f>
        <v/>
      </c>
      <c r="AT13" s="56">
        <f>IF(OR(AS13="",D13=""),"",IF(AS13&gt;=IFERROR(VLOOKUP(CONCATENATE(D13,YEAR(TODAY())-YEAR(C13),"cmj"),_viitearvot!$I$2:$M$205,2,FALSE()),0),5,IF(AS13&gt;=IFERROR(VLOOKUP(CONCATENATE(D13,YEAR(TODAY())-YEAR(C13),"cmj"),_viitearvot!$I$2:$M$205,3,FALSE()),0),4,IF(AS13&gt;=IFERROR(VLOOKUP(CONCATENATE(D13,YEAR(TODAY())-YEAR(C13),"cmj"),_viitearvot!$I$2:$M$205,4,FALSE()),0),3,IF(AS13&gt;=IFERROR(VLOOKUP(CONCATENATE(D13,YEAR(TODAY())-YEAR(C13),"cmj"),_viitearvot!$I$2:$M$205,5,FALSE()),0),2,1)))))</f>
        <v/>
      </c>
      <c r="AU13" s="54" t="n"/>
      <c r="AV13" s="55">
        <f>IFERROR(MAX(AU13),"")</f>
        <v/>
      </c>
      <c r="AW13" s="56">
        <f>IF(OR(AV13="",D13=""),"",IF(AV13&gt;=IFERROR(VLOOKUP(CONCATENATE(D13,YEAR(TODAY())-YEAR(C13),"bronco"),_viitearvot!$I$2:$M$205,2,FALSE()),0),5,IF(AV13&gt;=IFERROR(VLOOKUP(CONCATENATE(D13,YEAR(TODAY())-YEAR(C13),"bronco"),_viitearvot!$I$2:$M$205,3,FALSE()),0),4,IF(AV13&gt;=IFERROR(VLOOKUP(CONCATENATE(D13,YEAR(TODAY())-YEAR(C13),"bronco"),_viitearvot!$I$2:$M$205,4,FALSE()),0),3,IF(AV13&gt;=IFERROR(VLOOKUP(CONCATENATE(D13,YEAR(TODAY())-YEAR(C13),"bronco"),_viitearvot!$I$2:$M$205,5,FALSE()),0),2,1)))))</f>
        <v/>
      </c>
      <c r="AX13" s="54" t="n"/>
      <c r="AY13" s="54" t="n"/>
      <c r="AZ13" s="55">
        <f>IFERROR(MIN(AX13,AY13),"")</f>
        <v/>
      </c>
      <c r="BA13" s="56">
        <f>IF(OR(AZ13="",D13=""),"",IF(AZ13&lt;=IFERROR(VLOOKUP(CONCATENATE(D13,YEAR(TODAY())-YEAR(C13),"pujottelu"),_viitearvot!$I$2:$M$205,2,FALSE()),99),5,IF(AZ13&lt;=IFERROR(VLOOKUP(CONCATENATE(D13,YEAR(TODAY())-YEAR(C13),"pujottelu"),_viitearvot!$I$2:$M$205,3,FALSE()),99),4,IF(AZ13&lt;=IFERROR(VLOOKUP(CONCATENATE(D13,YEAR(TODAY())-YEAR(C13),"pujottelu"),_viitearvot!$I$2:$M$205,4,FALSE()),99),3,IF(AZ13&lt;=IFERROR(VLOOKUP(CONCATENATE(D13,YEAR(TODAY())-YEAR(C13),"pujottelu"),_viitearvot!$I$2:$M$205,5,FALSE()),99),2,1)))))</f>
        <v/>
      </c>
      <c r="BB13" s="54" t="n"/>
      <c r="BC13" s="54" t="n"/>
      <c r="BD13" s="55">
        <f>IFERROR(MIN(BB13,BC13),"")</f>
        <v/>
      </c>
      <c r="BE13" s="56">
        <f>IF(OR(BD13="",D13=""),"",IF(BD13&lt;=IFERROR(VLOOKUP(CONCATENATE(D13,YEAR(TODAY())-YEAR(C13),"syotto"),_viitearvot!$I$2:$M$205,2,FALSE()),99),5,IF(BD13&lt;=IFERROR(VLOOKUP(CONCATENATE(D13,YEAR(TODAY())-YEAR(C13),"syotto"),_viitearvot!$I$2:$M$205,3,FALSE()),99),4,IF(BD13&lt;=IFERROR(VLOOKUP(CONCATENATE(D13,YEAR(TODAY())-YEAR(C13),"syotto"),_viitearvot!$I$2:$M$205,4,FALSE()),99),3,IF(BD13&lt;=IFERROR(VLOOKUP(CONCATENATE(D13,YEAR(TODAY())-YEAR(C13),"syotto"),_viitearvot!$I$2:$M$205,5,FALSE()),99),2,1)))))</f>
        <v/>
      </c>
      <c r="BF13" s="57" t="n"/>
      <c r="BG13" s="58">
        <f>IF(OR(BF13="",K13=""),"",(IF(D13="P",IF(K13&lt;=IFERROR(VLOOKUP(CONCATENATE("P",ROUND(BF13,0),"lin5m"),_viitearvot!$A:$H,4,FALSE()),99),5,IF(K13&lt;=IFERROR(VLOOKUP(CONCATENATE("P",ROUND(BF13,0),"lin5m"),_viitearvot!$A:$H,5,FALSE()),99),4,IF(K13&lt;=IFERROR(VLOOKUP(CONCATENATE("P",ROUND(BF13,0),"lin5m"),_viitearvot!$A:$H,6,FALSE()),99),3,IF(K13&lt;=IFERROR(VLOOKUP(CONCATENATE("P",ROUND(BF13,0),"lin5m"),_viitearvot!$A:$H,7,FALSE()),99),2,1)))),IF(K13&lt;=IFERROR(VLOOKUP(CONCATENATE("T",ROUND(BF13,0),"lin5m"),_viitearvot!$A:$H,4,FALSE()),99),5,IF(K13&lt;=IFERROR(VLOOKUP(CONCATENATE("T",ROUND(BF13,0),"lin5m"),_viitearvot!$A:$H,5,FALSE()),99),4,IF(K13&lt;=IFERROR(VLOOKUP(CONCATENATE("T",ROUND(BF13,0),"lin5m"),_viitearvot!$A:$H,6,FALSE()),99),3,IF(K13&lt;=IFERROR(VLOOKUP(CONCATENATE("T",ROUND(BF13,0),"lin5m"),_viitearvot!$A:$H,7,FALSE()),99),2,1))))))-L13)</f>
        <v/>
      </c>
      <c r="BH13" s="59" t="n"/>
    </row>
    <row r="14" ht="17" customHeight="1" s="22">
      <c r="A14" s="60" t="n"/>
      <c r="B14" s="60" t="n"/>
      <c r="C14" s="61" t="n"/>
      <c r="D14" s="60" t="n"/>
      <c r="E14" s="60" t="n"/>
      <c r="F14" s="60" t="n"/>
      <c r="G14" s="60" t="n"/>
      <c r="H14" s="62" t="n"/>
      <c r="I14" s="62" t="n"/>
      <c r="J14" s="62" t="n"/>
      <c r="K14" s="63">
        <f>IFERROR(MIN(H14,I14,J14),"")</f>
        <v/>
      </c>
      <c r="L14" s="64">
        <f>IF(OR(K14="",D14=""),"",IF(K14&lt;=IFERROR(VLOOKUP(CONCATENATE(D14,YEAR(TODAY())-YEAR(C14),"lin5m"),_viitearvot!$I$2:$M$205,2,FALSE()),99),5,IF(K14&lt;=IFERROR(VLOOKUP(CONCATENATE(D14,YEAR(TODAY())-YEAR(C14),"lin5m"),_viitearvot!$I$2:$M$205,3,FALSE()),99),4,IF(K14&lt;=IFERROR(VLOOKUP(CONCATENATE(D14,YEAR(TODAY())-YEAR(C14),"lin5m"),_viitearvot!$I$2:$M$205,4,FALSE()),99),3,IF(K14&lt;=IFERROR(VLOOKUP(CONCATENATE(D14,YEAR(TODAY())-YEAR(C14),"lin5m"),_viitearvot!$I$2:$M$205,5,FALSE()),99),2,1)))))</f>
        <v/>
      </c>
      <c r="M14" s="62" t="n"/>
      <c r="N14" s="62" t="n"/>
      <c r="O14" s="62" t="n"/>
      <c r="P14" s="63">
        <f>IFERROR(MIN(M14,N14,O14),"")</f>
        <v/>
      </c>
      <c r="Q14" s="64">
        <f>IF(OR(P14="",D14=""),"",IF(P14&lt;=IFERROR(VLOOKUP(CONCATENATE(D14,YEAR(TODAY())-YEAR(C14),"lin10m"),_viitearvot!$I$2:$M$205,2,FALSE()),99),5,IF(P14&lt;=IFERROR(VLOOKUP(CONCATENATE(D14,YEAR(TODAY())-YEAR(C14),"lin10m"),_viitearvot!$I$2:$M$205,3,FALSE()),99),4,IF(P14&lt;=IFERROR(VLOOKUP(CONCATENATE(D14,YEAR(TODAY())-YEAR(C14),"lin10m"),_viitearvot!$I$2:$M$205,4,FALSE()),99),3,IF(P14&lt;=IFERROR(VLOOKUP(CONCATENATE(D14,YEAR(TODAY())-YEAR(C14),"lin10m"),_viitearvot!$I$2:$M$205,5,FALSE()),99),2,1)))))</f>
        <v/>
      </c>
      <c r="R14" s="62" t="n"/>
      <c r="S14" s="62" t="n"/>
      <c r="T14" s="62" t="n"/>
      <c r="U14" s="63">
        <f>IFERROR(MIN(R14,S14,T14),"")</f>
        <v/>
      </c>
      <c r="V14" s="64">
        <f>IF(OR(U14="",D14=""),"",IF(U14&lt;=IFERROR(VLOOKUP(CONCATENATE(D14,YEAR(TODAY())-YEAR(C14),"lin20m"),_viitearvot!$I$2:$M$205,2,FALSE()),99),5,IF(U14&lt;=IFERROR(VLOOKUP(CONCATENATE(D14,YEAR(TODAY())-YEAR(C14),"lin20m"),_viitearvot!$I$2:$M$205,3,FALSE()),99),4,IF(U14&lt;=IFERROR(VLOOKUP(CONCATENATE(D14,YEAR(TODAY())-YEAR(C14),"lin20m"),_viitearvot!$I$2:$M$205,4,FALSE()),99),3,IF(U14&lt;=IFERROR(VLOOKUP(CONCATENATE(D14,YEAR(TODAY())-YEAR(C14),"lin20m"),_viitearvot!$I$2:$M$205,5,FALSE()),99),2,1)))))</f>
        <v/>
      </c>
      <c r="W14" s="62" t="n"/>
      <c r="X14" s="62" t="n"/>
      <c r="Y14" s="62" t="n"/>
      <c r="Z14" s="63">
        <f>IFERROR(MIN(W14,X14,Y14),"")</f>
        <v/>
      </c>
      <c r="AA14" s="64">
        <f>IF(OR(Z14="",D14=""),"",IF(Z14&lt;=IFERROR(VLOOKUP(CONCATENATE(D14,YEAR(TODAY())-YEAR(C14),"lin30m"),_viitearvot!$I$2:$M$205,2,FALSE()),99),5,IF(Z14&lt;=IFERROR(VLOOKUP(CONCATENATE(D14,YEAR(TODAY())-YEAR(C14),"lin30m"),_viitearvot!$I$2:$M$205,3,FALSE()),99),4,IF(Z14&lt;=IFERROR(VLOOKUP(CONCATENATE(D14,YEAR(TODAY())-YEAR(C14),"lin30m"),_viitearvot!$I$2:$M$205,4,FALSE()),99),3,IF(Z14&lt;=IFERROR(VLOOKUP(CONCATENATE(D14,YEAR(TODAY())-YEAR(C14),"lin30m"),_viitearvot!$I$2:$M$205,5,FALSE()),99),2,1)))))</f>
        <v/>
      </c>
      <c r="AB14" s="62" t="n"/>
      <c r="AC14" s="62" t="n"/>
      <c r="AD14" s="62" t="n"/>
      <c r="AE14" s="63">
        <f>IFERROR(MIN(AB14,AC14,AD14),"")</f>
        <v/>
      </c>
      <c r="AF14" s="64">
        <f>IF(OR(AE14="",D14=""),"",IF(AE14&lt;=IFERROR(VLOOKUP(CONCATENATE(D14,YEAR(TODAY())-YEAR(C14),"kasirata"),_viitearvot!$I$2:$M$205,2,FALSE()),99),5,IF(AE14&lt;=IFERROR(VLOOKUP(CONCATENATE(D14,YEAR(TODAY())-YEAR(C14),"kasirata"),_viitearvot!$I$2:$M$205,3,FALSE()),99),4,IF(AE14&lt;=IFERROR(VLOOKUP(CONCATENATE(D14,YEAR(TODAY())-YEAR(C14),"kasirata"),_viitearvot!$I$2:$M$205,4,FALSE()),99),3,IF(AE14&lt;=IFERROR(VLOOKUP(CONCATENATE(D14,YEAR(TODAY())-YEAR(C14),"kasirata"),_viitearvot!$I$2:$M$205,5,FALSE()),99),2,1)))))</f>
        <v/>
      </c>
      <c r="AG14" s="62" t="n"/>
      <c r="AH14" s="62" t="n"/>
      <c r="AI14" s="62" t="n"/>
      <c r="AJ14" s="63">
        <f>IFERROR(MIN(AG14,AH14,AI14),"")</f>
        <v/>
      </c>
      <c r="AK14" s="64">
        <f>IF(OR(AJ14="",D14=""),"",IF(AJ14&lt;=IFERROR(VLOOKUP(CONCATENATE(D14,YEAR(TODAY())-YEAR(C14),"smjuoksu"),_viitearvot!$I$2:$M$205,2,FALSE()),99),5,IF(AJ14&lt;=IFERROR(VLOOKUP(CONCATENATE(D14,YEAR(TODAY())-YEAR(C14),"smjuoksu"),_viitearvot!$I$2:$M$205,3,FALSE()),99),4,IF(AJ14&lt;=IFERROR(VLOOKUP(CONCATENATE(D14,YEAR(TODAY())-YEAR(C14),"smjuoksu"),_viitearvot!$I$2:$M$205,4,FALSE()),99),3,IF(AJ14&lt;=IFERROR(VLOOKUP(CONCATENATE(D14,YEAR(TODAY())-YEAR(C14),"smjuoksu"),_viitearvot!$I$2:$M$205,5,FALSE()),99),2,1)))))</f>
        <v/>
      </c>
      <c r="AL14" s="62" t="n"/>
      <c r="AM14" s="62" t="n"/>
      <c r="AN14" s="63">
        <f>IFERROR(MIN(AL14,AM14),"")</f>
        <v/>
      </c>
      <c r="AO14" s="64">
        <f>IF(OR(AN14="",D14=""),"",IF(AN14&lt;=IFERROR(VLOOKUP(CONCATENATE(D14,YEAR(TODAY())-YEAR(C14),"smpallo"),_viitearvot!$I$2:$M$205,2,FALSE()),99),5,IF(AN14&lt;=IFERROR(VLOOKUP(CONCATENATE(D14,YEAR(TODAY())-YEAR(C14),"smpallo"),_viitearvot!$I$2:$M$205,3,FALSE()),99),4,IF(AN14&lt;=IFERROR(VLOOKUP(CONCATENATE(D14,YEAR(TODAY())-YEAR(C14),"smpallo"),_viitearvot!$I$2:$M$205,4,FALSE()),99),3,IF(AN14&lt;=IFERROR(VLOOKUP(CONCATENATE(D14,YEAR(TODAY())-YEAR(C14),"smpallo"),_viitearvot!$I$2:$M$205,5,FALSE()),99),2,1)))))</f>
        <v/>
      </c>
      <c r="AP14" s="62" t="n"/>
      <c r="AQ14" s="62" t="n"/>
      <c r="AR14" s="62" t="n"/>
      <c r="AS14" s="63">
        <f>IFERROR(MAX(AP14,AQ14,AR14),"")</f>
        <v/>
      </c>
      <c r="AT14" s="64">
        <f>IF(OR(AS14="",D14=""),"",IF(AS14&gt;=IFERROR(VLOOKUP(CONCATENATE(D14,YEAR(TODAY())-YEAR(C14),"cmj"),_viitearvot!$I$2:$M$205,2,FALSE()),0),5,IF(AS14&gt;=IFERROR(VLOOKUP(CONCATENATE(D14,YEAR(TODAY())-YEAR(C14),"cmj"),_viitearvot!$I$2:$M$205,3,FALSE()),0),4,IF(AS14&gt;=IFERROR(VLOOKUP(CONCATENATE(D14,YEAR(TODAY())-YEAR(C14),"cmj"),_viitearvot!$I$2:$M$205,4,FALSE()),0),3,IF(AS14&gt;=IFERROR(VLOOKUP(CONCATENATE(D14,YEAR(TODAY())-YEAR(C14),"cmj"),_viitearvot!$I$2:$M$205,5,FALSE()),0),2,1)))))</f>
        <v/>
      </c>
      <c r="AU14" s="62" t="n"/>
      <c r="AV14" s="63">
        <f>IFERROR(MAX(AU14),"")</f>
        <v/>
      </c>
      <c r="AW14" s="64">
        <f>IF(OR(AV14="",D14=""),"",IF(AV14&gt;=IFERROR(VLOOKUP(CONCATENATE(D14,YEAR(TODAY())-YEAR(C14),"bronco"),_viitearvot!$I$2:$M$205,2,FALSE()),0),5,IF(AV14&gt;=IFERROR(VLOOKUP(CONCATENATE(D14,YEAR(TODAY())-YEAR(C14),"bronco"),_viitearvot!$I$2:$M$205,3,FALSE()),0),4,IF(AV14&gt;=IFERROR(VLOOKUP(CONCATENATE(D14,YEAR(TODAY())-YEAR(C14),"bronco"),_viitearvot!$I$2:$M$205,4,FALSE()),0),3,IF(AV14&gt;=IFERROR(VLOOKUP(CONCATENATE(D14,YEAR(TODAY())-YEAR(C14),"bronco"),_viitearvot!$I$2:$M$205,5,FALSE()),0),2,1)))))</f>
        <v/>
      </c>
      <c r="AX14" s="62" t="n"/>
      <c r="AY14" s="62" t="n"/>
      <c r="AZ14" s="63">
        <f>IFERROR(MIN(AX14,AY14),"")</f>
        <v/>
      </c>
      <c r="BA14" s="64">
        <f>IF(OR(AZ14="",D14=""),"",IF(AZ14&lt;=IFERROR(VLOOKUP(CONCATENATE(D14,YEAR(TODAY())-YEAR(C14),"pujottelu"),_viitearvot!$I$2:$M$205,2,FALSE()),99),5,IF(AZ14&lt;=IFERROR(VLOOKUP(CONCATENATE(D14,YEAR(TODAY())-YEAR(C14),"pujottelu"),_viitearvot!$I$2:$M$205,3,FALSE()),99),4,IF(AZ14&lt;=IFERROR(VLOOKUP(CONCATENATE(D14,YEAR(TODAY())-YEAR(C14),"pujottelu"),_viitearvot!$I$2:$M$205,4,FALSE()),99),3,IF(AZ14&lt;=IFERROR(VLOOKUP(CONCATENATE(D14,YEAR(TODAY())-YEAR(C14),"pujottelu"),_viitearvot!$I$2:$M$205,5,FALSE()),99),2,1)))))</f>
        <v/>
      </c>
      <c r="BB14" s="62" t="n"/>
      <c r="BC14" s="62" t="n"/>
      <c r="BD14" s="63">
        <f>IFERROR(MIN(BB14,BC14),"")</f>
        <v/>
      </c>
      <c r="BE14" s="64">
        <f>IF(OR(BD14="",D14=""),"",IF(BD14&lt;=IFERROR(VLOOKUP(CONCATENATE(D14,YEAR(TODAY())-YEAR(C14),"syotto"),_viitearvot!$I$2:$M$205,2,FALSE()),99),5,IF(BD14&lt;=IFERROR(VLOOKUP(CONCATENATE(D14,YEAR(TODAY())-YEAR(C14),"syotto"),_viitearvot!$I$2:$M$205,3,FALSE()),99),4,IF(BD14&lt;=IFERROR(VLOOKUP(CONCATENATE(D14,YEAR(TODAY())-YEAR(C14),"syotto"),_viitearvot!$I$2:$M$205,4,FALSE()),99),3,IF(BD14&lt;=IFERROR(VLOOKUP(CONCATENATE(D14,YEAR(TODAY())-YEAR(C14),"syotto"),_viitearvot!$I$2:$M$205,5,FALSE()),99),2,1)))))</f>
        <v/>
      </c>
      <c r="BF14" s="65" t="n"/>
      <c r="BG14" s="66">
        <f>IF(OR(BF14="",K14=""),"",(IF(D14="P",IF(K14&lt;=IFERROR(VLOOKUP(CONCATENATE("P",ROUND(BF14,0),"lin5m"),_viitearvot!$A:$H,4,FALSE()),99),5,IF(K14&lt;=IFERROR(VLOOKUP(CONCATENATE("P",ROUND(BF14,0),"lin5m"),_viitearvot!$A:$H,5,FALSE()),99),4,IF(K14&lt;=IFERROR(VLOOKUP(CONCATENATE("P",ROUND(BF14,0),"lin5m"),_viitearvot!$A:$H,6,FALSE()),99),3,IF(K14&lt;=IFERROR(VLOOKUP(CONCATENATE("P",ROUND(BF14,0),"lin5m"),_viitearvot!$A:$H,7,FALSE()),99),2,1)))),IF(K14&lt;=IFERROR(VLOOKUP(CONCATENATE("T",ROUND(BF14,0),"lin5m"),_viitearvot!$A:$H,4,FALSE()),99),5,IF(K14&lt;=IFERROR(VLOOKUP(CONCATENATE("T",ROUND(BF14,0),"lin5m"),_viitearvot!$A:$H,5,FALSE()),99),4,IF(K14&lt;=IFERROR(VLOOKUP(CONCATENATE("T",ROUND(BF14,0),"lin5m"),_viitearvot!$A:$H,6,FALSE()),99),3,IF(K14&lt;=IFERROR(VLOOKUP(CONCATENATE("T",ROUND(BF14,0),"lin5m"),_viitearvot!$A:$H,7,FALSE()),99),2,1))))))-L14)</f>
        <v/>
      </c>
      <c r="BH14" s="67" t="n"/>
    </row>
    <row r="15" ht="17" customHeight="1" s="22">
      <c r="A15" s="52" t="n"/>
      <c r="B15" s="52" t="n"/>
      <c r="C15" s="53" t="n"/>
      <c r="D15" s="52" t="n"/>
      <c r="E15" s="52" t="n"/>
      <c r="F15" s="52" t="n"/>
      <c r="G15" s="52" t="n"/>
      <c r="H15" s="54" t="n"/>
      <c r="I15" s="54" t="n"/>
      <c r="J15" s="54" t="n"/>
      <c r="K15" s="55">
        <f>IFERROR(MIN(H15,I15,J15),"")</f>
        <v/>
      </c>
      <c r="L15" s="56">
        <f>IF(OR(K15="",D15=""),"",IF(K15&lt;=IFERROR(VLOOKUP(CONCATENATE(D15,YEAR(TODAY())-YEAR(C15),"lin5m"),_viitearvot!$I$2:$M$205,2,FALSE()),99),5,IF(K15&lt;=IFERROR(VLOOKUP(CONCATENATE(D15,YEAR(TODAY())-YEAR(C15),"lin5m"),_viitearvot!$I$2:$M$205,3,FALSE()),99),4,IF(K15&lt;=IFERROR(VLOOKUP(CONCATENATE(D15,YEAR(TODAY())-YEAR(C15),"lin5m"),_viitearvot!$I$2:$M$205,4,FALSE()),99),3,IF(K15&lt;=IFERROR(VLOOKUP(CONCATENATE(D15,YEAR(TODAY())-YEAR(C15),"lin5m"),_viitearvot!$I$2:$M$205,5,FALSE()),99),2,1)))))</f>
        <v/>
      </c>
      <c r="M15" s="54" t="n"/>
      <c r="N15" s="54" t="n"/>
      <c r="O15" s="54" t="n"/>
      <c r="P15" s="55">
        <f>IFERROR(MIN(M15,N15,O15),"")</f>
        <v/>
      </c>
      <c r="Q15" s="56">
        <f>IF(OR(P15="",D15=""),"",IF(P15&lt;=IFERROR(VLOOKUP(CONCATENATE(D15,YEAR(TODAY())-YEAR(C15),"lin10m"),_viitearvot!$I$2:$M$205,2,FALSE()),99),5,IF(P15&lt;=IFERROR(VLOOKUP(CONCATENATE(D15,YEAR(TODAY())-YEAR(C15),"lin10m"),_viitearvot!$I$2:$M$205,3,FALSE()),99),4,IF(P15&lt;=IFERROR(VLOOKUP(CONCATENATE(D15,YEAR(TODAY())-YEAR(C15),"lin10m"),_viitearvot!$I$2:$M$205,4,FALSE()),99),3,IF(P15&lt;=IFERROR(VLOOKUP(CONCATENATE(D15,YEAR(TODAY())-YEAR(C15),"lin10m"),_viitearvot!$I$2:$M$205,5,FALSE()),99),2,1)))))</f>
        <v/>
      </c>
      <c r="R15" s="54" t="n"/>
      <c r="S15" s="54" t="n"/>
      <c r="T15" s="54" t="n"/>
      <c r="U15" s="55">
        <f>IFERROR(MIN(R15,S15,T15),"")</f>
        <v/>
      </c>
      <c r="V15" s="56">
        <f>IF(OR(U15="",D15=""),"",IF(U15&lt;=IFERROR(VLOOKUP(CONCATENATE(D15,YEAR(TODAY())-YEAR(C15),"lin20m"),_viitearvot!$I$2:$M$205,2,FALSE()),99),5,IF(U15&lt;=IFERROR(VLOOKUP(CONCATENATE(D15,YEAR(TODAY())-YEAR(C15),"lin20m"),_viitearvot!$I$2:$M$205,3,FALSE()),99),4,IF(U15&lt;=IFERROR(VLOOKUP(CONCATENATE(D15,YEAR(TODAY())-YEAR(C15),"lin20m"),_viitearvot!$I$2:$M$205,4,FALSE()),99),3,IF(U15&lt;=IFERROR(VLOOKUP(CONCATENATE(D15,YEAR(TODAY())-YEAR(C15),"lin20m"),_viitearvot!$I$2:$M$205,5,FALSE()),99),2,1)))))</f>
        <v/>
      </c>
      <c r="W15" s="54" t="n"/>
      <c r="X15" s="54" t="n"/>
      <c r="Y15" s="54" t="n"/>
      <c r="Z15" s="55">
        <f>IFERROR(MIN(W15,X15,Y15),"")</f>
        <v/>
      </c>
      <c r="AA15" s="56">
        <f>IF(OR(Z15="",D15=""),"",IF(Z15&lt;=IFERROR(VLOOKUP(CONCATENATE(D15,YEAR(TODAY())-YEAR(C15),"lin30m"),_viitearvot!$I$2:$M$205,2,FALSE()),99),5,IF(Z15&lt;=IFERROR(VLOOKUP(CONCATENATE(D15,YEAR(TODAY())-YEAR(C15),"lin30m"),_viitearvot!$I$2:$M$205,3,FALSE()),99),4,IF(Z15&lt;=IFERROR(VLOOKUP(CONCATENATE(D15,YEAR(TODAY())-YEAR(C15),"lin30m"),_viitearvot!$I$2:$M$205,4,FALSE()),99),3,IF(Z15&lt;=IFERROR(VLOOKUP(CONCATENATE(D15,YEAR(TODAY())-YEAR(C15),"lin30m"),_viitearvot!$I$2:$M$205,5,FALSE()),99),2,1)))))</f>
        <v/>
      </c>
      <c r="AB15" s="54" t="n"/>
      <c r="AC15" s="54" t="n"/>
      <c r="AD15" s="54" t="n"/>
      <c r="AE15" s="55">
        <f>IFERROR(MIN(AB15,AC15,AD15),"")</f>
        <v/>
      </c>
      <c r="AF15" s="56">
        <f>IF(OR(AE15="",D15=""),"",IF(AE15&lt;=IFERROR(VLOOKUP(CONCATENATE(D15,YEAR(TODAY())-YEAR(C15),"kasirata"),_viitearvot!$I$2:$M$205,2,FALSE()),99),5,IF(AE15&lt;=IFERROR(VLOOKUP(CONCATENATE(D15,YEAR(TODAY())-YEAR(C15),"kasirata"),_viitearvot!$I$2:$M$205,3,FALSE()),99),4,IF(AE15&lt;=IFERROR(VLOOKUP(CONCATENATE(D15,YEAR(TODAY())-YEAR(C15),"kasirata"),_viitearvot!$I$2:$M$205,4,FALSE()),99),3,IF(AE15&lt;=IFERROR(VLOOKUP(CONCATENATE(D15,YEAR(TODAY())-YEAR(C15),"kasirata"),_viitearvot!$I$2:$M$205,5,FALSE()),99),2,1)))))</f>
        <v/>
      </c>
      <c r="AG15" s="54" t="n"/>
      <c r="AH15" s="54" t="n"/>
      <c r="AI15" s="54" t="n"/>
      <c r="AJ15" s="55">
        <f>IFERROR(MIN(AG15,AH15,AI15),"")</f>
        <v/>
      </c>
      <c r="AK15" s="56">
        <f>IF(OR(AJ15="",D15=""),"",IF(AJ15&lt;=IFERROR(VLOOKUP(CONCATENATE(D15,YEAR(TODAY())-YEAR(C15),"smjuoksu"),_viitearvot!$I$2:$M$205,2,FALSE()),99),5,IF(AJ15&lt;=IFERROR(VLOOKUP(CONCATENATE(D15,YEAR(TODAY())-YEAR(C15),"smjuoksu"),_viitearvot!$I$2:$M$205,3,FALSE()),99),4,IF(AJ15&lt;=IFERROR(VLOOKUP(CONCATENATE(D15,YEAR(TODAY())-YEAR(C15),"smjuoksu"),_viitearvot!$I$2:$M$205,4,FALSE()),99),3,IF(AJ15&lt;=IFERROR(VLOOKUP(CONCATENATE(D15,YEAR(TODAY())-YEAR(C15),"smjuoksu"),_viitearvot!$I$2:$M$205,5,FALSE()),99),2,1)))))</f>
        <v/>
      </c>
      <c r="AL15" s="54" t="n"/>
      <c r="AM15" s="54" t="n"/>
      <c r="AN15" s="55">
        <f>IFERROR(MIN(AL15,AM15),"")</f>
        <v/>
      </c>
      <c r="AO15" s="56">
        <f>IF(OR(AN15="",D15=""),"",IF(AN15&lt;=IFERROR(VLOOKUP(CONCATENATE(D15,YEAR(TODAY())-YEAR(C15),"smpallo"),_viitearvot!$I$2:$M$205,2,FALSE()),99),5,IF(AN15&lt;=IFERROR(VLOOKUP(CONCATENATE(D15,YEAR(TODAY())-YEAR(C15),"smpallo"),_viitearvot!$I$2:$M$205,3,FALSE()),99),4,IF(AN15&lt;=IFERROR(VLOOKUP(CONCATENATE(D15,YEAR(TODAY())-YEAR(C15),"smpallo"),_viitearvot!$I$2:$M$205,4,FALSE()),99),3,IF(AN15&lt;=IFERROR(VLOOKUP(CONCATENATE(D15,YEAR(TODAY())-YEAR(C15),"smpallo"),_viitearvot!$I$2:$M$205,5,FALSE()),99),2,1)))))</f>
        <v/>
      </c>
      <c r="AP15" s="54" t="n"/>
      <c r="AQ15" s="54" t="n"/>
      <c r="AR15" s="54" t="n"/>
      <c r="AS15" s="55">
        <f>IFERROR(MAX(AP15,AQ15,AR15),"")</f>
        <v/>
      </c>
      <c r="AT15" s="56">
        <f>IF(OR(AS15="",D15=""),"",IF(AS15&gt;=IFERROR(VLOOKUP(CONCATENATE(D15,YEAR(TODAY())-YEAR(C15),"cmj"),_viitearvot!$I$2:$M$205,2,FALSE()),0),5,IF(AS15&gt;=IFERROR(VLOOKUP(CONCATENATE(D15,YEAR(TODAY())-YEAR(C15),"cmj"),_viitearvot!$I$2:$M$205,3,FALSE()),0),4,IF(AS15&gt;=IFERROR(VLOOKUP(CONCATENATE(D15,YEAR(TODAY())-YEAR(C15),"cmj"),_viitearvot!$I$2:$M$205,4,FALSE()),0),3,IF(AS15&gt;=IFERROR(VLOOKUP(CONCATENATE(D15,YEAR(TODAY())-YEAR(C15),"cmj"),_viitearvot!$I$2:$M$205,5,FALSE()),0),2,1)))))</f>
        <v/>
      </c>
      <c r="AU15" s="54" t="n"/>
      <c r="AV15" s="55">
        <f>IFERROR(MAX(AU15),"")</f>
        <v/>
      </c>
      <c r="AW15" s="56">
        <f>IF(OR(AV15="",D15=""),"",IF(AV15&gt;=IFERROR(VLOOKUP(CONCATENATE(D15,YEAR(TODAY())-YEAR(C15),"bronco"),_viitearvot!$I$2:$M$205,2,FALSE()),0),5,IF(AV15&gt;=IFERROR(VLOOKUP(CONCATENATE(D15,YEAR(TODAY())-YEAR(C15),"bronco"),_viitearvot!$I$2:$M$205,3,FALSE()),0),4,IF(AV15&gt;=IFERROR(VLOOKUP(CONCATENATE(D15,YEAR(TODAY())-YEAR(C15),"bronco"),_viitearvot!$I$2:$M$205,4,FALSE()),0),3,IF(AV15&gt;=IFERROR(VLOOKUP(CONCATENATE(D15,YEAR(TODAY())-YEAR(C15),"bronco"),_viitearvot!$I$2:$M$205,5,FALSE()),0),2,1)))))</f>
        <v/>
      </c>
      <c r="AX15" s="54" t="n"/>
      <c r="AY15" s="54" t="n"/>
      <c r="AZ15" s="55">
        <f>IFERROR(MIN(AX15,AY15),"")</f>
        <v/>
      </c>
      <c r="BA15" s="56">
        <f>IF(OR(AZ15="",D15=""),"",IF(AZ15&lt;=IFERROR(VLOOKUP(CONCATENATE(D15,YEAR(TODAY())-YEAR(C15),"pujottelu"),_viitearvot!$I$2:$M$205,2,FALSE()),99),5,IF(AZ15&lt;=IFERROR(VLOOKUP(CONCATENATE(D15,YEAR(TODAY())-YEAR(C15),"pujottelu"),_viitearvot!$I$2:$M$205,3,FALSE()),99),4,IF(AZ15&lt;=IFERROR(VLOOKUP(CONCATENATE(D15,YEAR(TODAY())-YEAR(C15),"pujottelu"),_viitearvot!$I$2:$M$205,4,FALSE()),99),3,IF(AZ15&lt;=IFERROR(VLOOKUP(CONCATENATE(D15,YEAR(TODAY())-YEAR(C15),"pujottelu"),_viitearvot!$I$2:$M$205,5,FALSE()),99),2,1)))))</f>
        <v/>
      </c>
      <c r="BB15" s="54" t="n"/>
      <c r="BC15" s="54" t="n"/>
      <c r="BD15" s="55">
        <f>IFERROR(MIN(BB15,BC15),"")</f>
        <v/>
      </c>
      <c r="BE15" s="56">
        <f>IF(OR(BD15="",D15=""),"",IF(BD15&lt;=IFERROR(VLOOKUP(CONCATENATE(D15,YEAR(TODAY())-YEAR(C15),"syotto"),_viitearvot!$I$2:$M$205,2,FALSE()),99),5,IF(BD15&lt;=IFERROR(VLOOKUP(CONCATENATE(D15,YEAR(TODAY())-YEAR(C15),"syotto"),_viitearvot!$I$2:$M$205,3,FALSE()),99),4,IF(BD15&lt;=IFERROR(VLOOKUP(CONCATENATE(D15,YEAR(TODAY())-YEAR(C15),"syotto"),_viitearvot!$I$2:$M$205,4,FALSE()),99),3,IF(BD15&lt;=IFERROR(VLOOKUP(CONCATENATE(D15,YEAR(TODAY())-YEAR(C15),"syotto"),_viitearvot!$I$2:$M$205,5,FALSE()),99),2,1)))))</f>
        <v/>
      </c>
      <c r="BF15" s="57" t="n"/>
      <c r="BG15" s="58">
        <f>IF(OR(BF15="",K15=""),"",(IF(D15="P",IF(K15&lt;=IFERROR(VLOOKUP(CONCATENATE("P",ROUND(BF15,0),"lin5m"),_viitearvot!$A:$H,4,FALSE()),99),5,IF(K15&lt;=IFERROR(VLOOKUP(CONCATENATE("P",ROUND(BF15,0),"lin5m"),_viitearvot!$A:$H,5,FALSE()),99),4,IF(K15&lt;=IFERROR(VLOOKUP(CONCATENATE("P",ROUND(BF15,0),"lin5m"),_viitearvot!$A:$H,6,FALSE()),99),3,IF(K15&lt;=IFERROR(VLOOKUP(CONCATENATE("P",ROUND(BF15,0),"lin5m"),_viitearvot!$A:$H,7,FALSE()),99),2,1)))),IF(K15&lt;=IFERROR(VLOOKUP(CONCATENATE("T",ROUND(BF15,0),"lin5m"),_viitearvot!$A:$H,4,FALSE()),99),5,IF(K15&lt;=IFERROR(VLOOKUP(CONCATENATE("T",ROUND(BF15,0),"lin5m"),_viitearvot!$A:$H,5,FALSE()),99),4,IF(K15&lt;=IFERROR(VLOOKUP(CONCATENATE("T",ROUND(BF15,0),"lin5m"),_viitearvot!$A:$H,6,FALSE()),99),3,IF(K15&lt;=IFERROR(VLOOKUP(CONCATENATE("T",ROUND(BF15,0),"lin5m"),_viitearvot!$A:$H,7,FALSE()),99),2,1))))))-L15)</f>
        <v/>
      </c>
      <c r="BH15" s="59" t="n"/>
    </row>
    <row r="16" ht="17" customHeight="1" s="22">
      <c r="A16" s="60" t="n"/>
      <c r="B16" s="60" t="n"/>
      <c r="C16" s="61" t="n"/>
      <c r="D16" s="60" t="n"/>
      <c r="E16" s="60" t="n"/>
      <c r="F16" s="60" t="n"/>
      <c r="G16" s="60" t="n"/>
      <c r="H16" s="62" t="n"/>
      <c r="I16" s="62" t="n"/>
      <c r="J16" s="62" t="n"/>
      <c r="K16" s="63">
        <f>IFERROR(MIN(H16,I16,J16),"")</f>
        <v/>
      </c>
      <c r="L16" s="64">
        <f>IF(OR(K16="",D16=""),"",IF(K16&lt;=IFERROR(VLOOKUP(CONCATENATE(D16,YEAR(TODAY())-YEAR(C16),"lin5m"),_viitearvot!$I$2:$M$205,2,FALSE()),99),5,IF(K16&lt;=IFERROR(VLOOKUP(CONCATENATE(D16,YEAR(TODAY())-YEAR(C16),"lin5m"),_viitearvot!$I$2:$M$205,3,FALSE()),99),4,IF(K16&lt;=IFERROR(VLOOKUP(CONCATENATE(D16,YEAR(TODAY())-YEAR(C16),"lin5m"),_viitearvot!$I$2:$M$205,4,FALSE()),99),3,IF(K16&lt;=IFERROR(VLOOKUP(CONCATENATE(D16,YEAR(TODAY())-YEAR(C16),"lin5m"),_viitearvot!$I$2:$M$205,5,FALSE()),99),2,1)))))</f>
        <v/>
      </c>
      <c r="M16" s="62" t="n"/>
      <c r="N16" s="62" t="n"/>
      <c r="O16" s="62" t="n"/>
      <c r="P16" s="63">
        <f>IFERROR(MIN(M16,N16,O16),"")</f>
        <v/>
      </c>
      <c r="Q16" s="64">
        <f>IF(OR(P16="",D16=""),"",IF(P16&lt;=IFERROR(VLOOKUP(CONCATENATE(D16,YEAR(TODAY())-YEAR(C16),"lin10m"),_viitearvot!$I$2:$M$205,2,FALSE()),99),5,IF(P16&lt;=IFERROR(VLOOKUP(CONCATENATE(D16,YEAR(TODAY())-YEAR(C16),"lin10m"),_viitearvot!$I$2:$M$205,3,FALSE()),99),4,IF(P16&lt;=IFERROR(VLOOKUP(CONCATENATE(D16,YEAR(TODAY())-YEAR(C16),"lin10m"),_viitearvot!$I$2:$M$205,4,FALSE()),99),3,IF(P16&lt;=IFERROR(VLOOKUP(CONCATENATE(D16,YEAR(TODAY())-YEAR(C16),"lin10m"),_viitearvot!$I$2:$M$205,5,FALSE()),99),2,1)))))</f>
        <v/>
      </c>
      <c r="R16" s="62" t="n"/>
      <c r="S16" s="62" t="n"/>
      <c r="T16" s="62" t="n"/>
      <c r="U16" s="63">
        <f>IFERROR(MIN(R16,S16,T16),"")</f>
        <v/>
      </c>
      <c r="V16" s="64">
        <f>IF(OR(U16="",D16=""),"",IF(U16&lt;=IFERROR(VLOOKUP(CONCATENATE(D16,YEAR(TODAY())-YEAR(C16),"lin20m"),_viitearvot!$I$2:$M$205,2,FALSE()),99),5,IF(U16&lt;=IFERROR(VLOOKUP(CONCATENATE(D16,YEAR(TODAY())-YEAR(C16),"lin20m"),_viitearvot!$I$2:$M$205,3,FALSE()),99),4,IF(U16&lt;=IFERROR(VLOOKUP(CONCATENATE(D16,YEAR(TODAY())-YEAR(C16),"lin20m"),_viitearvot!$I$2:$M$205,4,FALSE()),99),3,IF(U16&lt;=IFERROR(VLOOKUP(CONCATENATE(D16,YEAR(TODAY())-YEAR(C16),"lin20m"),_viitearvot!$I$2:$M$205,5,FALSE()),99),2,1)))))</f>
        <v/>
      </c>
      <c r="W16" s="62" t="n"/>
      <c r="X16" s="62" t="n"/>
      <c r="Y16" s="62" t="n"/>
      <c r="Z16" s="63">
        <f>IFERROR(MIN(W16,X16,Y16),"")</f>
        <v/>
      </c>
      <c r="AA16" s="64">
        <f>IF(OR(Z16="",D16=""),"",IF(Z16&lt;=IFERROR(VLOOKUP(CONCATENATE(D16,YEAR(TODAY())-YEAR(C16),"lin30m"),_viitearvot!$I$2:$M$205,2,FALSE()),99),5,IF(Z16&lt;=IFERROR(VLOOKUP(CONCATENATE(D16,YEAR(TODAY())-YEAR(C16),"lin30m"),_viitearvot!$I$2:$M$205,3,FALSE()),99),4,IF(Z16&lt;=IFERROR(VLOOKUP(CONCATENATE(D16,YEAR(TODAY())-YEAR(C16),"lin30m"),_viitearvot!$I$2:$M$205,4,FALSE()),99),3,IF(Z16&lt;=IFERROR(VLOOKUP(CONCATENATE(D16,YEAR(TODAY())-YEAR(C16),"lin30m"),_viitearvot!$I$2:$M$205,5,FALSE()),99),2,1)))))</f>
        <v/>
      </c>
      <c r="AB16" s="62" t="n"/>
      <c r="AC16" s="62" t="n"/>
      <c r="AD16" s="62" t="n"/>
      <c r="AE16" s="63">
        <f>IFERROR(MIN(AB16,AC16,AD16),"")</f>
        <v/>
      </c>
      <c r="AF16" s="64">
        <f>IF(OR(AE16="",D16=""),"",IF(AE16&lt;=IFERROR(VLOOKUP(CONCATENATE(D16,YEAR(TODAY())-YEAR(C16),"kasirata"),_viitearvot!$I$2:$M$205,2,FALSE()),99),5,IF(AE16&lt;=IFERROR(VLOOKUP(CONCATENATE(D16,YEAR(TODAY())-YEAR(C16),"kasirata"),_viitearvot!$I$2:$M$205,3,FALSE()),99),4,IF(AE16&lt;=IFERROR(VLOOKUP(CONCATENATE(D16,YEAR(TODAY())-YEAR(C16),"kasirata"),_viitearvot!$I$2:$M$205,4,FALSE()),99),3,IF(AE16&lt;=IFERROR(VLOOKUP(CONCATENATE(D16,YEAR(TODAY())-YEAR(C16),"kasirata"),_viitearvot!$I$2:$M$205,5,FALSE()),99),2,1)))))</f>
        <v/>
      </c>
      <c r="AG16" s="62" t="n"/>
      <c r="AH16" s="62" t="n"/>
      <c r="AI16" s="62" t="n"/>
      <c r="AJ16" s="63">
        <f>IFERROR(MIN(AG16,AH16,AI16),"")</f>
        <v/>
      </c>
      <c r="AK16" s="64">
        <f>IF(OR(AJ16="",D16=""),"",IF(AJ16&lt;=IFERROR(VLOOKUP(CONCATENATE(D16,YEAR(TODAY())-YEAR(C16),"smjuoksu"),_viitearvot!$I$2:$M$205,2,FALSE()),99),5,IF(AJ16&lt;=IFERROR(VLOOKUP(CONCATENATE(D16,YEAR(TODAY())-YEAR(C16),"smjuoksu"),_viitearvot!$I$2:$M$205,3,FALSE()),99),4,IF(AJ16&lt;=IFERROR(VLOOKUP(CONCATENATE(D16,YEAR(TODAY())-YEAR(C16),"smjuoksu"),_viitearvot!$I$2:$M$205,4,FALSE()),99),3,IF(AJ16&lt;=IFERROR(VLOOKUP(CONCATENATE(D16,YEAR(TODAY())-YEAR(C16),"smjuoksu"),_viitearvot!$I$2:$M$205,5,FALSE()),99),2,1)))))</f>
        <v/>
      </c>
      <c r="AL16" s="62" t="n"/>
      <c r="AM16" s="62" t="n"/>
      <c r="AN16" s="63">
        <f>IFERROR(MIN(AL16,AM16),"")</f>
        <v/>
      </c>
      <c r="AO16" s="64">
        <f>IF(OR(AN16="",D16=""),"",IF(AN16&lt;=IFERROR(VLOOKUP(CONCATENATE(D16,YEAR(TODAY())-YEAR(C16),"smpallo"),_viitearvot!$I$2:$M$205,2,FALSE()),99),5,IF(AN16&lt;=IFERROR(VLOOKUP(CONCATENATE(D16,YEAR(TODAY())-YEAR(C16),"smpallo"),_viitearvot!$I$2:$M$205,3,FALSE()),99),4,IF(AN16&lt;=IFERROR(VLOOKUP(CONCATENATE(D16,YEAR(TODAY())-YEAR(C16),"smpallo"),_viitearvot!$I$2:$M$205,4,FALSE()),99),3,IF(AN16&lt;=IFERROR(VLOOKUP(CONCATENATE(D16,YEAR(TODAY())-YEAR(C16),"smpallo"),_viitearvot!$I$2:$M$205,5,FALSE()),99),2,1)))))</f>
        <v/>
      </c>
      <c r="AP16" s="62" t="n"/>
      <c r="AQ16" s="62" t="n"/>
      <c r="AR16" s="62" t="n"/>
      <c r="AS16" s="63">
        <f>IFERROR(MAX(AP16,AQ16,AR16),"")</f>
        <v/>
      </c>
      <c r="AT16" s="64">
        <f>IF(OR(AS16="",D16=""),"",IF(AS16&gt;=IFERROR(VLOOKUP(CONCATENATE(D16,YEAR(TODAY())-YEAR(C16),"cmj"),_viitearvot!$I$2:$M$205,2,FALSE()),0),5,IF(AS16&gt;=IFERROR(VLOOKUP(CONCATENATE(D16,YEAR(TODAY())-YEAR(C16),"cmj"),_viitearvot!$I$2:$M$205,3,FALSE()),0),4,IF(AS16&gt;=IFERROR(VLOOKUP(CONCATENATE(D16,YEAR(TODAY())-YEAR(C16),"cmj"),_viitearvot!$I$2:$M$205,4,FALSE()),0),3,IF(AS16&gt;=IFERROR(VLOOKUP(CONCATENATE(D16,YEAR(TODAY())-YEAR(C16),"cmj"),_viitearvot!$I$2:$M$205,5,FALSE()),0),2,1)))))</f>
        <v/>
      </c>
      <c r="AU16" s="62" t="n"/>
      <c r="AV16" s="63">
        <f>IFERROR(MAX(AU16),"")</f>
        <v/>
      </c>
      <c r="AW16" s="64">
        <f>IF(OR(AV16="",D16=""),"",IF(AV16&gt;=IFERROR(VLOOKUP(CONCATENATE(D16,YEAR(TODAY())-YEAR(C16),"bronco"),_viitearvot!$I$2:$M$205,2,FALSE()),0),5,IF(AV16&gt;=IFERROR(VLOOKUP(CONCATENATE(D16,YEAR(TODAY())-YEAR(C16),"bronco"),_viitearvot!$I$2:$M$205,3,FALSE()),0),4,IF(AV16&gt;=IFERROR(VLOOKUP(CONCATENATE(D16,YEAR(TODAY())-YEAR(C16),"bronco"),_viitearvot!$I$2:$M$205,4,FALSE()),0),3,IF(AV16&gt;=IFERROR(VLOOKUP(CONCATENATE(D16,YEAR(TODAY())-YEAR(C16),"bronco"),_viitearvot!$I$2:$M$205,5,FALSE()),0),2,1)))))</f>
        <v/>
      </c>
      <c r="AX16" s="62" t="n"/>
      <c r="AY16" s="62" t="n"/>
      <c r="AZ16" s="63">
        <f>IFERROR(MIN(AX16,AY16),"")</f>
        <v/>
      </c>
      <c r="BA16" s="64">
        <f>IF(OR(AZ16="",D16=""),"",IF(AZ16&lt;=IFERROR(VLOOKUP(CONCATENATE(D16,YEAR(TODAY())-YEAR(C16),"pujottelu"),_viitearvot!$I$2:$M$205,2,FALSE()),99),5,IF(AZ16&lt;=IFERROR(VLOOKUP(CONCATENATE(D16,YEAR(TODAY())-YEAR(C16),"pujottelu"),_viitearvot!$I$2:$M$205,3,FALSE()),99),4,IF(AZ16&lt;=IFERROR(VLOOKUP(CONCATENATE(D16,YEAR(TODAY())-YEAR(C16),"pujottelu"),_viitearvot!$I$2:$M$205,4,FALSE()),99),3,IF(AZ16&lt;=IFERROR(VLOOKUP(CONCATENATE(D16,YEAR(TODAY())-YEAR(C16),"pujottelu"),_viitearvot!$I$2:$M$205,5,FALSE()),99),2,1)))))</f>
        <v/>
      </c>
      <c r="BB16" s="62" t="n"/>
      <c r="BC16" s="62" t="n"/>
      <c r="BD16" s="63">
        <f>IFERROR(MIN(BB16,BC16),"")</f>
        <v/>
      </c>
      <c r="BE16" s="64">
        <f>IF(OR(BD16="",D16=""),"",IF(BD16&lt;=IFERROR(VLOOKUP(CONCATENATE(D16,YEAR(TODAY())-YEAR(C16),"syotto"),_viitearvot!$I$2:$M$205,2,FALSE()),99),5,IF(BD16&lt;=IFERROR(VLOOKUP(CONCATENATE(D16,YEAR(TODAY())-YEAR(C16),"syotto"),_viitearvot!$I$2:$M$205,3,FALSE()),99),4,IF(BD16&lt;=IFERROR(VLOOKUP(CONCATENATE(D16,YEAR(TODAY())-YEAR(C16),"syotto"),_viitearvot!$I$2:$M$205,4,FALSE()),99),3,IF(BD16&lt;=IFERROR(VLOOKUP(CONCATENATE(D16,YEAR(TODAY())-YEAR(C16),"syotto"),_viitearvot!$I$2:$M$205,5,FALSE()),99),2,1)))))</f>
        <v/>
      </c>
      <c r="BF16" s="65" t="n"/>
      <c r="BG16" s="66">
        <f>IF(OR(BF16="",K16=""),"",(IF(D16="P",IF(K16&lt;=IFERROR(VLOOKUP(CONCATENATE("P",ROUND(BF16,0),"lin5m"),_viitearvot!$A:$H,4,FALSE()),99),5,IF(K16&lt;=IFERROR(VLOOKUP(CONCATENATE("P",ROUND(BF16,0),"lin5m"),_viitearvot!$A:$H,5,FALSE()),99),4,IF(K16&lt;=IFERROR(VLOOKUP(CONCATENATE("P",ROUND(BF16,0),"lin5m"),_viitearvot!$A:$H,6,FALSE()),99),3,IF(K16&lt;=IFERROR(VLOOKUP(CONCATENATE("P",ROUND(BF16,0),"lin5m"),_viitearvot!$A:$H,7,FALSE()),99),2,1)))),IF(K16&lt;=IFERROR(VLOOKUP(CONCATENATE("T",ROUND(BF16,0),"lin5m"),_viitearvot!$A:$H,4,FALSE()),99),5,IF(K16&lt;=IFERROR(VLOOKUP(CONCATENATE("T",ROUND(BF16,0),"lin5m"),_viitearvot!$A:$H,5,FALSE()),99),4,IF(K16&lt;=IFERROR(VLOOKUP(CONCATENATE("T",ROUND(BF16,0),"lin5m"),_viitearvot!$A:$H,6,FALSE()),99),3,IF(K16&lt;=IFERROR(VLOOKUP(CONCATENATE("T",ROUND(BF16,0),"lin5m"),_viitearvot!$A:$H,7,FALSE()),99),2,1))))))-L16)</f>
        <v/>
      </c>
      <c r="BH16" s="67" t="n"/>
    </row>
    <row r="17" ht="17" customHeight="1" s="22">
      <c r="A17" s="52" t="n"/>
      <c r="B17" s="52" t="n"/>
      <c r="C17" s="53" t="n"/>
      <c r="D17" s="52" t="n"/>
      <c r="E17" s="52" t="n"/>
      <c r="F17" s="52" t="n"/>
      <c r="G17" s="52" t="n"/>
      <c r="H17" s="54" t="n"/>
      <c r="I17" s="54" t="n"/>
      <c r="J17" s="54" t="n"/>
      <c r="K17" s="55">
        <f>IFERROR(MIN(H17,I17,J17),"")</f>
        <v/>
      </c>
      <c r="L17" s="56">
        <f>IF(OR(K17="",D17=""),"",IF(K17&lt;=IFERROR(VLOOKUP(CONCATENATE(D17,YEAR(TODAY())-YEAR(C17),"lin5m"),_viitearvot!$I$2:$M$205,2,FALSE()),99),5,IF(K17&lt;=IFERROR(VLOOKUP(CONCATENATE(D17,YEAR(TODAY())-YEAR(C17),"lin5m"),_viitearvot!$I$2:$M$205,3,FALSE()),99),4,IF(K17&lt;=IFERROR(VLOOKUP(CONCATENATE(D17,YEAR(TODAY())-YEAR(C17),"lin5m"),_viitearvot!$I$2:$M$205,4,FALSE()),99),3,IF(K17&lt;=IFERROR(VLOOKUP(CONCATENATE(D17,YEAR(TODAY())-YEAR(C17),"lin5m"),_viitearvot!$I$2:$M$205,5,FALSE()),99),2,1)))))</f>
        <v/>
      </c>
      <c r="M17" s="54" t="n"/>
      <c r="N17" s="54" t="n"/>
      <c r="O17" s="54" t="n"/>
      <c r="P17" s="55">
        <f>IFERROR(MIN(M17,N17,O17),"")</f>
        <v/>
      </c>
      <c r="Q17" s="56">
        <f>IF(OR(P17="",D17=""),"",IF(P17&lt;=IFERROR(VLOOKUP(CONCATENATE(D17,YEAR(TODAY())-YEAR(C17),"lin10m"),_viitearvot!$I$2:$M$205,2,FALSE()),99),5,IF(P17&lt;=IFERROR(VLOOKUP(CONCATENATE(D17,YEAR(TODAY())-YEAR(C17),"lin10m"),_viitearvot!$I$2:$M$205,3,FALSE()),99),4,IF(P17&lt;=IFERROR(VLOOKUP(CONCATENATE(D17,YEAR(TODAY())-YEAR(C17),"lin10m"),_viitearvot!$I$2:$M$205,4,FALSE()),99),3,IF(P17&lt;=IFERROR(VLOOKUP(CONCATENATE(D17,YEAR(TODAY())-YEAR(C17),"lin10m"),_viitearvot!$I$2:$M$205,5,FALSE()),99),2,1)))))</f>
        <v/>
      </c>
      <c r="R17" s="54" t="n"/>
      <c r="S17" s="54" t="n"/>
      <c r="T17" s="54" t="n"/>
      <c r="U17" s="55">
        <f>IFERROR(MIN(R17,S17,T17),"")</f>
        <v/>
      </c>
      <c r="V17" s="56">
        <f>IF(OR(U17="",D17=""),"",IF(U17&lt;=IFERROR(VLOOKUP(CONCATENATE(D17,YEAR(TODAY())-YEAR(C17),"lin20m"),_viitearvot!$I$2:$M$205,2,FALSE()),99),5,IF(U17&lt;=IFERROR(VLOOKUP(CONCATENATE(D17,YEAR(TODAY())-YEAR(C17),"lin20m"),_viitearvot!$I$2:$M$205,3,FALSE()),99),4,IF(U17&lt;=IFERROR(VLOOKUP(CONCATENATE(D17,YEAR(TODAY())-YEAR(C17),"lin20m"),_viitearvot!$I$2:$M$205,4,FALSE()),99),3,IF(U17&lt;=IFERROR(VLOOKUP(CONCATENATE(D17,YEAR(TODAY())-YEAR(C17),"lin20m"),_viitearvot!$I$2:$M$205,5,FALSE()),99),2,1)))))</f>
        <v/>
      </c>
      <c r="W17" s="54" t="n"/>
      <c r="X17" s="54" t="n"/>
      <c r="Y17" s="54" t="n"/>
      <c r="Z17" s="55">
        <f>IFERROR(MIN(W17,X17,Y17),"")</f>
        <v/>
      </c>
      <c r="AA17" s="56">
        <f>IF(OR(Z17="",D17=""),"",IF(Z17&lt;=IFERROR(VLOOKUP(CONCATENATE(D17,YEAR(TODAY())-YEAR(C17),"lin30m"),_viitearvot!$I$2:$M$205,2,FALSE()),99),5,IF(Z17&lt;=IFERROR(VLOOKUP(CONCATENATE(D17,YEAR(TODAY())-YEAR(C17),"lin30m"),_viitearvot!$I$2:$M$205,3,FALSE()),99),4,IF(Z17&lt;=IFERROR(VLOOKUP(CONCATENATE(D17,YEAR(TODAY())-YEAR(C17),"lin30m"),_viitearvot!$I$2:$M$205,4,FALSE()),99),3,IF(Z17&lt;=IFERROR(VLOOKUP(CONCATENATE(D17,YEAR(TODAY())-YEAR(C17),"lin30m"),_viitearvot!$I$2:$M$205,5,FALSE()),99),2,1)))))</f>
        <v/>
      </c>
      <c r="AB17" s="54" t="n"/>
      <c r="AC17" s="54" t="n"/>
      <c r="AD17" s="54" t="n"/>
      <c r="AE17" s="55">
        <f>IFERROR(MIN(AB17,AC17,AD17),"")</f>
        <v/>
      </c>
      <c r="AF17" s="56">
        <f>IF(OR(AE17="",D17=""),"",IF(AE17&lt;=IFERROR(VLOOKUP(CONCATENATE(D17,YEAR(TODAY())-YEAR(C17),"kasirata"),_viitearvot!$I$2:$M$205,2,FALSE()),99),5,IF(AE17&lt;=IFERROR(VLOOKUP(CONCATENATE(D17,YEAR(TODAY())-YEAR(C17),"kasirata"),_viitearvot!$I$2:$M$205,3,FALSE()),99),4,IF(AE17&lt;=IFERROR(VLOOKUP(CONCATENATE(D17,YEAR(TODAY())-YEAR(C17),"kasirata"),_viitearvot!$I$2:$M$205,4,FALSE()),99),3,IF(AE17&lt;=IFERROR(VLOOKUP(CONCATENATE(D17,YEAR(TODAY())-YEAR(C17),"kasirata"),_viitearvot!$I$2:$M$205,5,FALSE()),99),2,1)))))</f>
        <v/>
      </c>
      <c r="AG17" s="54" t="n"/>
      <c r="AH17" s="54" t="n"/>
      <c r="AI17" s="54" t="n"/>
      <c r="AJ17" s="55">
        <f>IFERROR(MIN(AG17,AH17,AI17),"")</f>
        <v/>
      </c>
      <c r="AK17" s="56">
        <f>IF(OR(AJ17="",D17=""),"",IF(AJ17&lt;=IFERROR(VLOOKUP(CONCATENATE(D17,YEAR(TODAY())-YEAR(C17),"smjuoksu"),_viitearvot!$I$2:$M$205,2,FALSE()),99),5,IF(AJ17&lt;=IFERROR(VLOOKUP(CONCATENATE(D17,YEAR(TODAY())-YEAR(C17),"smjuoksu"),_viitearvot!$I$2:$M$205,3,FALSE()),99),4,IF(AJ17&lt;=IFERROR(VLOOKUP(CONCATENATE(D17,YEAR(TODAY())-YEAR(C17),"smjuoksu"),_viitearvot!$I$2:$M$205,4,FALSE()),99),3,IF(AJ17&lt;=IFERROR(VLOOKUP(CONCATENATE(D17,YEAR(TODAY())-YEAR(C17),"smjuoksu"),_viitearvot!$I$2:$M$205,5,FALSE()),99),2,1)))))</f>
        <v/>
      </c>
      <c r="AL17" s="54" t="n"/>
      <c r="AM17" s="54" t="n"/>
      <c r="AN17" s="55">
        <f>IFERROR(MIN(AL17,AM17),"")</f>
        <v/>
      </c>
      <c r="AO17" s="56">
        <f>IF(OR(AN17="",D17=""),"",IF(AN17&lt;=IFERROR(VLOOKUP(CONCATENATE(D17,YEAR(TODAY())-YEAR(C17),"smpallo"),_viitearvot!$I$2:$M$205,2,FALSE()),99),5,IF(AN17&lt;=IFERROR(VLOOKUP(CONCATENATE(D17,YEAR(TODAY())-YEAR(C17),"smpallo"),_viitearvot!$I$2:$M$205,3,FALSE()),99),4,IF(AN17&lt;=IFERROR(VLOOKUP(CONCATENATE(D17,YEAR(TODAY())-YEAR(C17),"smpallo"),_viitearvot!$I$2:$M$205,4,FALSE()),99),3,IF(AN17&lt;=IFERROR(VLOOKUP(CONCATENATE(D17,YEAR(TODAY())-YEAR(C17),"smpallo"),_viitearvot!$I$2:$M$205,5,FALSE()),99),2,1)))))</f>
        <v/>
      </c>
      <c r="AP17" s="54" t="n"/>
      <c r="AQ17" s="54" t="n"/>
      <c r="AR17" s="54" t="n"/>
      <c r="AS17" s="55">
        <f>IFERROR(MAX(AP17,AQ17,AR17),"")</f>
        <v/>
      </c>
      <c r="AT17" s="56">
        <f>IF(OR(AS17="",D17=""),"",IF(AS17&gt;=IFERROR(VLOOKUP(CONCATENATE(D17,YEAR(TODAY())-YEAR(C17),"cmj"),_viitearvot!$I$2:$M$205,2,FALSE()),0),5,IF(AS17&gt;=IFERROR(VLOOKUP(CONCATENATE(D17,YEAR(TODAY())-YEAR(C17),"cmj"),_viitearvot!$I$2:$M$205,3,FALSE()),0),4,IF(AS17&gt;=IFERROR(VLOOKUP(CONCATENATE(D17,YEAR(TODAY())-YEAR(C17),"cmj"),_viitearvot!$I$2:$M$205,4,FALSE()),0),3,IF(AS17&gt;=IFERROR(VLOOKUP(CONCATENATE(D17,YEAR(TODAY())-YEAR(C17),"cmj"),_viitearvot!$I$2:$M$205,5,FALSE()),0),2,1)))))</f>
        <v/>
      </c>
      <c r="AU17" s="54" t="n"/>
      <c r="AV17" s="55">
        <f>IFERROR(MAX(AU17),"")</f>
        <v/>
      </c>
      <c r="AW17" s="56">
        <f>IF(OR(AV17="",D17=""),"",IF(AV17&gt;=IFERROR(VLOOKUP(CONCATENATE(D17,YEAR(TODAY())-YEAR(C17),"bronco"),_viitearvot!$I$2:$M$205,2,FALSE()),0),5,IF(AV17&gt;=IFERROR(VLOOKUP(CONCATENATE(D17,YEAR(TODAY())-YEAR(C17),"bronco"),_viitearvot!$I$2:$M$205,3,FALSE()),0),4,IF(AV17&gt;=IFERROR(VLOOKUP(CONCATENATE(D17,YEAR(TODAY())-YEAR(C17),"bronco"),_viitearvot!$I$2:$M$205,4,FALSE()),0),3,IF(AV17&gt;=IFERROR(VLOOKUP(CONCATENATE(D17,YEAR(TODAY())-YEAR(C17),"bronco"),_viitearvot!$I$2:$M$205,5,FALSE()),0),2,1)))))</f>
        <v/>
      </c>
      <c r="AX17" s="54" t="n"/>
      <c r="AY17" s="54" t="n"/>
      <c r="AZ17" s="55">
        <f>IFERROR(MIN(AX17,AY17),"")</f>
        <v/>
      </c>
      <c r="BA17" s="56">
        <f>IF(OR(AZ17="",D17=""),"",IF(AZ17&lt;=IFERROR(VLOOKUP(CONCATENATE(D17,YEAR(TODAY())-YEAR(C17),"pujottelu"),_viitearvot!$I$2:$M$205,2,FALSE()),99),5,IF(AZ17&lt;=IFERROR(VLOOKUP(CONCATENATE(D17,YEAR(TODAY())-YEAR(C17),"pujottelu"),_viitearvot!$I$2:$M$205,3,FALSE()),99),4,IF(AZ17&lt;=IFERROR(VLOOKUP(CONCATENATE(D17,YEAR(TODAY())-YEAR(C17),"pujottelu"),_viitearvot!$I$2:$M$205,4,FALSE()),99),3,IF(AZ17&lt;=IFERROR(VLOOKUP(CONCATENATE(D17,YEAR(TODAY())-YEAR(C17),"pujottelu"),_viitearvot!$I$2:$M$205,5,FALSE()),99),2,1)))))</f>
        <v/>
      </c>
      <c r="BB17" s="54" t="n"/>
      <c r="BC17" s="54" t="n"/>
      <c r="BD17" s="55">
        <f>IFERROR(MIN(BB17,BC17),"")</f>
        <v/>
      </c>
      <c r="BE17" s="56">
        <f>IF(OR(BD17="",D17=""),"",IF(BD17&lt;=IFERROR(VLOOKUP(CONCATENATE(D17,YEAR(TODAY())-YEAR(C17),"syotto"),_viitearvot!$I$2:$M$205,2,FALSE()),99),5,IF(BD17&lt;=IFERROR(VLOOKUP(CONCATENATE(D17,YEAR(TODAY())-YEAR(C17),"syotto"),_viitearvot!$I$2:$M$205,3,FALSE()),99),4,IF(BD17&lt;=IFERROR(VLOOKUP(CONCATENATE(D17,YEAR(TODAY())-YEAR(C17),"syotto"),_viitearvot!$I$2:$M$205,4,FALSE()),99),3,IF(BD17&lt;=IFERROR(VLOOKUP(CONCATENATE(D17,YEAR(TODAY())-YEAR(C17),"syotto"),_viitearvot!$I$2:$M$205,5,FALSE()),99),2,1)))))</f>
        <v/>
      </c>
      <c r="BF17" s="57" t="n"/>
      <c r="BG17" s="58">
        <f>IF(OR(BF17="",K17=""),"",(IF(D17="P",IF(K17&lt;=IFERROR(VLOOKUP(CONCATENATE("P",ROUND(BF17,0),"lin5m"),_viitearvot!$A:$H,4,FALSE()),99),5,IF(K17&lt;=IFERROR(VLOOKUP(CONCATENATE("P",ROUND(BF17,0),"lin5m"),_viitearvot!$A:$H,5,FALSE()),99),4,IF(K17&lt;=IFERROR(VLOOKUP(CONCATENATE("P",ROUND(BF17,0),"lin5m"),_viitearvot!$A:$H,6,FALSE()),99),3,IF(K17&lt;=IFERROR(VLOOKUP(CONCATENATE("P",ROUND(BF17,0),"lin5m"),_viitearvot!$A:$H,7,FALSE()),99),2,1)))),IF(K17&lt;=IFERROR(VLOOKUP(CONCATENATE("T",ROUND(BF17,0),"lin5m"),_viitearvot!$A:$H,4,FALSE()),99),5,IF(K17&lt;=IFERROR(VLOOKUP(CONCATENATE("T",ROUND(BF17,0),"lin5m"),_viitearvot!$A:$H,5,FALSE()),99),4,IF(K17&lt;=IFERROR(VLOOKUP(CONCATENATE("T",ROUND(BF17,0),"lin5m"),_viitearvot!$A:$H,6,FALSE()),99),3,IF(K17&lt;=IFERROR(VLOOKUP(CONCATENATE("T",ROUND(BF17,0),"lin5m"),_viitearvot!$A:$H,7,FALSE()),99),2,1))))))-L17)</f>
        <v/>
      </c>
      <c r="BH17" s="59" t="n"/>
    </row>
    <row r="18" ht="17" customHeight="1" s="22">
      <c r="A18" s="60" t="n"/>
      <c r="B18" s="60" t="n"/>
      <c r="C18" s="61" t="n"/>
      <c r="D18" s="60" t="n"/>
      <c r="E18" s="60" t="n"/>
      <c r="F18" s="60" t="n"/>
      <c r="G18" s="60" t="n"/>
      <c r="H18" s="62" t="n"/>
      <c r="I18" s="62" t="n"/>
      <c r="J18" s="62" t="n"/>
      <c r="K18" s="63">
        <f>IFERROR(MIN(H18,I18,J18),"")</f>
        <v/>
      </c>
      <c r="L18" s="64">
        <f>IF(OR(K18="",D18=""),"",IF(K18&lt;=IFERROR(VLOOKUP(CONCATENATE(D18,YEAR(TODAY())-YEAR(C18),"lin5m"),_viitearvot!$I$2:$M$205,2,FALSE()),99),5,IF(K18&lt;=IFERROR(VLOOKUP(CONCATENATE(D18,YEAR(TODAY())-YEAR(C18),"lin5m"),_viitearvot!$I$2:$M$205,3,FALSE()),99),4,IF(K18&lt;=IFERROR(VLOOKUP(CONCATENATE(D18,YEAR(TODAY())-YEAR(C18),"lin5m"),_viitearvot!$I$2:$M$205,4,FALSE()),99),3,IF(K18&lt;=IFERROR(VLOOKUP(CONCATENATE(D18,YEAR(TODAY())-YEAR(C18),"lin5m"),_viitearvot!$I$2:$M$205,5,FALSE()),99),2,1)))))</f>
        <v/>
      </c>
      <c r="M18" s="62" t="n"/>
      <c r="N18" s="62" t="n"/>
      <c r="O18" s="62" t="n"/>
      <c r="P18" s="63">
        <f>IFERROR(MIN(M18,N18,O18),"")</f>
        <v/>
      </c>
      <c r="Q18" s="64">
        <f>IF(OR(P18="",D18=""),"",IF(P18&lt;=IFERROR(VLOOKUP(CONCATENATE(D18,YEAR(TODAY())-YEAR(C18),"lin10m"),_viitearvot!$I$2:$M$205,2,FALSE()),99),5,IF(P18&lt;=IFERROR(VLOOKUP(CONCATENATE(D18,YEAR(TODAY())-YEAR(C18),"lin10m"),_viitearvot!$I$2:$M$205,3,FALSE()),99),4,IF(P18&lt;=IFERROR(VLOOKUP(CONCATENATE(D18,YEAR(TODAY())-YEAR(C18),"lin10m"),_viitearvot!$I$2:$M$205,4,FALSE()),99),3,IF(P18&lt;=IFERROR(VLOOKUP(CONCATENATE(D18,YEAR(TODAY())-YEAR(C18),"lin10m"),_viitearvot!$I$2:$M$205,5,FALSE()),99),2,1)))))</f>
        <v/>
      </c>
      <c r="R18" s="62" t="n"/>
      <c r="S18" s="62" t="n"/>
      <c r="T18" s="62" t="n"/>
      <c r="U18" s="63">
        <f>IFERROR(MIN(R18,S18,T18),"")</f>
        <v/>
      </c>
      <c r="V18" s="64">
        <f>IF(OR(U18="",D18=""),"",IF(U18&lt;=IFERROR(VLOOKUP(CONCATENATE(D18,YEAR(TODAY())-YEAR(C18),"lin20m"),_viitearvot!$I$2:$M$205,2,FALSE()),99),5,IF(U18&lt;=IFERROR(VLOOKUP(CONCATENATE(D18,YEAR(TODAY())-YEAR(C18),"lin20m"),_viitearvot!$I$2:$M$205,3,FALSE()),99),4,IF(U18&lt;=IFERROR(VLOOKUP(CONCATENATE(D18,YEAR(TODAY())-YEAR(C18),"lin20m"),_viitearvot!$I$2:$M$205,4,FALSE()),99),3,IF(U18&lt;=IFERROR(VLOOKUP(CONCATENATE(D18,YEAR(TODAY())-YEAR(C18),"lin20m"),_viitearvot!$I$2:$M$205,5,FALSE()),99),2,1)))))</f>
        <v/>
      </c>
      <c r="W18" s="62" t="n"/>
      <c r="X18" s="62" t="n"/>
      <c r="Y18" s="62" t="n"/>
      <c r="Z18" s="63">
        <f>IFERROR(MIN(W18,X18,Y18),"")</f>
        <v/>
      </c>
      <c r="AA18" s="64">
        <f>IF(OR(Z18="",D18=""),"",IF(Z18&lt;=IFERROR(VLOOKUP(CONCATENATE(D18,YEAR(TODAY())-YEAR(C18),"lin30m"),_viitearvot!$I$2:$M$205,2,FALSE()),99),5,IF(Z18&lt;=IFERROR(VLOOKUP(CONCATENATE(D18,YEAR(TODAY())-YEAR(C18),"lin30m"),_viitearvot!$I$2:$M$205,3,FALSE()),99),4,IF(Z18&lt;=IFERROR(VLOOKUP(CONCATENATE(D18,YEAR(TODAY())-YEAR(C18),"lin30m"),_viitearvot!$I$2:$M$205,4,FALSE()),99),3,IF(Z18&lt;=IFERROR(VLOOKUP(CONCATENATE(D18,YEAR(TODAY())-YEAR(C18),"lin30m"),_viitearvot!$I$2:$M$205,5,FALSE()),99),2,1)))))</f>
        <v/>
      </c>
      <c r="AB18" s="62" t="n"/>
      <c r="AC18" s="62" t="n"/>
      <c r="AD18" s="62" t="n"/>
      <c r="AE18" s="63">
        <f>IFERROR(MIN(AB18,AC18,AD18),"")</f>
        <v/>
      </c>
      <c r="AF18" s="64">
        <f>IF(OR(AE18="",D18=""),"",IF(AE18&lt;=IFERROR(VLOOKUP(CONCATENATE(D18,YEAR(TODAY())-YEAR(C18),"kasirata"),_viitearvot!$I$2:$M$205,2,FALSE()),99),5,IF(AE18&lt;=IFERROR(VLOOKUP(CONCATENATE(D18,YEAR(TODAY())-YEAR(C18),"kasirata"),_viitearvot!$I$2:$M$205,3,FALSE()),99),4,IF(AE18&lt;=IFERROR(VLOOKUP(CONCATENATE(D18,YEAR(TODAY())-YEAR(C18),"kasirata"),_viitearvot!$I$2:$M$205,4,FALSE()),99),3,IF(AE18&lt;=IFERROR(VLOOKUP(CONCATENATE(D18,YEAR(TODAY())-YEAR(C18),"kasirata"),_viitearvot!$I$2:$M$205,5,FALSE()),99),2,1)))))</f>
        <v/>
      </c>
      <c r="AG18" s="62" t="n"/>
      <c r="AH18" s="62" t="n"/>
      <c r="AI18" s="62" t="n"/>
      <c r="AJ18" s="63">
        <f>IFERROR(MIN(AG18,AH18,AI18),"")</f>
        <v/>
      </c>
      <c r="AK18" s="64">
        <f>IF(OR(AJ18="",D18=""),"",IF(AJ18&lt;=IFERROR(VLOOKUP(CONCATENATE(D18,YEAR(TODAY())-YEAR(C18),"smjuoksu"),_viitearvot!$I$2:$M$205,2,FALSE()),99),5,IF(AJ18&lt;=IFERROR(VLOOKUP(CONCATENATE(D18,YEAR(TODAY())-YEAR(C18),"smjuoksu"),_viitearvot!$I$2:$M$205,3,FALSE()),99),4,IF(AJ18&lt;=IFERROR(VLOOKUP(CONCATENATE(D18,YEAR(TODAY())-YEAR(C18),"smjuoksu"),_viitearvot!$I$2:$M$205,4,FALSE()),99),3,IF(AJ18&lt;=IFERROR(VLOOKUP(CONCATENATE(D18,YEAR(TODAY())-YEAR(C18),"smjuoksu"),_viitearvot!$I$2:$M$205,5,FALSE()),99),2,1)))))</f>
        <v/>
      </c>
      <c r="AL18" s="62" t="n"/>
      <c r="AM18" s="62" t="n"/>
      <c r="AN18" s="63">
        <f>IFERROR(MIN(AL18,AM18),"")</f>
        <v/>
      </c>
      <c r="AO18" s="64">
        <f>IF(OR(AN18="",D18=""),"",IF(AN18&lt;=IFERROR(VLOOKUP(CONCATENATE(D18,YEAR(TODAY())-YEAR(C18),"smpallo"),_viitearvot!$I$2:$M$205,2,FALSE()),99),5,IF(AN18&lt;=IFERROR(VLOOKUP(CONCATENATE(D18,YEAR(TODAY())-YEAR(C18),"smpallo"),_viitearvot!$I$2:$M$205,3,FALSE()),99),4,IF(AN18&lt;=IFERROR(VLOOKUP(CONCATENATE(D18,YEAR(TODAY())-YEAR(C18),"smpallo"),_viitearvot!$I$2:$M$205,4,FALSE()),99),3,IF(AN18&lt;=IFERROR(VLOOKUP(CONCATENATE(D18,YEAR(TODAY())-YEAR(C18),"smpallo"),_viitearvot!$I$2:$M$205,5,FALSE()),99),2,1)))))</f>
        <v/>
      </c>
      <c r="AP18" s="62" t="n"/>
      <c r="AQ18" s="62" t="n"/>
      <c r="AR18" s="62" t="n"/>
      <c r="AS18" s="63">
        <f>IFERROR(MAX(AP18,AQ18,AR18),"")</f>
        <v/>
      </c>
      <c r="AT18" s="64">
        <f>IF(OR(AS18="",D18=""),"",IF(AS18&gt;=IFERROR(VLOOKUP(CONCATENATE(D18,YEAR(TODAY())-YEAR(C18),"cmj"),_viitearvot!$I$2:$M$205,2,FALSE()),0),5,IF(AS18&gt;=IFERROR(VLOOKUP(CONCATENATE(D18,YEAR(TODAY())-YEAR(C18),"cmj"),_viitearvot!$I$2:$M$205,3,FALSE()),0),4,IF(AS18&gt;=IFERROR(VLOOKUP(CONCATENATE(D18,YEAR(TODAY())-YEAR(C18),"cmj"),_viitearvot!$I$2:$M$205,4,FALSE()),0),3,IF(AS18&gt;=IFERROR(VLOOKUP(CONCATENATE(D18,YEAR(TODAY())-YEAR(C18),"cmj"),_viitearvot!$I$2:$M$205,5,FALSE()),0),2,1)))))</f>
        <v/>
      </c>
      <c r="AU18" s="62" t="n"/>
      <c r="AV18" s="63">
        <f>IFERROR(MAX(AU18),"")</f>
        <v/>
      </c>
      <c r="AW18" s="64">
        <f>IF(OR(AV18="",D18=""),"",IF(AV18&gt;=IFERROR(VLOOKUP(CONCATENATE(D18,YEAR(TODAY())-YEAR(C18),"bronco"),_viitearvot!$I$2:$M$205,2,FALSE()),0),5,IF(AV18&gt;=IFERROR(VLOOKUP(CONCATENATE(D18,YEAR(TODAY())-YEAR(C18),"bronco"),_viitearvot!$I$2:$M$205,3,FALSE()),0),4,IF(AV18&gt;=IFERROR(VLOOKUP(CONCATENATE(D18,YEAR(TODAY())-YEAR(C18),"bronco"),_viitearvot!$I$2:$M$205,4,FALSE()),0),3,IF(AV18&gt;=IFERROR(VLOOKUP(CONCATENATE(D18,YEAR(TODAY())-YEAR(C18),"bronco"),_viitearvot!$I$2:$M$205,5,FALSE()),0),2,1)))))</f>
        <v/>
      </c>
      <c r="AX18" s="62" t="n"/>
      <c r="AY18" s="62" t="n"/>
      <c r="AZ18" s="63">
        <f>IFERROR(MIN(AX18,AY18),"")</f>
        <v/>
      </c>
      <c r="BA18" s="64">
        <f>IF(OR(AZ18="",D18=""),"",IF(AZ18&lt;=IFERROR(VLOOKUP(CONCATENATE(D18,YEAR(TODAY())-YEAR(C18),"pujottelu"),_viitearvot!$I$2:$M$205,2,FALSE()),99),5,IF(AZ18&lt;=IFERROR(VLOOKUP(CONCATENATE(D18,YEAR(TODAY())-YEAR(C18),"pujottelu"),_viitearvot!$I$2:$M$205,3,FALSE()),99),4,IF(AZ18&lt;=IFERROR(VLOOKUP(CONCATENATE(D18,YEAR(TODAY())-YEAR(C18),"pujottelu"),_viitearvot!$I$2:$M$205,4,FALSE()),99),3,IF(AZ18&lt;=IFERROR(VLOOKUP(CONCATENATE(D18,YEAR(TODAY())-YEAR(C18),"pujottelu"),_viitearvot!$I$2:$M$205,5,FALSE()),99),2,1)))))</f>
        <v/>
      </c>
      <c r="BB18" s="62" t="n"/>
      <c r="BC18" s="62" t="n"/>
      <c r="BD18" s="63">
        <f>IFERROR(MIN(BB18,BC18),"")</f>
        <v/>
      </c>
      <c r="BE18" s="64">
        <f>IF(OR(BD18="",D18=""),"",IF(BD18&lt;=IFERROR(VLOOKUP(CONCATENATE(D18,YEAR(TODAY())-YEAR(C18),"syotto"),_viitearvot!$I$2:$M$205,2,FALSE()),99),5,IF(BD18&lt;=IFERROR(VLOOKUP(CONCATENATE(D18,YEAR(TODAY())-YEAR(C18),"syotto"),_viitearvot!$I$2:$M$205,3,FALSE()),99),4,IF(BD18&lt;=IFERROR(VLOOKUP(CONCATENATE(D18,YEAR(TODAY())-YEAR(C18),"syotto"),_viitearvot!$I$2:$M$205,4,FALSE()),99),3,IF(BD18&lt;=IFERROR(VLOOKUP(CONCATENATE(D18,YEAR(TODAY())-YEAR(C18),"syotto"),_viitearvot!$I$2:$M$205,5,FALSE()),99),2,1)))))</f>
        <v/>
      </c>
      <c r="BF18" s="65" t="n"/>
      <c r="BG18" s="66">
        <f>IF(OR(BF18="",K18=""),"",(IF(D18="P",IF(K18&lt;=IFERROR(VLOOKUP(CONCATENATE("P",ROUND(BF18,0),"lin5m"),_viitearvot!$A:$H,4,FALSE()),99),5,IF(K18&lt;=IFERROR(VLOOKUP(CONCATENATE("P",ROUND(BF18,0),"lin5m"),_viitearvot!$A:$H,5,FALSE()),99),4,IF(K18&lt;=IFERROR(VLOOKUP(CONCATENATE("P",ROUND(BF18,0),"lin5m"),_viitearvot!$A:$H,6,FALSE()),99),3,IF(K18&lt;=IFERROR(VLOOKUP(CONCATENATE("P",ROUND(BF18,0),"lin5m"),_viitearvot!$A:$H,7,FALSE()),99),2,1)))),IF(K18&lt;=IFERROR(VLOOKUP(CONCATENATE("T",ROUND(BF18,0),"lin5m"),_viitearvot!$A:$H,4,FALSE()),99),5,IF(K18&lt;=IFERROR(VLOOKUP(CONCATENATE("T",ROUND(BF18,0),"lin5m"),_viitearvot!$A:$H,5,FALSE()),99),4,IF(K18&lt;=IFERROR(VLOOKUP(CONCATENATE("T",ROUND(BF18,0),"lin5m"),_viitearvot!$A:$H,6,FALSE()),99),3,IF(K18&lt;=IFERROR(VLOOKUP(CONCATENATE("T",ROUND(BF18,0),"lin5m"),_viitearvot!$A:$H,7,FALSE()),99),2,1))))))-L18)</f>
        <v/>
      </c>
      <c r="BH18" s="67" t="n"/>
    </row>
    <row r="19" ht="17" customHeight="1" s="22">
      <c r="A19" s="52" t="n"/>
      <c r="B19" s="52" t="n"/>
      <c r="C19" s="53" t="n"/>
      <c r="D19" s="52" t="n"/>
      <c r="E19" s="52" t="n"/>
      <c r="F19" s="52" t="n"/>
      <c r="G19" s="52" t="n"/>
      <c r="H19" s="54" t="n"/>
      <c r="I19" s="54" t="n"/>
      <c r="J19" s="54" t="n"/>
      <c r="K19" s="55">
        <f>IFERROR(MIN(H19,I19,J19),"")</f>
        <v/>
      </c>
      <c r="L19" s="56">
        <f>IF(OR(K19="",D19=""),"",IF(K19&lt;=IFERROR(VLOOKUP(CONCATENATE(D19,YEAR(TODAY())-YEAR(C19),"lin5m"),_viitearvot!$I$2:$M$205,2,FALSE()),99),5,IF(K19&lt;=IFERROR(VLOOKUP(CONCATENATE(D19,YEAR(TODAY())-YEAR(C19),"lin5m"),_viitearvot!$I$2:$M$205,3,FALSE()),99),4,IF(K19&lt;=IFERROR(VLOOKUP(CONCATENATE(D19,YEAR(TODAY())-YEAR(C19),"lin5m"),_viitearvot!$I$2:$M$205,4,FALSE()),99),3,IF(K19&lt;=IFERROR(VLOOKUP(CONCATENATE(D19,YEAR(TODAY())-YEAR(C19),"lin5m"),_viitearvot!$I$2:$M$205,5,FALSE()),99),2,1)))))</f>
        <v/>
      </c>
      <c r="M19" s="54" t="n"/>
      <c r="N19" s="54" t="n"/>
      <c r="O19" s="54" t="n"/>
      <c r="P19" s="55">
        <f>IFERROR(MIN(M19,N19,O19),"")</f>
        <v/>
      </c>
      <c r="Q19" s="56">
        <f>IF(OR(P19="",D19=""),"",IF(P19&lt;=IFERROR(VLOOKUP(CONCATENATE(D19,YEAR(TODAY())-YEAR(C19),"lin10m"),_viitearvot!$I$2:$M$205,2,FALSE()),99),5,IF(P19&lt;=IFERROR(VLOOKUP(CONCATENATE(D19,YEAR(TODAY())-YEAR(C19),"lin10m"),_viitearvot!$I$2:$M$205,3,FALSE()),99),4,IF(P19&lt;=IFERROR(VLOOKUP(CONCATENATE(D19,YEAR(TODAY())-YEAR(C19),"lin10m"),_viitearvot!$I$2:$M$205,4,FALSE()),99),3,IF(P19&lt;=IFERROR(VLOOKUP(CONCATENATE(D19,YEAR(TODAY())-YEAR(C19),"lin10m"),_viitearvot!$I$2:$M$205,5,FALSE()),99),2,1)))))</f>
        <v/>
      </c>
      <c r="R19" s="54" t="n"/>
      <c r="S19" s="54" t="n"/>
      <c r="T19" s="54" t="n"/>
      <c r="U19" s="55">
        <f>IFERROR(MIN(R19,S19,T19),"")</f>
        <v/>
      </c>
      <c r="V19" s="56">
        <f>IF(OR(U19="",D19=""),"",IF(U19&lt;=IFERROR(VLOOKUP(CONCATENATE(D19,YEAR(TODAY())-YEAR(C19),"lin20m"),_viitearvot!$I$2:$M$205,2,FALSE()),99),5,IF(U19&lt;=IFERROR(VLOOKUP(CONCATENATE(D19,YEAR(TODAY())-YEAR(C19),"lin20m"),_viitearvot!$I$2:$M$205,3,FALSE()),99),4,IF(U19&lt;=IFERROR(VLOOKUP(CONCATENATE(D19,YEAR(TODAY())-YEAR(C19),"lin20m"),_viitearvot!$I$2:$M$205,4,FALSE()),99),3,IF(U19&lt;=IFERROR(VLOOKUP(CONCATENATE(D19,YEAR(TODAY())-YEAR(C19),"lin20m"),_viitearvot!$I$2:$M$205,5,FALSE()),99),2,1)))))</f>
        <v/>
      </c>
      <c r="W19" s="54" t="n"/>
      <c r="X19" s="54" t="n"/>
      <c r="Y19" s="54" t="n"/>
      <c r="Z19" s="55">
        <f>IFERROR(MIN(W19,X19,Y19),"")</f>
        <v/>
      </c>
      <c r="AA19" s="56">
        <f>IF(OR(Z19="",D19=""),"",IF(Z19&lt;=IFERROR(VLOOKUP(CONCATENATE(D19,YEAR(TODAY())-YEAR(C19),"lin30m"),_viitearvot!$I$2:$M$205,2,FALSE()),99),5,IF(Z19&lt;=IFERROR(VLOOKUP(CONCATENATE(D19,YEAR(TODAY())-YEAR(C19),"lin30m"),_viitearvot!$I$2:$M$205,3,FALSE()),99),4,IF(Z19&lt;=IFERROR(VLOOKUP(CONCATENATE(D19,YEAR(TODAY())-YEAR(C19),"lin30m"),_viitearvot!$I$2:$M$205,4,FALSE()),99),3,IF(Z19&lt;=IFERROR(VLOOKUP(CONCATENATE(D19,YEAR(TODAY())-YEAR(C19),"lin30m"),_viitearvot!$I$2:$M$205,5,FALSE()),99),2,1)))))</f>
        <v/>
      </c>
      <c r="AB19" s="54" t="n"/>
      <c r="AC19" s="54" t="n"/>
      <c r="AD19" s="54" t="n"/>
      <c r="AE19" s="55">
        <f>IFERROR(MIN(AB19,AC19,AD19),"")</f>
        <v/>
      </c>
      <c r="AF19" s="56">
        <f>IF(OR(AE19="",D19=""),"",IF(AE19&lt;=IFERROR(VLOOKUP(CONCATENATE(D19,YEAR(TODAY())-YEAR(C19),"kasirata"),_viitearvot!$I$2:$M$205,2,FALSE()),99),5,IF(AE19&lt;=IFERROR(VLOOKUP(CONCATENATE(D19,YEAR(TODAY())-YEAR(C19),"kasirata"),_viitearvot!$I$2:$M$205,3,FALSE()),99),4,IF(AE19&lt;=IFERROR(VLOOKUP(CONCATENATE(D19,YEAR(TODAY())-YEAR(C19),"kasirata"),_viitearvot!$I$2:$M$205,4,FALSE()),99),3,IF(AE19&lt;=IFERROR(VLOOKUP(CONCATENATE(D19,YEAR(TODAY())-YEAR(C19),"kasirata"),_viitearvot!$I$2:$M$205,5,FALSE()),99),2,1)))))</f>
        <v/>
      </c>
      <c r="AG19" s="54" t="n"/>
      <c r="AH19" s="54" t="n"/>
      <c r="AI19" s="54" t="n"/>
      <c r="AJ19" s="55">
        <f>IFERROR(MIN(AG19,AH19,AI19),"")</f>
        <v/>
      </c>
      <c r="AK19" s="56">
        <f>IF(OR(AJ19="",D19=""),"",IF(AJ19&lt;=IFERROR(VLOOKUP(CONCATENATE(D19,YEAR(TODAY())-YEAR(C19),"smjuoksu"),_viitearvot!$I$2:$M$205,2,FALSE()),99),5,IF(AJ19&lt;=IFERROR(VLOOKUP(CONCATENATE(D19,YEAR(TODAY())-YEAR(C19),"smjuoksu"),_viitearvot!$I$2:$M$205,3,FALSE()),99),4,IF(AJ19&lt;=IFERROR(VLOOKUP(CONCATENATE(D19,YEAR(TODAY())-YEAR(C19),"smjuoksu"),_viitearvot!$I$2:$M$205,4,FALSE()),99),3,IF(AJ19&lt;=IFERROR(VLOOKUP(CONCATENATE(D19,YEAR(TODAY())-YEAR(C19),"smjuoksu"),_viitearvot!$I$2:$M$205,5,FALSE()),99),2,1)))))</f>
        <v/>
      </c>
      <c r="AL19" s="54" t="n"/>
      <c r="AM19" s="54" t="n"/>
      <c r="AN19" s="55">
        <f>IFERROR(MIN(AL19,AM19),"")</f>
        <v/>
      </c>
      <c r="AO19" s="56">
        <f>IF(OR(AN19="",D19=""),"",IF(AN19&lt;=IFERROR(VLOOKUP(CONCATENATE(D19,YEAR(TODAY())-YEAR(C19),"smpallo"),_viitearvot!$I$2:$M$205,2,FALSE()),99),5,IF(AN19&lt;=IFERROR(VLOOKUP(CONCATENATE(D19,YEAR(TODAY())-YEAR(C19),"smpallo"),_viitearvot!$I$2:$M$205,3,FALSE()),99),4,IF(AN19&lt;=IFERROR(VLOOKUP(CONCATENATE(D19,YEAR(TODAY())-YEAR(C19),"smpallo"),_viitearvot!$I$2:$M$205,4,FALSE()),99),3,IF(AN19&lt;=IFERROR(VLOOKUP(CONCATENATE(D19,YEAR(TODAY())-YEAR(C19),"smpallo"),_viitearvot!$I$2:$M$205,5,FALSE()),99),2,1)))))</f>
        <v/>
      </c>
      <c r="AP19" s="54" t="n"/>
      <c r="AQ19" s="54" t="n"/>
      <c r="AR19" s="54" t="n"/>
      <c r="AS19" s="55">
        <f>IFERROR(MAX(AP19,AQ19,AR19),"")</f>
        <v/>
      </c>
      <c r="AT19" s="56">
        <f>IF(OR(AS19="",D19=""),"",IF(AS19&gt;=IFERROR(VLOOKUP(CONCATENATE(D19,YEAR(TODAY())-YEAR(C19),"cmj"),_viitearvot!$I$2:$M$205,2,FALSE()),0),5,IF(AS19&gt;=IFERROR(VLOOKUP(CONCATENATE(D19,YEAR(TODAY())-YEAR(C19),"cmj"),_viitearvot!$I$2:$M$205,3,FALSE()),0),4,IF(AS19&gt;=IFERROR(VLOOKUP(CONCATENATE(D19,YEAR(TODAY())-YEAR(C19),"cmj"),_viitearvot!$I$2:$M$205,4,FALSE()),0),3,IF(AS19&gt;=IFERROR(VLOOKUP(CONCATENATE(D19,YEAR(TODAY())-YEAR(C19),"cmj"),_viitearvot!$I$2:$M$205,5,FALSE()),0),2,1)))))</f>
        <v/>
      </c>
      <c r="AU19" s="54" t="n"/>
      <c r="AV19" s="55">
        <f>IFERROR(MAX(AU19),"")</f>
        <v/>
      </c>
      <c r="AW19" s="56">
        <f>IF(OR(AV19="",D19=""),"",IF(AV19&gt;=IFERROR(VLOOKUP(CONCATENATE(D19,YEAR(TODAY())-YEAR(C19),"bronco"),_viitearvot!$I$2:$M$205,2,FALSE()),0),5,IF(AV19&gt;=IFERROR(VLOOKUP(CONCATENATE(D19,YEAR(TODAY())-YEAR(C19),"bronco"),_viitearvot!$I$2:$M$205,3,FALSE()),0),4,IF(AV19&gt;=IFERROR(VLOOKUP(CONCATENATE(D19,YEAR(TODAY())-YEAR(C19),"bronco"),_viitearvot!$I$2:$M$205,4,FALSE()),0),3,IF(AV19&gt;=IFERROR(VLOOKUP(CONCATENATE(D19,YEAR(TODAY())-YEAR(C19),"bronco"),_viitearvot!$I$2:$M$205,5,FALSE()),0),2,1)))))</f>
        <v/>
      </c>
      <c r="AX19" s="54" t="n"/>
      <c r="AY19" s="54" t="n"/>
      <c r="AZ19" s="55">
        <f>IFERROR(MIN(AX19,AY19),"")</f>
        <v/>
      </c>
      <c r="BA19" s="56">
        <f>IF(OR(AZ19="",D19=""),"",IF(AZ19&lt;=IFERROR(VLOOKUP(CONCATENATE(D19,YEAR(TODAY())-YEAR(C19),"pujottelu"),_viitearvot!$I$2:$M$205,2,FALSE()),99),5,IF(AZ19&lt;=IFERROR(VLOOKUP(CONCATENATE(D19,YEAR(TODAY())-YEAR(C19),"pujottelu"),_viitearvot!$I$2:$M$205,3,FALSE()),99),4,IF(AZ19&lt;=IFERROR(VLOOKUP(CONCATENATE(D19,YEAR(TODAY())-YEAR(C19),"pujottelu"),_viitearvot!$I$2:$M$205,4,FALSE()),99),3,IF(AZ19&lt;=IFERROR(VLOOKUP(CONCATENATE(D19,YEAR(TODAY())-YEAR(C19),"pujottelu"),_viitearvot!$I$2:$M$205,5,FALSE()),99),2,1)))))</f>
        <v/>
      </c>
      <c r="BB19" s="54" t="n"/>
      <c r="BC19" s="54" t="n"/>
      <c r="BD19" s="55">
        <f>IFERROR(MIN(BB19,BC19),"")</f>
        <v/>
      </c>
      <c r="BE19" s="56">
        <f>IF(OR(BD19="",D19=""),"",IF(BD19&lt;=IFERROR(VLOOKUP(CONCATENATE(D19,YEAR(TODAY())-YEAR(C19),"syotto"),_viitearvot!$I$2:$M$205,2,FALSE()),99),5,IF(BD19&lt;=IFERROR(VLOOKUP(CONCATENATE(D19,YEAR(TODAY())-YEAR(C19),"syotto"),_viitearvot!$I$2:$M$205,3,FALSE()),99),4,IF(BD19&lt;=IFERROR(VLOOKUP(CONCATENATE(D19,YEAR(TODAY())-YEAR(C19),"syotto"),_viitearvot!$I$2:$M$205,4,FALSE()),99),3,IF(BD19&lt;=IFERROR(VLOOKUP(CONCATENATE(D19,YEAR(TODAY())-YEAR(C19),"syotto"),_viitearvot!$I$2:$M$205,5,FALSE()),99),2,1)))))</f>
        <v/>
      </c>
      <c r="BF19" s="57" t="n"/>
      <c r="BG19" s="58">
        <f>IF(OR(BF19="",K19=""),"",(IF(D19="P",IF(K19&lt;=IFERROR(VLOOKUP(CONCATENATE("P",ROUND(BF19,0),"lin5m"),_viitearvot!$A:$H,4,FALSE()),99),5,IF(K19&lt;=IFERROR(VLOOKUP(CONCATENATE("P",ROUND(BF19,0),"lin5m"),_viitearvot!$A:$H,5,FALSE()),99),4,IF(K19&lt;=IFERROR(VLOOKUP(CONCATENATE("P",ROUND(BF19,0),"lin5m"),_viitearvot!$A:$H,6,FALSE()),99),3,IF(K19&lt;=IFERROR(VLOOKUP(CONCATENATE("P",ROUND(BF19,0),"lin5m"),_viitearvot!$A:$H,7,FALSE()),99),2,1)))),IF(K19&lt;=IFERROR(VLOOKUP(CONCATENATE("T",ROUND(BF19,0),"lin5m"),_viitearvot!$A:$H,4,FALSE()),99),5,IF(K19&lt;=IFERROR(VLOOKUP(CONCATENATE("T",ROUND(BF19,0),"lin5m"),_viitearvot!$A:$H,5,FALSE()),99),4,IF(K19&lt;=IFERROR(VLOOKUP(CONCATENATE("T",ROUND(BF19,0),"lin5m"),_viitearvot!$A:$H,6,FALSE()),99),3,IF(K19&lt;=IFERROR(VLOOKUP(CONCATENATE("T",ROUND(BF19,0),"lin5m"),_viitearvot!$A:$H,7,FALSE()),99),2,1))))))-L19)</f>
        <v/>
      </c>
      <c r="BH19" s="59" t="n"/>
    </row>
    <row r="20" ht="17" customHeight="1" s="22">
      <c r="A20" s="60" t="n"/>
      <c r="B20" s="60" t="n"/>
      <c r="C20" s="61" t="n"/>
      <c r="D20" s="60" t="n"/>
      <c r="E20" s="60" t="n"/>
      <c r="F20" s="60" t="n"/>
      <c r="G20" s="60" t="n"/>
      <c r="H20" s="62" t="n"/>
      <c r="I20" s="62" t="n"/>
      <c r="J20" s="62" t="n"/>
      <c r="K20" s="63">
        <f>IFERROR(MIN(H20,I20,J20),"")</f>
        <v/>
      </c>
      <c r="L20" s="64">
        <f>IF(OR(K20="",D20=""),"",IF(K20&lt;=IFERROR(VLOOKUP(CONCATENATE(D20,YEAR(TODAY())-YEAR(C20),"lin5m"),_viitearvot!$I$2:$M$205,2,FALSE()),99),5,IF(K20&lt;=IFERROR(VLOOKUP(CONCATENATE(D20,YEAR(TODAY())-YEAR(C20),"lin5m"),_viitearvot!$I$2:$M$205,3,FALSE()),99),4,IF(K20&lt;=IFERROR(VLOOKUP(CONCATENATE(D20,YEAR(TODAY())-YEAR(C20),"lin5m"),_viitearvot!$I$2:$M$205,4,FALSE()),99),3,IF(K20&lt;=IFERROR(VLOOKUP(CONCATENATE(D20,YEAR(TODAY())-YEAR(C20),"lin5m"),_viitearvot!$I$2:$M$205,5,FALSE()),99),2,1)))))</f>
        <v/>
      </c>
      <c r="M20" s="62" t="n"/>
      <c r="N20" s="62" t="n"/>
      <c r="O20" s="62" t="n"/>
      <c r="P20" s="63">
        <f>IFERROR(MIN(M20,N20,O20),"")</f>
        <v/>
      </c>
      <c r="Q20" s="64">
        <f>IF(OR(P20="",D20=""),"",IF(P20&lt;=IFERROR(VLOOKUP(CONCATENATE(D20,YEAR(TODAY())-YEAR(C20),"lin10m"),_viitearvot!$I$2:$M$205,2,FALSE()),99),5,IF(P20&lt;=IFERROR(VLOOKUP(CONCATENATE(D20,YEAR(TODAY())-YEAR(C20),"lin10m"),_viitearvot!$I$2:$M$205,3,FALSE()),99),4,IF(P20&lt;=IFERROR(VLOOKUP(CONCATENATE(D20,YEAR(TODAY())-YEAR(C20),"lin10m"),_viitearvot!$I$2:$M$205,4,FALSE()),99),3,IF(P20&lt;=IFERROR(VLOOKUP(CONCATENATE(D20,YEAR(TODAY())-YEAR(C20),"lin10m"),_viitearvot!$I$2:$M$205,5,FALSE()),99),2,1)))))</f>
        <v/>
      </c>
      <c r="R20" s="62" t="n"/>
      <c r="S20" s="62" t="n"/>
      <c r="T20" s="62" t="n"/>
      <c r="U20" s="63">
        <f>IFERROR(MIN(R20,S20,T20),"")</f>
        <v/>
      </c>
      <c r="V20" s="64">
        <f>IF(OR(U20="",D20=""),"",IF(U20&lt;=IFERROR(VLOOKUP(CONCATENATE(D20,YEAR(TODAY())-YEAR(C20),"lin20m"),_viitearvot!$I$2:$M$205,2,FALSE()),99),5,IF(U20&lt;=IFERROR(VLOOKUP(CONCATENATE(D20,YEAR(TODAY())-YEAR(C20),"lin20m"),_viitearvot!$I$2:$M$205,3,FALSE()),99),4,IF(U20&lt;=IFERROR(VLOOKUP(CONCATENATE(D20,YEAR(TODAY())-YEAR(C20),"lin20m"),_viitearvot!$I$2:$M$205,4,FALSE()),99),3,IF(U20&lt;=IFERROR(VLOOKUP(CONCATENATE(D20,YEAR(TODAY())-YEAR(C20),"lin20m"),_viitearvot!$I$2:$M$205,5,FALSE()),99),2,1)))))</f>
        <v/>
      </c>
      <c r="W20" s="62" t="n"/>
      <c r="X20" s="62" t="n"/>
      <c r="Y20" s="62" t="n"/>
      <c r="Z20" s="63">
        <f>IFERROR(MIN(W20,X20,Y20),"")</f>
        <v/>
      </c>
      <c r="AA20" s="64">
        <f>IF(OR(Z20="",D20=""),"",IF(Z20&lt;=IFERROR(VLOOKUP(CONCATENATE(D20,YEAR(TODAY())-YEAR(C20),"lin30m"),_viitearvot!$I$2:$M$205,2,FALSE()),99),5,IF(Z20&lt;=IFERROR(VLOOKUP(CONCATENATE(D20,YEAR(TODAY())-YEAR(C20),"lin30m"),_viitearvot!$I$2:$M$205,3,FALSE()),99),4,IF(Z20&lt;=IFERROR(VLOOKUP(CONCATENATE(D20,YEAR(TODAY())-YEAR(C20),"lin30m"),_viitearvot!$I$2:$M$205,4,FALSE()),99),3,IF(Z20&lt;=IFERROR(VLOOKUP(CONCATENATE(D20,YEAR(TODAY())-YEAR(C20),"lin30m"),_viitearvot!$I$2:$M$205,5,FALSE()),99),2,1)))))</f>
        <v/>
      </c>
      <c r="AB20" s="62" t="n"/>
      <c r="AC20" s="62" t="n"/>
      <c r="AD20" s="62" t="n"/>
      <c r="AE20" s="63">
        <f>IFERROR(MIN(AB20,AC20,AD20),"")</f>
        <v/>
      </c>
      <c r="AF20" s="64">
        <f>IF(OR(AE20="",D20=""),"",IF(AE20&lt;=IFERROR(VLOOKUP(CONCATENATE(D20,YEAR(TODAY())-YEAR(C20),"kasirata"),_viitearvot!$I$2:$M$205,2,FALSE()),99),5,IF(AE20&lt;=IFERROR(VLOOKUP(CONCATENATE(D20,YEAR(TODAY())-YEAR(C20),"kasirata"),_viitearvot!$I$2:$M$205,3,FALSE()),99),4,IF(AE20&lt;=IFERROR(VLOOKUP(CONCATENATE(D20,YEAR(TODAY())-YEAR(C20),"kasirata"),_viitearvot!$I$2:$M$205,4,FALSE()),99),3,IF(AE20&lt;=IFERROR(VLOOKUP(CONCATENATE(D20,YEAR(TODAY())-YEAR(C20),"kasirata"),_viitearvot!$I$2:$M$205,5,FALSE()),99),2,1)))))</f>
        <v/>
      </c>
      <c r="AG20" s="62" t="n"/>
      <c r="AH20" s="62" t="n"/>
      <c r="AI20" s="62" t="n"/>
      <c r="AJ20" s="63">
        <f>IFERROR(MIN(AG20,AH20,AI20),"")</f>
        <v/>
      </c>
      <c r="AK20" s="64">
        <f>IF(OR(AJ20="",D20=""),"",IF(AJ20&lt;=IFERROR(VLOOKUP(CONCATENATE(D20,YEAR(TODAY())-YEAR(C20),"smjuoksu"),_viitearvot!$I$2:$M$205,2,FALSE()),99),5,IF(AJ20&lt;=IFERROR(VLOOKUP(CONCATENATE(D20,YEAR(TODAY())-YEAR(C20),"smjuoksu"),_viitearvot!$I$2:$M$205,3,FALSE()),99),4,IF(AJ20&lt;=IFERROR(VLOOKUP(CONCATENATE(D20,YEAR(TODAY())-YEAR(C20),"smjuoksu"),_viitearvot!$I$2:$M$205,4,FALSE()),99),3,IF(AJ20&lt;=IFERROR(VLOOKUP(CONCATENATE(D20,YEAR(TODAY())-YEAR(C20),"smjuoksu"),_viitearvot!$I$2:$M$205,5,FALSE()),99),2,1)))))</f>
        <v/>
      </c>
      <c r="AL20" s="62" t="n"/>
      <c r="AM20" s="62" t="n"/>
      <c r="AN20" s="63">
        <f>IFERROR(MIN(AL20,AM20),"")</f>
        <v/>
      </c>
      <c r="AO20" s="64">
        <f>IF(OR(AN20="",D20=""),"",IF(AN20&lt;=IFERROR(VLOOKUP(CONCATENATE(D20,YEAR(TODAY())-YEAR(C20),"smpallo"),_viitearvot!$I$2:$M$205,2,FALSE()),99),5,IF(AN20&lt;=IFERROR(VLOOKUP(CONCATENATE(D20,YEAR(TODAY())-YEAR(C20),"smpallo"),_viitearvot!$I$2:$M$205,3,FALSE()),99),4,IF(AN20&lt;=IFERROR(VLOOKUP(CONCATENATE(D20,YEAR(TODAY())-YEAR(C20),"smpallo"),_viitearvot!$I$2:$M$205,4,FALSE()),99),3,IF(AN20&lt;=IFERROR(VLOOKUP(CONCATENATE(D20,YEAR(TODAY())-YEAR(C20),"smpallo"),_viitearvot!$I$2:$M$205,5,FALSE()),99),2,1)))))</f>
        <v/>
      </c>
      <c r="AP20" s="62" t="n"/>
      <c r="AQ20" s="62" t="n"/>
      <c r="AR20" s="62" t="n"/>
      <c r="AS20" s="63">
        <f>IFERROR(MAX(AP20,AQ20,AR20),"")</f>
        <v/>
      </c>
      <c r="AT20" s="64">
        <f>IF(OR(AS20="",D20=""),"",IF(AS20&gt;=IFERROR(VLOOKUP(CONCATENATE(D20,YEAR(TODAY())-YEAR(C20),"cmj"),_viitearvot!$I$2:$M$205,2,FALSE()),0),5,IF(AS20&gt;=IFERROR(VLOOKUP(CONCATENATE(D20,YEAR(TODAY())-YEAR(C20),"cmj"),_viitearvot!$I$2:$M$205,3,FALSE()),0),4,IF(AS20&gt;=IFERROR(VLOOKUP(CONCATENATE(D20,YEAR(TODAY())-YEAR(C20),"cmj"),_viitearvot!$I$2:$M$205,4,FALSE()),0),3,IF(AS20&gt;=IFERROR(VLOOKUP(CONCATENATE(D20,YEAR(TODAY())-YEAR(C20),"cmj"),_viitearvot!$I$2:$M$205,5,FALSE()),0),2,1)))))</f>
        <v/>
      </c>
      <c r="AU20" s="62" t="n"/>
      <c r="AV20" s="63">
        <f>IFERROR(MAX(AU20),"")</f>
        <v/>
      </c>
      <c r="AW20" s="64">
        <f>IF(OR(AV20="",D20=""),"",IF(AV20&gt;=IFERROR(VLOOKUP(CONCATENATE(D20,YEAR(TODAY())-YEAR(C20),"bronco"),_viitearvot!$I$2:$M$205,2,FALSE()),0),5,IF(AV20&gt;=IFERROR(VLOOKUP(CONCATENATE(D20,YEAR(TODAY())-YEAR(C20),"bronco"),_viitearvot!$I$2:$M$205,3,FALSE()),0),4,IF(AV20&gt;=IFERROR(VLOOKUP(CONCATENATE(D20,YEAR(TODAY())-YEAR(C20),"bronco"),_viitearvot!$I$2:$M$205,4,FALSE()),0),3,IF(AV20&gt;=IFERROR(VLOOKUP(CONCATENATE(D20,YEAR(TODAY())-YEAR(C20),"bronco"),_viitearvot!$I$2:$M$205,5,FALSE()),0),2,1)))))</f>
        <v/>
      </c>
      <c r="AX20" s="62" t="n"/>
      <c r="AY20" s="62" t="n"/>
      <c r="AZ20" s="63">
        <f>IFERROR(MIN(AX20,AY20),"")</f>
        <v/>
      </c>
      <c r="BA20" s="64">
        <f>IF(OR(AZ20="",D20=""),"",IF(AZ20&lt;=IFERROR(VLOOKUP(CONCATENATE(D20,YEAR(TODAY())-YEAR(C20),"pujottelu"),_viitearvot!$I$2:$M$205,2,FALSE()),99),5,IF(AZ20&lt;=IFERROR(VLOOKUP(CONCATENATE(D20,YEAR(TODAY())-YEAR(C20),"pujottelu"),_viitearvot!$I$2:$M$205,3,FALSE()),99),4,IF(AZ20&lt;=IFERROR(VLOOKUP(CONCATENATE(D20,YEAR(TODAY())-YEAR(C20),"pujottelu"),_viitearvot!$I$2:$M$205,4,FALSE()),99),3,IF(AZ20&lt;=IFERROR(VLOOKUP(CONCATENATE(D20,YEAR(TODAY())-YEAR(C20),"pujottelu"),_viitearvot!$I$2:$M$205,5,FALSE()),99),2,1)))))</f>
        <v/>
      </c>
      <c r="BB20" s="62" t="n"/>
      <c r="BC20" s="62" t="n"/>
      <c r="BD20" s="63">
        <f>IFERROR(MIN(BB20,BC20),"")</f>
        <v/>
      </c>
      <c r="BE20" s="64">
        <f>IF(OR(BD20="",D20=""),"",IF(BD20&lt;=IFERROR(VLOOKUP(CONCATENATE(D20,YEAR(TODAY())-YEAR(C20),"syotto"),_viitearvot!$I$2:$M$205,2,FALSE()),99),5,IF(BD20&lt;=IFERROR(VLOOKUP(CONCATENATE(D20,YEAR(TODAY())-YEAR(C20),"syotto"),_viitearvot!$I$2:$M$205,3,FALSE()),99),4,IF(BD20&lt;=IFERROR(VLOOKUP(CONCATENATE(D20,YEAR(TODAY())-YEAR(C20),"syotto"),_viitearvot!$I$2:$M$205,4,FALSE()),99),3,IF(BD20&lt;=IFERROR(VLOOKUP(CONCATENATE(D20,YEAR(TODAY())-YEAR(C20),"syotto"),_viitearvot!$I$2:$M$205,5,FALSE()),99),2,1)))))</f>
        <v/>
      </c>
      <c r="BF20" s="65" t="n"/>
      <c r="BG20" s="66">
        <f>IF(OR(BF20="",K20=""),"",(IF(D20="P",IF(K20&lt;=IFERROR(VLOOKUP(CONCATENATE("P",ROUND(BF20,0),"lin5m"),_viitearvot!$A:$H,4,FALSE()),99),5,IF(K20&lt;=IFERROR(VLOOKUP(CONCATENATE("P",ROUND(BF20,0),"lin5m"),_viitearvot!$A:$H,5,FALSE()),99),4,IF(K20&lt;=IFERROR(VLOOKUP(CONCATENATE("P",ROUND(BF20,0),"lin5m"),_viitearvot!$A:$H,6,FALSE()),99),3,IF(K20&lt;=IFERROR(VLOOKUP(CONCATENATE("P",ROUND(BF20,0),"lin5m"),_viitearvot!$A:$H,7,FALSE()),99),2,1)))),IF(K20&lt;=IFERROR(VLOOKUP(CONCATENATE("T",ROUND(BF20,0),"lin5m"),_viitearvot!$A:$H,4,FALSE()),99),5,IF(K20&lt;=IFERROR(VLOOKUP(CONCATENATE("T",ROUND(BF20,0),"lin5m"),_viitearvot!$A:$H,5,FALSE()),99),4,IF(K20&lt;=IFERROR(VLOOKUP(CONCATENATE("T",ROUND(BF20,0),"lin5m"),_viitearvot!$A:$H,6,FALSE()),99),3,IF(K20&lt;=IFERROR(VLOOKUP(CONCATENATE("T",ROUND(BF20,0),"lin5m"),_viitearvot!$A:$H,7,FALSE()),99),2,1))))))-L20)</f>
        <v/>
      </c>
      <c r="BH20" s="67" t="n"/>
    </row>
    <row r="21" ht="17" customHeight="1" s="22">
      <c r="A21" s="52" t="n"/>
      <c r="B21" s="52" t="n"/>
      <c r="C21" s="53" t="n"/>
      <c r="D21" s="52" t="n"/>
      <c r="E21" s="52" t="n"/>
      <c r="F21" s="52" t="n"/>
      <c r="G21" s="52" t="n"/>
      <c r="H21" s="54" t="n"/>
      <c r="I21" s="54" t="n"/>
      <c r="J21" s="54" t="n"/>
      <c r="K21" s="55">
        <f>IFERROR(MIN(H21,I21,J21),"")</f>
        <v/>
      </c>
      <c r="L21" s="56">
        <f>IF(OR(K21="",D21=""),"",IF(K21&lt;=IFERROR(VLOOKUP(CONCATENATE(D21,YEAR(TODAY())-YEAR(C21),"lin5m"),_viitearvot!$I$2:$M$205,2,FALSE()),99),5,IF(K21&lt;=IFERROR(VLOOKUP(CONCATENATE(D21,YEAR(TODAY())-YEAR(C21),"lin5m"),_viitearvot!$I$2:$M$205,3,FALSE()),99),4,IF(K21&lt;=IFERROR(VLOOKUP(CONCATENATE(D21,YEAR(TODAY())-YEAR(C21),"lin5m"),_viitearvot!$I$2:$M$205,4,FALSE()),99),3,IF(K21&lt;=IFERROR(VLOOKUP(CONCATENATE(D21,YEAR(TODAY())-YEAR(C21),"lin5m"),_viitearvot!$I$2:$M$205,5,FALSE()),99),2,1)))))</f>
        <v/>
      </c>
      <c r="M21" s="54" t="n"/>
      <c r="N21" s="54" t="n"/>
      <c r="O21" s="54" t="n"/>
      <c r="P21" s="55">
        <f>IFERROR(MIN(M21,N21,O21),"")</f>
        <v/>
      </c>
      <c r="Q21" s="56">
        <f>IF(OR(P21="",D21=""),"",IF(P21&lt;=IFERROR(VLOOKUP(CONCATENATE(D21,YEAR(TODAY())-YEAR(C21),"lin10m"),_viitearvot!$I$2:$M$205,2,FALSE()),99),5,IF(P21&lt;=IFERROR(VLOOKUP(CONCATENATE(D21,YEAR(TODAY())-YEAR(C21),"lin10m"),_viitearvot!$I$2:$M$205,3,FALSE()),99),4,IF(P21&lt;=IFERROR(VLOOKUP(CONCATENATE(D21,YEAR(TODAY())-YEAR(C21),"lin10m"),_viitearvot!$I$2:$M$205,4,FALSE()),99),3,IF(P21&lt;=IFERROR(VLOOKUP(CONCATENATE(D21,YEAR(TODAY())-YEAR(C21),"lin10m"),_viitearvot!$I$2:$M$205,5,FALSE()),99),2,1)))))</f>
        <v/>
      </c>
      <c r="R21" s="54" t="n"/>
      <c r="S21" s="54" t="n"/>
      <c r="T21" s="54" t="n"/>
      <c r="U21" s="55">
        <f>IFERROR(MIN(R21,S21,T21),"")</f>
        <v/>
      </c>
      <c r="V21" s="56">
        <f>IF(OR(U21="",D21=""),"",IF(U21&lt;=IFERROR(VLOOKUP(CONCATENATE(D21,YEAR(TODAY())-YEAR(C21),"lin20m"),_viitearvot!$I$2:$M$205,2,FALSE()),99),5,IF(U21&lt;=IFERROR(VLOOKUP(CONCATENATE(D21,YEAR(TODAY())-YEAR(C21),"lin20m"),_viitearvot!$I$2:$M$205,3,FALSE()),99),4,IF(U21&lt;=IFERROR(VLOOKUP(CONCATENATE(D21,YEAR(TODAY())-YEAR(C21),"lin20m"),_viitearvot!$I$2:$M$205,4,FALSE()),99),3,IF(U21&lt;=IFERROR(VLOOKUP(CONCATENATE(D21,YEAR(TODAY())-YEAR(C21),"lin20m"),_viitearvot!$I$2:$M$205,5,FALSE()),99),2,1)))))</f>
        <v/>
      </c>
      <c r="W21" s="54" t="n"/>
      <c r="X21" s="54" t="n"/>
      <c r="Y21" s="54" t="n"/>
      <c r="Z21" s="55">
        <f>IFERROR(MIN(W21,X21,Y21),"")</f>
        <v/>
      </c>
      <c r="AA21" s="56">
        <f>IF(OR(Z21="",D21=""),"",IF(Z21&lt;=IFERROR(VLOOKUP(CONCATENATE(D21,YEAR(TODAY())-YEAR(C21),"lin30m"),_viitearvot!$I$2:$M$205,2,FALSE()),99),5,IF(Z21&lt;=IFERROR(VLOOKUP(CONCATENATE(D21,YEAR(TODAY())-YEAR(C21),"lin30m"),_viitearvot!$I$2:$M$205,3,FALSE()),99),4,IF(Z21&lt;=IFERROR(VLOOKUP(CONCATENATE(D21,YEAR(TODAY())-YEAR(C21),"lin30m"),_viitearvot!$I$2:$M$205,4,FALSE()),99),3,IF(Z21&lt;=IFERROR(VLOOKUP(CONCATENATE(D21,YEAR(TODAY())-YEAR(C21),"lin30m"),_viitearvot!$I$2:$M$205,5,FALSE()),99),2,1)))))</f>
        <v/>
      </c>
      <c r="AB21" s="54" t="n"/>
      <c r="AC21" s="54" t="n"/>
      <c r="AD21" s="54" t="n"/>
      <c r="AE21" s="55">
        <f>IFERROR(MIN(AB21,AC21,AD21),"")</f>
        <v/>
      </c>
      <c r="AF21" s="56">
        <f>IF(OR(AE21="",D21=""),"",IF(AE21&lt;=IFERROR(VLOOKUP(CONCATENATE(D21,YEAR(TODAY())-YEAR(C21),"kasirata"),_viitearvot!$I$2:$M$205,2,FALSE()),99),5,IF(AE21&lt;=IFERROR(VLOOKUP(CONCATENATE(D21,YEAR(TODAY())-YEAR(C21),"kasirata"),_viitearvot!$I$2:$M$205,3,FALSE()),99),4,IF(AE21&lt;=IFERROR(VLOOKUP(CONCATENATE(D21,YEAR(TODAY())-YEAR(C21),"kasirata"),_viitearvot!$I$2:$M$205,4,FALSE()),99),3,IF(AE21&lt;=IFERROR(VLOOKUP(CONCATENATE(D21,YEAR(TODAY())-YEAR(C21),"kasirata"),_viitearvot!$I$2:$M$205,5,FALSE()),99),2,1)))))</f>
        <v/>
      </c>
      <c r="AG21" s="54" t="n"/>
      <c r="AH21" s="54" t="n"/>
      <c r="AI21" s="54" t="n"/>
      <c r="AJ21" s="55">
        <f>IFERROR(MIN(AG21,AH21,AI21),"")</f>
        <v/>
      </c>
      <c r="AK21" s="56">
        <f>IF(OR(AJ21="",D21=""),"",IF(AJ21&lt;=IFERROR(VLOOKUP(CONCATENATE(D21,YEAR(TODAY())-YEAR(C21),"smjuoksu"),_viitearvot!$I$2:$M$205,2,FALSE()),99),5,IF(AJ21&lt;=IFERROR(VLOOKUP(CONCATENATE(D21,YEAR(TODAY())-YEAR(C21),"smjuoksu"),_viitearvot!$I$2:$M$205,3,FALSE()),99),4,IF(AJ21&lt;=IFERROR(VLOOKUP(CONCATENATE(D21,YEAR(TODAY())-YEAR(C21),"smjuoksu"),_viitearvot!$I$2:$M$205,4,FALSE()),99),3,IF(AJ21&lt;=IFERROR(VLOOKUP(CONCATENATE(D21,YEAR(TODAY())-YEAR(C21),"smjuoksu"),_viitearvot!$I$2:$M$205,5,FALSE()),99),2,1)))))</f>
        <v/>
      </c>
      <c r="AL21" s="54" t="n"/>
      <c r="AM21" s="54" t="n"/>
      <c r="AN21" s="55">
        <f>IFERROR(MIN(AL21,AM21),"")</f>
        <v/>
      </c>
      <c r="AO21" s="56">
        <f>IF(OR(AN21="",D21=""),"",IF(AN21&lt;=IFERROR(VLOOKUP(CONCATENATE(D21,YEAR(TODAY())-YEAR(C21),"smpallo"),_viitearvot!$I$2:$M$205,2,FALSE()),99),5,IF(AN21&lt;=IFERROR(VLOOKUP(CONCATENATE(D21,YEAR(TODAY())-YEAR(C21),"smpallo"),_viitearvot!$I$2:$M$205,3,FALSE()),99),4,IF(AN21&lt;=IFERROR(VLOOKUP(CONCATENATE(D21,YEAR(TODAY())-YEAR(C21),"smpallo"),_viitearvot!$I$2:$M$205,4,FALSE()),99),3,IF(AN21&lt;=IFERROR(VLOOKUP(CONCATENATE(D21,YEAR(TODAY())-YEAR(C21),"smpallo"),_viitearvot!$I$2:$M$205,5,FALSE()),99),2,1)))))</f>
        <v/>
      </c>
      <c r="AP21" s="54" t="n"/>
      <c r="AQ21" s="54" t="n"/>
      <c r="AR21" s="54" t="n"/>
      <c r="AS21" s="55">
        <f>IFERROR(MAX(AP21,AQ21,AR21),"")</f>
        <v/>
      </c>
      <c r="AT21" s="56">
        <f>IF(OR(AS21="",D21=""),"",IF(AS21&gt;=IFERROR(VLOOKUP(CONCATENATE(D21,YEAR(TODAY())-YEAR(C21),"cmj"),_viitearvot!$I$2:$M$205,2,FALSE()),0),5,IF(AS21&gt;=IFERROR(VLOOKUP(CONCATENATE(D21,YEAR(TODAY())-YEAR(C21),"cmj"),_viitearvot!$I$2:$M$205,3,FALSE()),0),4,IF(AS21&gt;=IFERROR(VLOOKUP(CONCATENATE(D21,YEAR(TODAY())-YEAR(C21),"cmj"),_viitearvot!$I$2:$M$205,4,FALSE()),0),3,IF(AS21&gt;=IFERROR(VLOOKUP(CONCATENATE(D21,YEAR(TODAY())-YEAR(C21),"cmj"),_viitearvot!$I$2:$M$205,5,FALSE()),0),2,1)))))</f>
        <v/>
      </c>
      <c r="AU21" s="54" t="n"/>
      <c r="AV21" s="55">
        <f>IFERROR(MAX(AU21),"")</f>
        <v/>
      </c>
      <c r="AW21" s="56">
        <f>IF(OR(AV21="",D21=""),"",IF(AV21&gt;=IFERROR(VLOOKUP(CONCATENATE(D21,YEAR(TODAY())-YEAR(C21),"bronco"),_viitearvot!$I$2:$M$205,2,FALSE()),0),5,IF(AV21&gt;=IFERROR(VLOOKUP(CONCATENATE(D21,YEAR(TODAY())-YEAR(C21),"bronco"),_viitearvot!$I$2:$M$205,3,FALSE()),0),4,IF(AV21&gt;=IFERROR(VLOOKUP(CONCATENATE(D21,YEAR(TODAY())-YEAR(C21),"bronco"),_viitearvot!$I$2:$M$205,4,FALSE()),0),3,IF(AV21&gt;=IFERROR(VLOOKUP(CONCATENATE(D21,YEAR(TODAY())-YEAR(C21),"bronco"),_viitearvot!$I$2:$M$205,5,FALSE()),0),2,1)))))</f>
        <v/>
      </c>
      <c r="AX21" s="54" t="n"/>
      <c r="AY21" s="54" t="n"/>
      <c r="AZ21" s="55">
        <f>IFERROR(MIN(AX21,AY21),"")</f>
        <v/>
      </c>
      <c r="BA21" s="56">
        <f>IF(OR(AZ21="",D21=""),"",IF(AZ21&lt;=IFERROR(VLOOKUP(CONCATENATE(D21,YEAR(TODAY())-YEAR(C21),"pujottelu"),_viitearvot!$I$2:$M$205,2,FALSE()),99),5,IF(AZ21&lt;=IFERROR(VLOOKUP(CONCATENATE(D21,YEAR(TODAY())-YEAR(C21),"pujottelu"),_viitearvot!$I$2:$M$205,3,FALSE()),99),4,IF(AZ21&lt;=IFERROR(VLOOKUP(CONCATENATE(D21,YEAR(TODAY())-YEAR(C21),"pujottelu"),_viitearvot!$I$2:$M$205,4,FALSE()),99),3,IF(AZ21&lt;=IFERROR(VLOOKUP(CONCATENATE(D21,YEAR(TODAY())-YEAR(C21),"pujottelu"),_viitearvot!$I$2:$M$205,5,FALSE()),99),2,1)))))</f>
        <v/>
      </c>
      <c r="BB21" s="54" t="n"/>
      <c r="BC21" s="54" t="n"/>
      <c r="BD21" s="55">
        <f>IFERROR(MIN(BB21,BC21),"")</f>
        <v/>
      </c>
      <c r="BE21" s="56">
        <f>IF(OR(BD21="",D21=""),"",IF(BD21&lt;=IFERROR(VLOOKUP(CONCATENATE(D21,YEAR(TODAY())-YEAR(C21),"syotto"),_viitearvot!$I$2:$M$205,2,FALSE()),99),5,IF(BD21&lt;=IFERROR(VLOOKUP(CONCATENATE(D21,YEAR(TODAY())-YEAR(C21),"syotto"),_viitearvot!$I$2:$M$205,3,FALSE()),99),4,IF(BD21&lt;=IFERROR(VLOOKUP(CONCATENATE(D21,YEAR(TODAY())-YEAR(C21),"syotto"),_viitearvot!$I$2:$M$205,4,FALSE()),99),3,IF(BD21&lt;=IFERROR(VLOOKUP(CONCATENATE(D21,YEAR(TODAY())-YEAR(C21),"syotto"),_viitearvot!$I$2:$M$205,5,FALSE()),99),2,1)))))</f>
        <v/>
      </c>
      <c r="BF21" s="57" t="n"/>
      <c r="BG21" s="58">
        <f>IF(OR(BF21="",K21=""),"",(IF(D21="P",IF(K21&lt;=IFERROR(VLOOKUP(CONCATENATE("P",ROUND(BF21,0),"lin5m"),_viitearvot!$A:$H,4,FALSE()),99),5,IF(K21&lt;=IFERROR(VLOOKUP(CONCATENATE("P",ROUND(BF21,0),"lin5m"),_viitearvot!$A:$H,5,FALSE()),99),4,IF(K21&lt;=IFERROR(VLOOKUP(CONCATENATE("P",ROUND(BF21,0),"lin5m"),_viitearvot!$A:$H,6,FALSE()),99),3,IF(K21&lt;=IFERROR(VLOOKUP(CONCATENATE("P",ROUND(BF21,0),"lin5m"),_viitearvot!$A:$H,7,FALSE()),99),2,1)))),IF(K21&lt;=IFERROR(VLOOKUP(CONCATENATE("T",ROUND(BF21,0),"lin5m"),_viitearvot!$A:$H,4,FALSE()),99),5,IF(K21&lt;=IFERROR(VLOOKUP(CONCATENATE("T",ROUND(BF21,0),"lin5m"),_viitearvot!$A:$H,5,FALSE()),99),4,IF(K21&lt;=IFERROR(VLOOKUP(CONCATENATE("T",ROUND(BF21,0),"lin5m"),_viitearvot!$A:$H,6,FALSE()),99),3,IF(K21&lt;=IFERROR(VLOOKUP(CONCATENATE("T",ROUND(BF21,0),"lin5m"),_viitearvot!$A:$H,7,FALSE()),99),2,1))))))-L21)</f>
        <v/>
      </c>
      <c r="BH21" s="59" t="n"/>
    </row>
    <row r="22" ht="17" customHeight="1" s="22">
      <c r="A22" s="60" t="n"/>
      <c r="B22" s="60" t="n"/>
      <c r="C22" s="61" t="n"/>
      <c r="D22" s="60" t="n"/>
      <c r="E22" s="60" t="n"/>
      <c r="F22" s="60" t="n"/>
      <c r="G22" s="60" t="n"/>
      <c r="H22" s="62" t="n"/>
      <c r="I22" s="62" t="n"/>
      <c r="J22" s="62" t="n"/>
      <c r="K22" s="63">
        <f>IFERROR(MIN(H22,I22,J22),"")</f>
        <v/>
      </c>
      <c r="L22" s="64">
        <f>IF(OR(K22="",D22=""),"",IF(K22&lt;=IFERROR(VLOOKUP(CONCATENATE(D22,YEAR(TODAY())-YEAR(C22),"lin5m"),_viitearvot!$I$2:$M$205,2,FALSE()),99),5,IF(K22&lt;=IFERROR(VLOOKUP(CONCATENATE(D22,YEAR(TODAY())-YEAR(C22),"lin5m"),_viitearvot!$I$2:$M$205,3,FALSE()),99),4,IF(K22&lt;=IFERROR(VLOOKUP(CONCATENATE(D22,YEAR(TODAY())-YEAR(C22),"lin5m"),_viitearvot!$I$2:$M$205,4,FALSE()),99),3,IF(K22&lt;=IFERROR(VLOOKUP(CONCATENATE(D22,YEAR(TODAY())-YEAR(C22),"lin5m"),_viitearvot!$I$2:$M$205,5,FALSE()),99),2,1)))))</f>
        <v/>
      </c>
      <c r="M22" s="62" t="n"/>
      <c r="N22" s="62" t="n"/>
      <c r="O22" s="62" t="n"/>
      <c r="P22" s="63">
        <f>IFERROR(MIN(M22,N22,O22),"")</f>
        <v/>
      </c>
      <c r="Q22" s="64">
        <f>IF(OR(P22="",D22=""),"",IF(P22&lt;=IFERROR(VLOOKUP(CONCATENATE(D22,YEAR(TODAY())-YEAR(C22),"lin10m"),_viitearvot!$I$2:$M$205,2,FALSE()),99),5,IF(P22&lt;=IFERROR(VLOOKUP(CONCATENATE(D22,YEAR(TODAY())-YEAR(C22),"lin10m"),_viitearvot!$I$2:$M$205,3,FALSE()),99),4,IF(P22&lt;=IFERROR(VLOOKUP(CONCATENATE(D22,YEAR(TODAY())-YEAR(C22),"lin10m"),_viitearvot!$I$2:$M$205,4,FALSE()),99),3,IF(P22&lt;=IFERROR(VLOOKUP(CONCATENATE(D22,YEAR(TODAY())-YEAR(C22),"lin10m"),_viitearvot!$I$2:$M$205,5,FALSE()),99),2,1)))))</f>
        <v/>
      </c>
      <c r="R22" s="62" t="n"/>
      <c r="S22" s="62" t="n"/>
      <c r="T22" s="62" t="n"/>
      <c r="U22" s="63">
        <f>IFERROR(MIN(R22,S22,T22),"")</f>
        <v/>
      </c>
      <c r="V22" s="64">
        <f>IF(OR(U22="",D22=""),"",IF(U22&lt;=IFERROR(VLOOKUP(CONCATENATE(D22,YEAR(TODAY())-YEAR(C22),"lin20m"),_viitearvot!$I$2:$M$205,2,FALSE()),99),5,IF(U22&lt;=IFERROR(VLOOKUP(CONCATENATE(D22,YEAR(TODAY())-YEAR(C22),"lin20m"),_viitearvot!$I$2:$M$205,3,FALSE()),99),4,IF(U22&lt;=IFERROR(VLOOKUP(CONCATENATE(D22,YEAR(TODAY())-YEAR(C22),"lin20m"),_viitearvot!$I$2:$M$205,4,FALSE()),99),3,IF(U22&lt;=IFERROR(VLOOKUP(CONCATENATE(D22,YEAR(TODAY())-YEAR(C22),"lin20m"),_viitearvot!$I$2:$M$205,5,FALSE()),99),2,1)))))</f>
        <v/>
      </c>
      <c r="W22" s="62" t="n"/>
      <c r="X22" s="62" t="n"/>
      <c r="Y22" s="62" t="n"/>
      <c r="Z22" s="63">
        <f>IFERROR(MIN(W22,X22,Y22),"")</f>
        <v/>
      </c>
      <c r="AA22" s="64">
        <f>IF(OR(Z22="",D22=""),"",IF(Z22&lt;=IFERROR(VLOOKUP(CONCATENATE(D22,YEAR(TODAY())-YEAR(C22),"lin30m"),_viitearvot!$I$2:$M$205,2,FALSE()),99),5,IF(Z22&lt;=IFERROR(VLOOKUP(CONCATENATE(D22,YEAR(TODAY())-YEAR(C22),"lin30m"),_viitearvot!$I$2:$M$205,3,FALSE()),99),4,IF(Z22&lt;=IFERROR(VLOOKUP(CONCATENATE(D22,YEAR(TODAY())-YEAR(C22),"lin30m"),_viitearvot!$I$2:$M$205,4,FALSE()),99),3,IF(Z22&lt;=IFERROR(VLOOKUP(CONCATENATE(D22,YEAR(TODAY())-YEAR(C22),"lin30m"),_viitearvot!$I$2:$M$205,5,FALSE()),99),2,1)))))</f>
        <v/>
      </c>
      <c r="AB22" s="62" t="n"/>
      <c r="AC22" s="62" t="n"/>
      <c r="AD22" s="62" t="n"/>
      <c r="AE22" s="63">
        <f>IFERROR(MIN(AB22,AC22,AD22),"")</f>
        <v/>
      </c>
      <c r="AF22" s="64">
        <f>IF(OR(AE22="",D22=""),"",IF(AE22&lt;=IFERROR(VLOOKUP(CONCATENATE(D22,YEAR(TODAY())-YEAR(C22),"kasirata"),_viitearvot!$I$2:$M$205,2,FALSE()),99),5,IF(AE22&lt;=IFERROR(VLOOKUP(CONCATENATE(D22,YEAR(TODAY())-YEAR(C22),"kasirata"),_viitearvot!$I$2:$M$205,3,FALSE()),99),4,IF(AE22&lt;=IFERROR(VLOOKUP(CONCATENATE(D22,YEAR(TODAY())-YEAR(C22),"kasirata"),_viitearvot!$I$2:$M$205,4,FALSE()),99),3,IF(AE22&lt;=IFERROR(VLOOKUP(CONCATENATE(D22,YEAR(TODAY())-YEAR(C22),"kasirata"),_viitearvot!$I$2:$M$205,5,FALSE()),99),2,1)))))</f>
        <v/>
      </c>
      <c r="AG22" s="62" t="n"/>
      <c r="AH22" s="62" t="n"/>
      <c r="AI22" s="62" t="n"/>
      <c r="AJ22" s="63">
        <f>IFERROR(MIN(AG22,AH22,AI22),"")</f>
        <v/>
      </c>
      <c r="AK22" s="64">
        <f>IF(OR(AJ22="",D22=""),"",IF(AJ22&lt;=IFERROR(VLOOKUP(CONCATENATE(D22,YEAR(TODAY())-YEAR(C22),"smjuoksu"),_viitearvot!$I$2:$M$205,2,FALSE()),99),5,IF(AJ22&lt;=IFERROR(VLOOKUP(CONCATENATE(D22,YEAR(TODAY())-YEAR(C22),"smjuoksu"),_viitearvot!$I$2:$M$205,3,FALSE()),99),4,IF(AJ22&lt;=IFERROR(VLOOKUP(CONCATENATE(D22,YEAR(TODAY())-YEAR(C22),"smjuoksu"),_viitearvot!$I$2:$M$205,4,FALSE()),99),3,IF(AJ22&lt;=IFERROR(VLOOKUP(CONCATENATE(D22,YEAR(TODAY())-YEAR(C22),"smjuoksu"),_viitearvot!$I$2:$M$205,5,FALSE()),99),2,1)))))</f>
        <v/>
      </c>
      <c r="AL22" s="62" t="n"/>
      <c r="AM22" s="62" t="n"/>
      <c r="AN22" s="63">
        <f>IFERROR(MIN(AL22,AM22),"")</f>
        <v/>
      </c>
      <c r="AO22" s="64">
        <f>IF(OR(AN22="",D22=""),"",IF(AN22&lt;=IFERROR(VLOOKUP(CONCATENATE(D22,YEAR(TODAY())-YEAR(C22),"smpallo"),_viitearvot!$I$2:$M$205,2,FALSE()),99),5,IF(AN22&lt;=IFERROR(VLOOKUP(CONCATENATE(D22,YEAR(TODAY())-YEAR(C22),"smpallo"),_viitearvot!$I$2:$M$205,3,FALSE()),99),4,IF(AN22&lt;=IFERROR(VLOOKUP(CONCATENATE(D22,YEAR(TODAY())-YEAR(C22),"smpallo"),_viitearvot!$I$2:$M$205,4,FALSE()),99),3,IF(AN22&lt;=IFERROR(VLOOKUP(CONCATENATE(D22,YEAR(TODAY())-YEAR(C22),"smpallo"),_viitearvot!$I$2:$M$205,5,FALSE()),99),2,1)))))</f>
        <v/>
      </c>
      <c r="AP22" s="62" t="n"/>
      <c r="AQ22" s="62" t="n"/>
      <c r="AR22" s="62" t="n"/>
      <c r="AS22" s="63">
        <f>IFERROR(MAX(AP22,AQ22,AR22),"")</f>
        <v/>
      </c>
      <c r="AT22" s="64">
        <f>IF(OR(AS22="",D22=""),"",IF(AS22&gt;=IFERROR(VLOOKUP(CONCATENATE(D22,YEAR(TODAY())-YEAR(C22),"cmj"),_viitearvot!$I$2:$M$205,2,FALSE()),0),5,IF(AS22&gt;=IFERROR(VLOOKUP(CONCATENATE(D22,YEAR(TODAY())-YEAR(C22),"cmj"),_viitearvot!$I$2:$M$205,3,FALSE()),0),4,IF(AS22&gt;=IFERROR(VLOOKUP(CONCATENATE(D22,YEAR(TODAY())-YEAR(C22),"cmj"),_viitearvot!$I$2:$M$205,4,FALSE()),0),3,IF(AS22&gt;=IFERROR(VLOOKUP(CONCATENATE(D22,YEAR(TODAY())-YEAR(C22),"cmj"),_viitearvot!$I$2:$M$205,5,FALSE()),0),2,1)))))</f>
        <v/>
      </c>
      <c r="AU22" s="62" t="n"/>
      <c r="AV22" s="63">
        <f>IFERROR(MAX(AU22),"")</f>
        <v/>
      </c>
      <c r="AW22" s="64">
        <f>IF(OR(AV22="",D22=""),"",IF(AV22&gt;=IFERROR(VLOOKUP(CONCATENATE(D22,YEAR(TODAY())-YEAR(C22),"bronco"),_viitearvot!$I$2:$M$205,2,FALSE()),0),5,IF(AV22&gt;=IFERROR(VLOOKUP(CONCATENATE(D22,YEAR(TODAY())-YEAR(C22),"bronco"),_viitearvot!$I$2:$M$205,3,FALSE()),0),4,IF(AV22&gt;=IFERROR(VLOOKUP(CONCATENATE(D22,YEAR(TODAY())-YEAR(C22),"bronco"),_viitearvot!$I$2:$M$205,4,FALSE()),0),3,IF(AV22&gt;=IFERROR(VLOOKUP(CONCATENATE(D22,YEAR(TODAY())-YEAR(C22),"bronco"),_viitearvot!$I$2:$M$205,5,FALSE()),0),2,1)))))</f>
        <v/>
      </c>
      <c r="AX22" s="62" t="n"/>
      <c r="AY22" s="62" t="n"/>
      <c r="AZ22" s="63">
        <f>IFERROR(MIN(AX22,AY22),"")</f>
        <v/>
      </c>
      <c r="BA22" s="64">
        <f>IF(OR(AZ22="",D22=""),"",IF(AZ22&lt;=IFERROR(VLOOKUP(CONCATENATE(D22,YEAR(TODAY())-YEAR(C22),"pujottelu"),_viitearvot!$I$2:$M$205,2,FALSE()),99),5,IF(AZ22&lt;=IFERROR(VLOOKUP(CONCATENATE(D22,YEAR(TODAY())-YEAR(C22),"pujottelu"),_viitearvot!$I$2:$M$205,3,FALSE()),99),4,IF(AZ22&lt;=IFERROR(VLOOKUP(CONCATENATE(D22,YEAR(TODAY())-YEAR(C22),"pujottelu"),_viitearvot!$I$2:$M$205,4,FALSE()),99),3,IF(AZ22&lt;=IFERROR(VLOOKUP(CONCATENATE(D22,YEAR(TODAY())-YEAR(C22),"pujottelu"),_viitearvot!$I$2:$M$205,5,FALSE()),99),2,1)))))</f>
        <v/>
      </c>
      <c r="BB22" s="62" t="n"/>
      <c r="BC22" s="62" t="n"/>
      <c r="BD22" s="63">
        <f>IFERROR(MIN(BB22,BC22),"")</f>
        <v/>
      </c>
      <c r="BE22" s="64">
        <f>IF(OR(BD22="",D22=""),"",IF(BD22&lt;=IFERROR(VLOOKUP(CONCATENATE(D22,YEAR(TODAY())-YEAR(C22),"syotto"),_viitearvot!$I$2:$M$205,2,FALSE()),99),5,IF(BD22&lt;=IFERROR(VLOOKUP(CONCATENATE(D22,YEAR(TODAY())-YEAR(C22),"syotto"),_viitearvot!$I$2:$M$205,3,FALSE()),99),4,IF(BD22&lt;=IFERROR(VLOOKUP(CONCATENATE(D22,YEAR(TODAY())-YEAR(C22),"syotto"),_viitearvot!$I$2:$M$205,4,FALSE()),99),3,IF(BD22&lt;=IFERROR(VLOOKUP(CONCATENATE(D22,YEAR(TODAY())-YEAR(C22),"syotto"),_viitearvot!$I$2:$M$205,5,FALSE()),99),2,1)))))</f>
        <v/>
      </c>
      <c r="BF22" s="65" t="n"/>
      <c r="BG22" s="66">
        <f>IF(OR(BF22="",K22=""),"",(IF(D22="P",IF(K22&lt;=IFERROR(VLOOKUP(CONCATENATE("P",ROUND(BF22,0),"lin5m"),_viitearvot!$A:$H,4,FALSE()),99),5,IF(K22&lt;=IFERROR(VLOOKUP(CONCATENATE("P",ROUND(BF22,0),"lin5m"),_viitearvot!$A:$H,5,FALSE()),99),4,IF(K22&lt;=IFERROR(VLOOKUP(CONCATENATE("P",ROUND(BF22,0),"lin5m"),_viitearvot!$A:$H,6,FALSE()),99),3,IF(K22&lt;=IFERROR(VLOOKUP(CONCATENATE("P",ROUND(BF22,0),"lin5m"),_viitearvot!$A:$H,7,FALSE()),99),2,1)))),IF(K22&lt;=IFERROR(VLOOKUP(CONCATENATE("T",ROUND(BF22,0),"lin5m"),_viitearvot!$A:$H,4,FALSE()),99),5,IF(K22&lt;=IFERROR(VLOOKUP(CONCATENATE("T",ROUND(BF22,0),"lin5m"),_viitearvot!$A:$H,5,FALSE()),99),4,IF(K22&lt;=IFERROR(VLOOKUP(CONCATENATE("T",ROUND(BF22,0),"lin5m"),_viitearvot!$A:$H,6,FALSE()),99),3,IF(K22&lt;=IFERROR(VLOOKUP(CONCATENATE("T",ROUND(BF22,0),"lin5m"),_viitearvot!$A:$H,7,FALSE()),99),2,1))))))-L22)</f>
        <v/>
      </c>
      <c r="BH22" s="67" t="n"/>
    </row>
    <row r="23" ht="17" customHeight="1" s="22">
      <c r="A23" s="52" t="n"/>
      <c r="B23" s="52" t="n"/>
      <c r="C23" s="53" t="n"/>
      <c r="D23" s="52" t="n"/>
      <c r="E23" s="52" t="n"/>
      <c r="F23" s="52" t="n"/>
      <c r="G23" s="52" t="n"/>
      <c r="H23" s="54" t="n"/>
      <c r="I23" s="54" t="n"/>
      <c r="J23" s="54" t="n"/>
      <c r="K23" s="55">
        <f>IFERROR(MIN(H23,I23,J23),"")</f>
        <v/>
      </c>
      <c r="L23" s="56">
        <f>IF(OR(K23="",D23=""),"",IF(K23&lt;=IFERROR(VLOOKUP(CONCATENATE(D23,YEAR(TODAY())-YEAR(C23),"lin5m"),_viitearvot!$I$2:$M$205,2,FALSE()),99),5,IF(K23&lt;=IFERROR(VLOOKUP(CONCATENATE(D23,YEAR(TODAY())-YEAR(C23),"lin5m"),_viitearvot!$I$2:$M$205,3,FALSE()),99),4,IF(K23&lt;=IFERROR(VLOOKUP(CONCATENATE(D23,YEAR(TODAY())-YEAR(C23),"lin5m"),_viitearvot!$I$2:$M$205,4,FALSE()),99),3,IF(K23&lt;=IFERROR(VLOOKUP(CONCATENATE(D23,YEAR(TODAY())-YEAR(C23),"lin5m"),_viitearvot!$I$2:$M$205,5,FALSE()),99),2,1)))))</f>
        <v/>
      </c>
      <c r="M23" s="54" t="n"/>
      <c r="N23" s="54" t="n"/>
      <c r="O23" s="54" t="n"/>
      <c r="P23" s="55">
        <f>IFERROR(MIN(M23,N23,O23),"")</f>
        <v/>
      </c>
      <c r="Q23" s="56">
        <f>IF(OR(P23="",D23=""),"",IF(P23&lt;=IFERROR(VLOOKUP(CONCATENATE(D23,YEAR(TODAY())-YEAR(C23),"lin10m"),_viitearvot!$I$2:$M$205,2,FALSE()),99),5,IF(P23&lt;=IFERROR(VLOOKUP(CONCATENATE(D23,YEAR(TODAY())-YEAR(C23),"lin10m"),_viitearvot!$I$2:$M$205,3,FALSE()),99),4,IF(P23&lt;=IFERROR(VLOOKUP(CONCATENATE(D23,YEAR(TODAY())-YEAR(C23),"lin10m"),_viitearvot!$I$2:$M$205,4,FALSE()),99),3,IF(P23&lt;=IFERROR(VLOOKUP(CONCATENATE(D23,YEAR(TODAY())-YEAR(C23),"lin10m"),_viitearvot!$I$2:$M$205,5,FALSE()),99),2,1)))))</f>
        <v/>
      </c>
      <c r="R23" s="54" t="n"/>
      <c r="S23" s="54" t="n"/>
      <c r="T23" s="54" t="n"/>
      <c r="U23" s="55">
        <f>IFERROR(MIN(R23,S23,T23),"")</f>
        <v/>
      </c>
      <c r="V23" s="56">
        <f>IF(OR(U23="",D23=""),"",IF(U23&lt;=IFERROR(VLOOKUP(CONCATENATE(D23,YEAR(TODAY())-YEAR(C23),"lin20m"),_viitearvot!$I$2:$M$205,2,FALSE()),99),5,IF(U23&lt;=IFERROR(VLOOKUP(CONCATENATE(D23,YEAR(TODAY())-YEAR(C23),"lin20m"),_viitearvot!$I$2:$M$205,3,FALSE()),99),4,IF(U23&lt;=IFERROR(VLOOKUP(CONCATENATE(D23,YEAR(TODAY())-YEAR(C23),"lin20m"),_viitearvot!$I$2:$M$205,4,FALSE()),99),3,IF(U23&lt;=IFERROR(VLOOKUP(CONCATENATE(D23,YEAR(TODAY())-YEAR(C23),"lin20m"),_viitearvot!$I$2:$M$205,5,FALSE()),99),2,1)))))</f>
        <v/>
      </c>
      <c r="W23" s="54" t="n"/>
      <c r="X23" s="54" t="n"/>
      <c r="Y23" s="54" t="n"/>
      <c r="Z23" s="55">
        <f>IFERROR(MIN(W23,X23,Y23),"")</f>
        <v/>
      </c>
      <c r="AA23" s="56">
        <f>IF(OR(Z23="",D23=""),"",IF(Z23&lt;=IFERROR(VLOOKUP(CONCATENATE(D23,YEAR(TODAY())-YEAR(C23),"lin30m"),_viitearvot!$I$2:$M$205,2,FALSE()),99),5,IF(Z23&lt;=IFERROR(VLOOKUP(CONCATENATE(D23,YEAR(TODAY())-YEAR(C23),"lin30m"),_viitearvot!$I$2:$M$205,3,FALSE()),99),4,IF(Z23&lt;=IFERROR(VLOOKUP(CONCATENATE(D23,YEAR(TODAY())-YEAR(C23),"lin30m"),_viitearvot!$I$2:$M$205,4,FALSE()),99),3,IF(Z23&lt;=IFERROR(VLOOKUP(CONCATENATE(D23,YEAR(TODAY())-YEAR(C23),"lin30m"),_viitearvot!$I$2:$M$205,5,FALSE()),99),2,1)))))</f>
        <v/>
      </c>
      <c r="AB23" s="54" t="n"/>
      <c r="AC23" s="54" t="n"/>
      <c r="AD23" s="54" t="n"/>
      <c r="AE23" s="55">
        <f>IFERROR(MIN(AB23,AC23,AD23),"")</f>
        <v/>
      </c>
      <c r="AF23" s="56">
        <f>IF(OR(AE23="",D23=""),"",IF(AE23&lt;=IFERROR(VLOOKUP(CONCATENATE(D23,YEAR(TODAY())-YEAR(C23),"kasirata"),_viitearvot!$I$2:$M$205,2,FALSE()),99),5,IF(AE23&lt;=IFERROR(VLOOKUP(CONCATENATE(D23,YEAR(TODAY())-YEAR(C23),"kasirata"),_viitearvot!$I$2:$M$205,3,FALSE()),99),4,IF(AE23&lt;=IFERROR(VLOOKUP(CONCATENATE(D23,YEAR(TODAY())-YEAR(C23),"kasirata"),_viitearvot!$I$2:$M$205,4,FALSE()),99),3,IF(AE23&lt;=IFERROR(VLOOKUP(CONCATENATE(D23,YEAR(TODAY())-YEAR(C23),"kasirata"),_viitearvot!$I$2:$M$205,5,FALSE()),99),2,1)))))</f>
        <v/>
      </c>
      <c r="AG23" s="54" t="n"/>
      <c r="AH23" s="54" t="n"/>
      <c r="AI23" s="54" t="n"/>
      <c r="AJ23" s="55">
        <f>IFERROR(MIN(AG23,AH23,AI23),"")</f>
        <v/>
      </c>
      <c r="AK23" s="56">
        <f>IF(OR(AJ23="",D23=""),"",IF(AJ23&lt;=IFERROR(VLOOKUP(CONCATENATE(D23,YEAR(TODAY())-YEAR(C23),"smjuoksu"),_viitearvot!$I$2:$M$205,2,FALSE()),99),5,IF(AJ23&lt;=IFERROR(VLOOKUP(CONCATENATE(D23,YEAR(TODAY())-YEAR(C23),"smjuoksu"),_viitearvot!$I$2:$M$205,3,FALSE()),99),4,IF(AJ23&lt;=IFERROR(VLOOKUP(CONCATENATE(D23,YEAR(TODAY())-YEAR(C23),"smjuoksu"),_viitearvot!$I$2:$M$205,4,FALSE()),99),3,IF(AJ23&lt;=IFERROR(VLOOKUP(CONCATENATE(D23,YEAR(TODAY())-YEAR(C23),"smjuoksu"),_viitearvot!$I$2:$M$205,5,FALSE()),99),2,1)))))</f>
        <v/>
      </c>
      <c r="AL23" s="54" t="n"/>
      <c r="AM23" s="54" t="n"/>
      <c r="AN23" s="55">
        <f>IFERROR(MIN(AL23,AM23),"")</f>
        <v/>
      </c>
      <c r="AO23" s="56">
        <f>IF(OR(AN23="",D23=""),"",IF(AN23&lt;=IFERROR(VLOOKUP(CONCATENATE(D23,YEAR(TODAY())-YEAR(C23),"smpallo"),_viitearvot!$I$2:$M$205,2,FALSE()),99),5,IF(AN23&lt;=IFERROR(VLOOKUP(CONCATENATE(D23,YEAR(TODAY())-YEAR(C23),"smpallo"),_viitearvot!$I$2:$M$205,3,FALSE()),99),4,IF(AN23&lt;=IFERROR(VLOOKUP(CONCATENATE(D23,YEAR(TODAY())-YEAR(C23),"smpallo"),_viitearvot!$I$2:$M$205,4,FALSE()),99),3,IF(AN23&lt;=IFERROR(VLOOKUP(CONCATENATE(D23,YEAR(TODAY())-YEAR(C23),"smpallo"),_viitearvot!$I$2:$M$205,5,FALSE()),99),2,1)))))</f>
        <v/>
      </c>
      <c r="AP23" s="54" t="n"/>
      <c r="AQ23" s="54" t="n"/>
      <c r="AR23" s="54" t="n"/>
      <c r="AS23" s="55">
        <f>IFERROR(MAX(AP23,AQ23,AR23),"")</f>
        <v/>
      </c>
      <c r="AT23" s="56">
        <f>IF(OR(AS23="",D23=""),"",IF(AS23&gt;=IFERROR(VLOOKUP(CONCATENATE(D23,YEAR(TODAY())-YEAR(C23),"cmj"),_viitearvot!$I$2:$M$205,2,FALSE()),0),5,IF(AS23&gt;=IFERROR(VLOOKUP(CONCATENATE(D23,YEAR(TODAY())-YEAR(C23),"cmj"),_viitearvot!$I$2:$M$205,3,FALSE()),0),4,IF(AS23&gt;=IFERROR(VLOOKUP(CONCATENATE(D23,YEAR(TODAY())-YEAR(C23),"cmj"),_viitearvot!$I$2:$M$205,4,FALSE()),0),3,IF(AS23&gt;=IFERROR(VLOOKUP(CONCATENATE(D23,YEAR(TODAY())-YEAR(C23),"cmj"),_viitearvot!$I$2:$M$205,5,FALSE()),0),2,1)))))</f>
        <v/>
      </c>
      <c r="AU23" s="54" t="n"/>
      <c r="AV23" s="55">
        <f>IFERROR(MAX(AU23),"")</f>
        <v/>
      </c>
      <c r="AW23" s="56">
        <f>IF(OR(AV23="",D23=""),"",IF(AV23&gt;=IFERROR(VLOOKUP(CONCATENATE(D23,YEAR(TODAY())-YEAR(C23),"bronco"),_viitearvot!$I$2:$M$205,2,FALSE()),0),5,IF(AV23&gt;=IFERROR(VLOOKUP(CONCATENATE(D23,YEAR(TODAY())-YEAR(C23),"bronco"),_viitearvot!$I$2:$M$205,3,FALSE()),0),4,IF(AV23&gt;=IFERROR(VLOOKUP(CONCATENATE(D23,YEAR(TODAY())-YEAR(C23),"bronco"),_viitearvot!$I$2:$M$205,4,FALSE()),0),3,IF(AV23&gt;=IFERROR(VLOOKUP(CONCATENATE(D23,YEAR(TODAY())-YEAR(C23),"bronco"),_viitearvot!$I$2:$M$205,5,FALSE()),0),2,1)))))</f>
        <v/>
      </c>
      <c r="AX23" s="54" t="n"/>
      <c r="AY23" s="54" t="n"/>
      <c r="AZ23" s="55">
        <f>IFERROR(MIN(AX23,AY23),"")</f>
        <v/>
      </c>
      <c r="BA23" s="56">
        <f>IF(OR(AZ23="",D23=""),"",IF(AZ23&lt;=IFERROR(VLOOKUP(CONCATENATE(D23,YEAR(TODAY())-YEAR(C23),"pujottelu"),_viitearvot!$I$2:$M$205,2,FALSE()),99),5,IF(AZ23&lt;=IFERROR(VLOOKUP(CONCATENATE(D23,YEAR(TODAY())-YEAR(C23),"pujottelu"),_viitearvot!$I$2:$M$205,3,FALSE()),99),4,IF(AZ23&lt;=IFERROR(VLOOKUP(CONCATENATE(D23,YEAR(TODAY())-YEAR(C23),"pujottelu"),_viitearvot!$I$2:$M$205,4,FALSE()),99),3,IF(AZ23&lt;=IFERROR(VLOOKUP(CONCATENATE(D23,YEAR(TODAY())-YEAR(C23),"pujottelu"),_viitearvot!$I$2:$M$205,5,FALSE()),99),2,1)))))</f>
        <v/>
      </c>
      <c r="BB23" s="54" t="n"/>
      <c r="BC23" s="54" t="n"/>
      <c r="BD23" s="55">
        <f>IFERROR(MIN(BB23,BC23),"")</f>
        <v/>
      </c>
      <c r="BE23" s="56">
        <f>IF(OR(BD23="",D23=""),"",IF(BD23&lt;=IFERROR(VLOOKUP(CONCATENATE(D23,YEAR(TODAY())-YEAR(C23),"syotto"),_viitearvot!$I$2:$M$205,2,FALSE()),99),5,IF(BD23&lt;=IFERROR(VLOOKUP(CONCATENATE(D23,YEAR(TODAY())-YEAR(C23),"syotto"),_viitearvot!$I$2:$M$205,3,FALSE()),99),4,IF(BD23&lt;=IFERROR(VLOOKUP(CONCATENATE(D23,YEAR(TODAY())-YEAR(C23),"syotto"),_viitearvot!$I$2:$M$205,4,FALSE()),99),3,IF(BD23&lt;=IFERROR(VLOOKUP(CONCATENATE(D23,YEAR(TODAY())-YEAR(C23),"syotto"),_viitearvot!$I$2:$M$205,5,FALSE()),99),2,1)))))</f>
        <v/>
      </c>
      <c r="BF23" s="57" t="n"/>
      <c r="BG23" s="58">
        <f>IF(OR(BF23="",K23=""),"",(IF(D23="P",IF(K23&lt;=IFERROR(VLOOKUP(CONCATENATE("P",ROUND(BF23,0),"lin5m"),_viitearvot!$A:$H,4,FALSE()),99),5,IF(K23&lt;=IFERROR(VLOOKUP(CONCATENATE("P",ROUND(BF23,0),"lin5m"),_viitearvot!$A:$H,5,FALSE()),99),4,IF(K23&lt;=IFERROR(VLOOKUP(CONCATENATE("P",ROUND(BF23,0),"lin5m"),_viitearvot!$A:$H,6,FALSE()),99),3,IF(K23&lt;=IFERROR(VLOOKUP(CONCATENATE("P",ROUND(BF23,0),"lin5m"),_viitearvot!$A:$H,7,FALSE()),99),2,1)))),IF(K23&lt;=IFERROR(VLOOKUP(CONCATENATE("T",ROUND(BF23,0),"lin5m"),_viitearvot!$A:$H,4,FALSE()),99),5,IF(K23&lt;=IFERROR(VLOOKUP(CONCATENATE("T",ROUND(BF23,0),"lin5m"),_viitearvot!$A:$H,5,FALSE()),99),4,IF(K23&lt;=IFERROR(VLOOKUP(CONCATENATE("T",ROUND(BF23,0),"lin5m"),_viitearvot!$A:$H,6,FALSE()),99),3,IF(K23&lt;=IFERROR(VLOOKUP(CONCATENATE("T",ROUND(BF23,0),"lin5m"),_viitearvot!$A:$H,7,FALSE()),99),2,1))))))-L23)</f>
        <v/>
      </c>
      <c r="BH23" s="59" t="n"/>
    </row>
    <row r="24" ht="17" customHeight="1" s="22">
      <c r="A24" s="60" t="n"/>
      <c r="B24" s="60" t="n"/>
      <c r="C24" s="61" t="n"/>
      <c r="D24" s="60" t="n"/>
      <c r="E24" s="60" t="n"/>
      <c r="F24" s="60" t="n"/>
      <c r="G24" s="60" t="n"/>
      <c r="H24" s="62" t="n"/>
      <c r="I24" s="62" t="n"/>
      <c r="J24" s="62" t="n"/>
      <c r="K24" s="63">
        <f>IFERROR(MIN(H24,I24,J24),"")</f>
        <v/>
      </c>
      <c r="L24" s="64">
        <f>IF(OR(K24="",D24=""),"",IF(K24&lt;=IFERROR(VLOOKUP(CONCATENATE(D24,YEAR(TODAY())-YEAR(C24),"lin5m"),_viitearvot!$I$2:$M$205,2,FALSE()),99),5,IF(K24&lt;=IFERROR(VLOOKUP(CONCATENATE(D24,YEAR(TODAY())-YEAR(C24),"lin5m"),_viitearvot!$I$2:$M$205,3,FALSE()),99),4,IF(K24&lt;=IFERROR(VLOOKUP(CONCATENATE(D24,YEAR(TODAY())-YEAR(C24),"lin5m"),_viitearvot!$I$2:$M$205,4,FALSE()),99),3,IF(K24&lt;=IFERROR(VLOOKUP(CONCATENATE(D24,YEAR(TODAY())-YEAR(C24),"lin5m"),_viitearvot!$I$2:$M$205,5,FALSE()),99),2,1)))))</f>
        <v/>
      </c>
      <c r="M24" s="62" t="n"/>
      <c r="N24" s="62" t="n"/>
      <c r="O24" s="62" t="n"/>
      <c r="P24" s="63">
        <f>IFERROR(MIN(M24,N24,O24),"")</f>
        <v/>
      </c>
      <c r="Q24" s="64">
        <f>IF(OR(P24="",D24=""),"",IF(P24&lt;=IFERROR(VLOOKUP(CONCATENATE(D24,YEAR(TODAY())-YEAR(C24),"lin10m"),_viitearvot!$I$2:$M$205,2,FALSE()),99),5,IF(P24&lt;=IFERROR(VLOOKUP(CONCATENATE(D24,YEAR(TODAY())-YEAR(C24),"lin10m"),_viitearvot!$I$2:$M$205,3,FALSE()),99),4,IF(P24&lt;=IFERROR(VLOOKUP(CONCATENATE(D24,YEAR(TODAY())-YEAR(C24),"lin10m"),_viitearvot!$I$2:$M$205,4,FALSE()),99),3,IF(P24&lt;=IFERROR(VLOOKUP(CONCATENATE(D24,YEAR(TODAY())-YEAR(C24),"lin10m"),_viitearvot!$I$2:$M$205,5,FALSE()),99),2,1)))))</f>
        <v/>
      </c>
      <c r="R24" s="62" t="n"/>
      <c r="S24" s="62" t="n"/>
      <c r="T24" s="62" t="n"/>
      <c r="U24" s="63">
        <f>IFERROR(MIN(R24,S24,T24),"")</f>
        <v/>
      </c>
      <c r="V24" s="64">
        <f>IF(OR(U24="",D24=""),"",IF(U24&lt;=IFERROR(VLOOKUP(CONCATENATE(D24,YEAR(TODAY())-YEAR(C24),"lin20m"),_viitearvot!$I$2:$M$205,2,FALSE()),99),5,IF(U24&lt;=IFERROR(VLOOKUP(CONCATENATE(D24,YEAR(TODAY())-YEAR(C24),"lin20m"),_viitearvot!$I$2:$M$205,3,FALSE()),99),4,IF(U24&lt;=IFERROR(VLOOKUP(CONCATENATE(D24,YEAR(TODAY())-YEAR(C24),"lin20m"),_viitearvot!$I$2:$M$205,4,FALSE()),99),3,IF(U24&lt;=IFERROR(VLOOKUP(CONCATENATE(D24,YEAR(TODAY())-YEAR(C24),"lin20m"),_viitearvot!$I$2:$M$205,5,FALSE()),99),2,1)))))</f>
        <v/>
      </c>
      <c r="W24" s="62" t="n"/>
      <c r="X24" s="62" t="n"/>
      <c r="Y24" s="62" t="n"/>
      <c r="Z24" s="63">
        <f>IFERROR(MIN(W24,X24,Y24),"")</f>
        <v/>
      </c>
      <c r="AA24" s="64">
        <f>IF(OR(Z24="",D24=""),"",IF(Z24&lt;=IFERROR(VLOOKUP(CONCATENATE(D24,YEAR(TODAY())-YEAR(C24),"lin30m"),_viitearvot!$I$2:$M$205,2,FALSE()),99),5,IF(Z24&lt;=IFERROR(VLOOKUP(CONCATENATE(D24,YEAR(TODAY())-YEAR(C24),"lin30m"),_viitearvot!$I$2:$M$205,3,FALSE()),99),4,IF(Z24&lt;=IFERROR(VLOOKUP(CONCATENATE(D24,YEAR(TODAY())-YEAR(C24),"lin30m"),_viitearvot!$I$2:$M$205,4,FALSE()),99),3,IF(Z24&lt;=IFERROR(VLOOKUP(CONCATENATE(D24,YEAR(TODAY())-YEAR(C24),"lin30m"),_viitearvot!$I$2:$M$205,5,FALSE()),99),2,1)))))</f>
        <v/>
      </c>
      <c r="AB24" s="62" t="n"/>
      <c r="AC24" s="62" t="n"/>
      <c r="AD24" s="62" t="n"/>
      <c r="AE24" s="63">
        <f>IFERROR(MIN(AB24,AC24,AD24),"")</f>
        <v/>
      </c>
      <c r="AF24" s="64">
        <f>IF(OR(AE24="",D24=""),"",IF(AE24&lt;=IFERROR(VLOOKUP(CONCATENATE(D24,YEAR(TODAY())-YEAR(C24),"kasirata"),_viitearvot!$I$2:$M$205,2,FALSE()),99),5,IF(AE24&lt;=IFERROR(VLOOKUP(CONCATENATE(D24,YEAR(TODAY())-YEAR(C24),"kasirata"),_viitearvot!$I$2:$M$205,3,FALSE()),99),4,IF(AE24&lt;=IFERROR(VLOOKUP(CONCATENATE(D24,YEAR(TODAY())-YEAR(C24),"kasirata"),_viitearvot!$I$2:$M$205,4,FALSE()),99),3,IF(AE24&lt;=IFERROR(VLOOKUP(CONCATENATE(D24,YEAR(TODAY())-YEAR(C24),"kasirata"),_viitearvot!$I$2:$M$205,5,FALSE()),99),2,1)))))</f>
        <v/>
      </c>
      <c r="AG24" s="62" t="n"/>
      <c r="AH24" s="62" t="n"/>
      <c r="AI24" s="62" t="n"/>
      <c r="AJ24" s="63">
        <f>IFERROR(MIN(AG24,AH24,AI24),"")</f>
        <v/>
      </c>
      <c r="AK24" s="64">
        <f>IF(OR(AJ24="",D24=""),"",IF(AJ24&lt;=IFERROR(VLOOKUP(CONCATENATE(D24,YEAR(TODAY())-YEAR(C24),"smjuoksu"),_viitearvot!$I$2:$M$205,2,FALSE()),99),5,IF(AJ24&lt;=IFERROR(VLOOKUP(CONCATENATE(D24,YEAR(TODAY())-YEAR(C24),"smjuoksu"),_viitearvot!$I$2:$M$205,3,FALSE()),99),4,IF(AJ24&lt;=IFERROR(VLOOKUP(CONCATENATE(D24,YEAR(TODAY())-YEAR(C24),"smjuoksu"),_viitearvot!$I$2:$M$205,4,FALSE()),99),3,IF(AJ24&lt;=IFERROR(VLOOKUP(CONCATENATE(D24,YEAR(TODAY())-YEAR(C24),"smjuoksu"),_viitearvot!$I$2:$M$205,5,FALSE()),99),2,1)))))</f>
        <v/>
      </c>
      <c r="AL24" s="62" t="n"/>
      <c r="AM24" s="62" t="n"/>
      <c r="AN24" s="63">
        <f>IFERROR(MIN(AL24,AM24),"")</f>
        <v/>
      </c>
      <c r="AO24" s="64">
        <f>IF(OR(AN24="",D24=""),"",IF(AN24&lt;=IFERROR(VLOOKUP(CONCATENATE(D24,YEAR(TODAY())-YEAR(C24),"smpallo"),_viitearvot!$I$2:$M$205,2,FALSE()),99),5,IF(AN24&lt;=IFERROR(VLOOKUP(CONCATENATE(D24,YEAR(TODAY())-YEAR(C24),"smpallo"),_viitearvot!$I$2:$M$205,3,FALSE()),99),4,IF(AN24&lt;=IFERROR(VLOOKUP(CONCATENATE(D24,YEAR(TODAY())-YEAR(C24),"smpallo"),_viitearvot!$I$2:$M$205,4,FALSE()),99),3,IF(AN24&lt;=IFERROR(VLOOKUP(CONCATENATE(D24,YEAR(TODAY())-YEAR(C24),"smpallo"),_viitearvot!$I$2:$M$205,5,FALSE()),99),2,1)))))</f>
        <v/>
      </c>
      <c r="AP24" s="62" t="n"/>
      <c r="AQ24" s="62" t="n"/>
      <c r="AR24" s="62" t="n"/>
      <c r="AS24" s="63">
        <f>IFERROR(MAX(AP24,AQ24,AR24),"")</f>
        <v/>
      </c>
      <c r="AT24" s="64">
        <f>IF(OR(AS24="",D24=""),"",IF(AS24&gt;=IFERROR(VLOOKUP(CONCATENATE(D24,YEAR(TODAY())-YEAR(C24),"cmj"),_viitearvot!$I$2:$M$205,2,FALSE()),0),5,IF(AS24&gt;=IFERROR(VLOOKUP(CONCATENATE(D24,YEAR(TODAY())-YEAR(C24),"cmj"),_viitearvot!$I$2:$M$205,3,FALSE()),0),4,IF(AS24&gt;=IFERROR(VLOOKUP(CONCATENATE(D24,YEAR(TODAY())-YEAR(C24),"cmj"),_viitearvot!$I$2:$M$205,4,FALSE()),0),3,IF(AS24&gt;=IFERROR(VLOOKUP(CONCATENATE(D24,YEAR(TODAY())-YEAR(C24),"cmj"),_viitearvot!$I$2:$M$205,5,FALSE()),0),2,1)))))</f>
        <v/>
      </c>
      <c r="AU24" s="62" t="n"/>
      <c r="AV24" s="63">
        <f>IFERROR(MAX(AU24),"")</f>
        <v/>
      </c>
      <c r="AW24" s="64">
        <f>IF(OR(AV24="",D24=""),"",IF(AV24&gt;=IFERROR(VLOOKUP(CONCATENATE(D24,YEAR(TODAY())-YEAR(C24),"bronco"),_viitearvot!$I$2:$M$205,2,FALSE()),0),5,IF(AV24&gt;=IFERROR(VLOOKUP(CONCATENATE(D24,YEAR(TODAY())-YEAR(C24),"bronco"),_viitearvot!$I$2:$M$205,3,FALSE()),0),4,IF(AV24&gt;=IFERROR(VLOOKUP(CONCATENATE(D24,YEAR(TODAY())-YEAR(C24),"bronco"),_viitearvot!$I$2:$M$205,4,FALSE()),0),3,IF(AV24&gt;=IFERROR(VLOOKUP(CONCATENATE(D24,YEAR(TODAY())-YEAR(C24),"bronco"),_viitearvot!$I$2:$M$205,5,FALSE()),0),2,1)))))</f>
        <v/>
      </c>
      <c r="AX24" s="62" t="n"/>
      <c r="AY24" s="62" t="n"/>
      <c r="AZ24" s="63">
        <f>IFERROR(MIN(AX24,AY24),"")</f>
        <v/>
      </c>
      <c r="BA24" s="64">
        <f>IF(OR(AZ24="",D24=""),"",IF(AZ24&lt;=IFERROR(VLOOKUP(CONCATENATE(D24,YEAR(TODAY())-YEAR(C24),"pujottelu"),_viitearvot!$I$2:$M$205,2,FALSE()),99),5,IF(AZ24&lt;=IFERROR(VLOOKUP(CONCATENATE(D24,YEAR(TODAY())-YEAR(C24),"pujottelu"),_viitearvot!$I$2:$M$205,3,FALSE()),99),4,IF(AZ24&lt;=IFERROR(VLOOKUP(CONCATENATE(D24,YEAR(TODAY())-YEAR(C24),"pujottelu"),_viitearvot!$I$2:$M$205,4,FALSE()),99),3,IF(AZ24&lt;=IFERROR(VLOOKUP(CONCATENATE(D24,YEAR(TODAY())-YEAR(C24),"pujottelu"),_viitearvot!$I$2:$M$205,5,FALSE()),99),2,1)))))</f>
        <v/>
      </c>
      <c r="BB24" s="62" t="n"/>
      <c r="BC24" s="62" t="n"/>
      <c r="BD24" s="63">
        <f>IFERROR(MIN(BB24,BC24),"")</f>
        <v/>
      </c>
      <c r="BE24" s="64">
        <f>IF(OR(BD24="",D24=""),"",IF(BD24&lt;=IFERROR(VLOOKUP(CONCATENATE(D24,YEAR(TODAY())-YEAR(C24),"syotto"),_viitearvot!$I$2:$M$205,2,FALSE()),99),5,IF(BD24&lt;=IFERROR(VLOOKUP(CONCATENATE(D24,YEAR(TODAY())-YEAR(C24),"syotto"),_viitearvot!$I$2:$M$205,3,FALSE()),99),4,IF(BD24&lt;=IFERROR(VLOOKUP(CONCATENATE(D24,YEAR(TODAY())-YEAR(C24),"syotto"),_viitearvot!$I$2:$M$205,4,FALSE()),99),3,IF(BD24&lt;=IFERROR(VLOOKUP(CONCATENATE(D24,YEAR(TODAY())-YEAR(C24),"syotto"),_viitearvot!$I$2:$M$205,5,FALSE()),99),2,1)))))</f>
        <v/>
      </c>
      <c r="BF24" s="65" t="n"/>
      <c r="BG24" s="66">
        <f>IF(OR(BF24="",K24=""),"",(IF(D24="P",IF(K24&lt;=IFERROR(VLOOKUP(CONCATENATE("P",ROUND(BF24,0),"lin5m"),_viitearvot!$A:$H,4,FALSE()),99),5,IF(K24&lt;=IFERROR(VLOOKUP(CONCATENATE("P",ROUND(BF24,0),"lin5m"),_viitearvot!$A:$H,5,FALSE()),99),4,IF(K24&lt;=IFERROR(VLOOKUP(CONCATENATE("P",ROUND(BF24,0),"lin5m"),_viitearvot!$A:$H,6,FALSE()),99),3,IF(K24&lt;=IFERROR(VLOOKUP(CONCATENATE("P",ROUND(BF24,0),"lin5m"),_viitearvot!$A:$H,7,FALSE()),99),2,1)))),IF(K24&lt;=IFERROR(VLOOKUP(CONCATENATE("T",ROUND(BF24,0),"lin5m"),_viitearvot!$A:$H,4,FALSE()),99),5,IF(K24&lt;=IFERROR(VLOOKUP(CONCATENATE("T",ROUND(BF24,0),"lin5m"),_viitearvot!$A:$H,5,FALSE()),99),4,IF(K24&lt;=IFERROR(VLOOKUP(CONCATENATE("T",ROUND(BF24,0),"lin5m"),_viitearvot!$A:$H,6,FALSE()),99),3,IF(K24&lt;=IFERROR(VLOOKUP(CONCATENATE("T",ROUND(BF24,0),"lin5m"),_viitearvot!$A:$H,7,FALSE()),99),2,1))))))-L24)</f>
        <v/>
      </c>
      <c r="BH24" s="67" t="n"/>
    </row>
    <row r="25" ht="17" customHeight="1" s="22">
      <c r="A25" s="52" t="n"/>
      <c r="B25" s="52" t="n"/>
      <c r="C25" s="53" t="n"/>
      <c r="D25" s="52" t="n"/>
      <c r="E25" s="52" t="n"/>
      <c r="F25" s="52" t="n"/>
      <c r="G25" s="52" t="n"/>
      <c r="H25" s="54" t="n"/>
      <c r="I25" s="54" t="n"/>
      <c r="J25" s="54" t="n"/>
      <c r="K25" s="55">
        <f>IFERROR(MIN(H25,I25,J25),"")</f>
        <v/>
      </c>
      <c r="L25" s="56">
        <f>IF(OR(K25="",D25=""),"",IF(K25&lt;=IFERROR(VLOOKUP(CONCATENATE(D25,YEAR(TODAY())-YEAR(C25),"lin5m"),_viitearvot!$I$2:$M$205,2,FALSE()),99),5,IF(K25&lt;=IFERROR(VLOOKUP(CONCATENATE(D25,YEAR(TODAY())-YEAR(C25),"lin5m"),_viitearvot!$I$2:$M$205,3,FALSE()),99),4,IF(K25&lt;=IFERROR(VLOOKUP(CONCATENATE(D25,YEAR(TODAY())-YEAR(C25),"lin5m"),_viitearvot!$I$2:$M$205,4,FALSE()),99),3,IF(K25&lt;=IFERROR(VLOOKUP(CONCATENATE(D25,YEAR(TODAY())-YEAR(C25),"lin5m"),_viitearvot!$I$2:$M$205,5,FALSE()),99),2,1)))))</f>
        <v/>
      </c>
      <c r="M25" s="54" t="n"/>
      <c r="N25" s="54" t="n"/>
      <c r="O25" s="54" t="n"/>
      <c r="P25" s="55">
        <f>IFERROR(MIN(M25,N25,O25),"")</f>
        <v/>
      </c>
      <c r="Q25" s="56">
        <f>IF(OR(P25="",D25=""),"",IF(P25&lt;=IFERROR(VLOOKUP(CONCATENATE(D25,YEAR(TODAY())-YEAR(C25),"lin10m"),_viitearvot!$I$2:$M$205,2,FALSE()),99),5,IF(P25&lt;=IFERROR(VLOOKUP(CONCATENATE(D25,YEAR(TODAY())-YEAR(C25),"lin10m"),_viitearvot!$I$2:$M$205,3,FALSE()),99),4,IF(P25&lt;=IFERROR(VLOOKUP(CONCATENATE(D25,YEAR(TODAY())-YEAR(C25),"lin10m"),_viitearvot!$I$2:$M$205,4,FALSE()),99),3,IF(P25&lt;=IFERROR(VLOOKUP(CONCATENATE(D25,YEAR(TODAY())-YEAR(C25),"lin10m"),_viitearvot!$I$2:$M$205,5,FALSE()),99),2,1)))))</f>
        <v/>
      </c>
      <c r="R25" s="54" t="n"/>
      <c r="S25" s="54" t="n"/>
      <c r="T25" s="54" t="n"/>
      <c r="U25" s="55">
        <f>IFERROR(MIN(R25,S25,T25),"")</f>
        <v/>
      </c>
      <c r="V25" s="56">
        <f>IF(OR(U25="",D25=""),"",IF(U25&lt;=IFERROR(VLOOKUP(CONCATENATE(D25,YEAR(TODAY())-YEAR(C25),"lin20m"),_viitearvot!$I$2:$M$205,2,FALSE()),99),5,IF(U25&lt;=IFERROR(VLOOKUP(CONCATENATE(D25,YEAR(TODAY())-YEAR(C25),"lin20m"),_viitearvot!$I$2:$M$205,3,FALSE()),99),4,IF(U25&lt;=IFERROR(VLOOKUP(CONCATENATE(D25,YEAR(TODAY())-YEAR(C25),"lin20m"),_viitearvot!$I$2:$M$205,4,FALSE()),99),3,IF(U25&lt;=IFERROR(VLOOKUP(CONCATENATE(D25,YEAR(TODAY())-YEAR(C25),"lin20m"),_viitearvot!$I$2:$M$205,5,FALSE()),99),2,1)))))</f>
        <v/>
      </c>
      <c r="W25" s="54" t="n"/>
      <c r="X25" s="54" t="n"/>
      <c r="Y25" s="54" t="n"/>
      <c r="Z25" s="55">
        <f>IFERROR(MIN(W25,X25,Y25),"")</f>
        <v/>
      </c>
      <c r="AA25" s="56">
        <f>IF(OR(Z25="",D25=""),"",IF(Z25&lt;=IFERROR(VLOOKUP(CONCATENATE(D25,YEAR(TODAY())-YEAR(C25),"lin30m"),_viitearvot!$I$2:$M$205,2,FALSE()),99),5,IF(Z25&lt;=IFERROR(VLOOKUP(CONCATENATE(D25,YEAR(TODAY())-YEAR(C25),"lin30m"),_viitearvot!$I$2:$M$205,3,FALSE()),99),4,IF(Z25&lt;=IFERROR(VLOOKUP(CONCATENATE(D25,YEAR(TODAY())-YEAR(C25),"lin30m"),_viitearvot!$I$2:$M$205,4,FALSE()),99),3,IF(Z25&lt;=IFERROR(VLOOKUP(CONCATENATE(D25,YEAR(TODAY())-YEAR(C25),"lin30m"),_viitearvot!$I$2:$M$205,5,FALSE()),99),2,1)))))</f>
        <v/>
      </c>
      <c r="AB25" s="54" t="n"/>
      <c r="AC25" s="54" t="n"/>
      <c r="AD25" s="54" t="n"/>
      <c r="AE25" s="55">
        <f>IFERROR(MIN(AB25,AC25,AD25),"")</f>
        <v/>
      </c>
      <c r="AF25" s="56">
        <f>IF(OR(AE25="",D25=""),"",IF(AE25&lt;=IFERROR(VLOOKUP(CONCATENATE(D25,YEAR(TODAY())-YEAR(C25),"kasirata"),_viitearvot!$I$2:$M$205,2,FALSE()),99),5,IF(AE25&lt;=IFERROR(VLOOKUP(CONCATENATE(D25,YEAR(TODAY())-YEAR(C25),"kasirata"),_viitearvot!$I$2:$M$205,3,FALSE()),99),4,IF(AE25&lt;=IFERROR(VLOOKUP(CONCATENATE(D25,YEAR(TODAY())-YEAR(C25),"kasirata"),_viitearvot!$I$2:$M$205,4,FALSE()),99),3,IF(AE25&lt;=IFERROR(VLOOKUP(CONCATENATE(D25,YEAR(TODAY())-YEAR(C25),"kasirata"),_viitearvot!$I$2:$M$205,5,FALSE()),99),2,1)))))</f>
        <v/>
      </c>
      <c r="AG25" s="54" t="n"/>
      <c r="AH25" s="54" t="n"/>
      <c r="AI25" s="54" t="n"/>
      <c r="AJ25" s="55">
        <f>IFERROR(MIN(AG25,AH25,AI25),"")</f>
        <v/>
      </c>
      <c r="AK25" s="56">
        <f>IF(OR(AJ25="",D25=""),"",IF(AJ25&lt;=IFERROR(VLOOKUP(CONCATENATE(D25,YEAR(TODAY())-YEAR(C25),"smjuoksu"),_viitearvot!$I$2:$M$205,2,FALSE()),99),5,IF(AJ25&lt;=IFERROR(VLOOKUP(CONCATENATE(D25,YEAR(TODAY())-YEAR(C25),"smjuoksu"),_viitearvot!$I$2:$M$205,3,FALSE()),99),4,IF(AJ25&lt;=IFERROR(VLOOKUP(CONCATENATE(D25,YEAR(TODAY())-YEAR(C25),"smjuoksu"),_viitearvot!$I$2:$M$205,4,FALSE()),99),3,IF(AJ25&lt;=IFERROR(VLOOKUP(CONCATENATE(D25,YEAR(TODAY())-YEAR(C25),"smjuoksu"),_viitearvot!$I$2:$M$205,5,FALSE()),99),2,1)))))</f>
        <v/>
      </c>
      <c r="AL25" s="54" t="n"/>
      <c r="AM25" s="54" t="n"/>
      <c r="AN25" s="55">
        <f>IFERROR(MIN(AL25,AM25),"")</f>
        <v/>
      </c>
      <c r="AO25" s="56">
        <f>IF(OR(AN25="",D25=""),"",IF(AN25&lt;=IFERROR(VLOOKUP(CONCATENATE(D25,YEAR(TODAY())-YEAR(C25),"smpallo"),_viitearvot!$I$2:$M$205,2,FALSE()),99),5,IF(AN25&lt;=IFERROR(VLOOKUP(CONCATENATE(D25,YEAR(TODAY())-YEAR(C25),"smpallo"),_viitearvot!$I$2:$M$205,3,FALSE()),99),4,IF(AN25&lt;=IFERROR(VLOOKUP(CONCATENATE(D25,YEAR(TODAY())-YEAR(C25),"smpallo"),_viitearvot!$I$2:$M$205,4,FALSE()),99),3,IF(AN25&lt;=IFERROR(VLOOKUP(CONCATENATE(D25,YEAR(TODAY())-YEAR(C25),"smpallo"),_viitearvot!$I$2:$M$205,5,FALSE()),99),2,1)))))</f>
        <v/>
      </c>
      <c r="AP25" s="54" t="n"/>
      <c r="AQ25" s="54" t="n"/>
      <c r="AR25" s="54" t="n"/>
      <c r="AS25" s="55">
        <f>IFERROR(MAX(AP25,AQ25,AR25),"")</f>
        <v/>
      </c>
      <c r="AT25" s="56">
        <f>IF(OR(AS25="",D25=""),"",IF(AS25&gt;=IFERROR(VLOOKUP(CONCATENATE(D25,YEAR(TODAY())-YEAR(C25),"cmj"),_viitearvot!$I$2:$M$205,2,FALSE()),0),5,IF(AS25&gt;=IFERROR(VLOOKUP(CONCATENATE(D25,YEAR(TODAY())-YEAR(C25),"cmj"),_viitearvot!$I$2:$M$205,3,FALSE()),0),4,IF(AS25&gt;=IFERROR(VLOOKUP(CONCATENATE(D25,YEAR(TODAY())-YEAR(C25),"cmj"),_viitearvot!$I$2:$M$205,4,FALSE()),0),3,IF(AS25&gt;=IFERROR(VLOOKUP(CONCATENATE(D25,YEAR(TODAY())-YEAR(C25),"cmj"),_viitearvot!$I$2:$M$205,5,FALSE()),0),2,1)))))</f>
        <v/>
      </c>
      <c r="AU25" s="54" t="n"/>
      <c r="AV25" s="55">
        <f>IFERROR(MAX(AU25),"")</f>
        <v/>
      </c>
      <c r="AW25" s="56">
        <f>IF(OR(AV25="",D25=""),"",IF(AV25&gt;=IFERROR(VLOOKUP(CONCATENATE(D25,YEAR(TODAY())-YEAR(C25),"bronco"),_viitearvot!$I$2:$M$205,2,FALSE()),0),5,IF(AV25&gt;=IFERROR(VLOOKUP(CONCATENATE(D25,YEAR(TODAY())-YEAR(C25),"bronco"),_viitearvot!$I$2:$M$205,3,FALSE()),0),4,IF(AV25&gt;=IFERROR(VLOOKUP(CONCATENATE(D25,YEAR(TODAY())-YEAR(C25),"bronco"),_viitearvot!$I$2:$M$205,4,FALSE()),0),3,IF(AV25&gt;=IFERROR(VLOOKUP(CONCATENATE(D25,YEAR(TODAY())-YEAR(C25),"bronco"),_viitearvot!$I$2:$M$205,5,FALSE()),0),2,1)))))</f>
        <v/>
      </c>
      <c r="AX25" s="54" t="n"/>
      <c r="AY25" s="54" t="n"/>
      <c r="AZ25" s="55">
        <f>IFERROR(MIN(AX25,AY25),"")</f>
        <v/>
      </c>
      <c r="BA25" s="56">
        <f>IF(OR(AZ25="",D25=""),"",IF(AZ25&lt;=IFERROR(VLOOKUP(CONCATENATE(D25,YEAR(TODAY())-YEAR(C25),"pujottelu"),_viitearvot!$I$2:$M$205,2,FALSE()),99),5,IF(AZ25&lt;=IFERROR(VLOOKUP(CONCATENATE(D25,YEAR(TODAY())-YEAR(C25),"pujottelu"),_viitearvot!$I$2:$M$205,3,FALSE()),99),4,IF(AZ25&lt;=IFERROR(VLOOKUP(CONCATENATE(D25,YEAR(TODAY())-YEAR(C25),"pujottelu"),_viitearvot!$I$2:$M$205,4,FALSE()),99),3,IF(AZ25&lt;=IFERROR(VLOOKUP(CONCATENATE(D25,YEAR(TODAY())-YEAR(C25),"pujottelu"),_viitearvot!$I$2:$M$205,5,FALSE()),99),2,1)))))</f>
        <v/>
      </c>
      <c r="BB25" s="54" t="n"/>
      <c r="BC25" s="54" t="n"/>
      <c r="BD25" s="55">
        <f>IFERROR(MIN(BB25,BC25),"")</f>
        <v/>
      </c>
      <c r="BE25" s="56">
        <f>IF(OR(BD25="",D25=""),"",IF(BD25&lt;=IFERROR(VLOOKUP(CONCATENATE(D25,YEAR(TODAY())-YEAR(C25),"syotto"),_viitearvot!$I$2:$M$205,2,FALSE()),99),5,IF(BD25&lt;=IFERROR(VLOOKUP(CONCATENATE(D25,YEAR(TODAY())-YEAR(C25),"syotto"),_viitearvot!$I$2:$M$205,3,FALSE()),99),4,IF(BD25&lt;=IFERROR(VLOOKUP(CONCATENATE(D25,YEAR(TODAY())-YEAR(C25),"syotto"),_viitearvot!$I$2:$M$205,4,FALSE()),99),3,IF(BD25&lt;=IFERROR(VLOOKUP(CONCATENATE(D25,YEAR(TODAY())-YEAR(C25),"syotto"),_viitearvot!$I$2:$M$205,5,FALSE()),99),2,1)))))</f>
        <v/>
      </c>
      <c r="BF25" s="57" t="n"/>
      <c r="BG25" s="58">
        <f>IF(OR(BF25="",K25=""),"",(IF(D25="P",IF(K25&lt;=IFERROR(VLOOKUP(CONCATENATE("P",ROUND(BF25,0),"lin5m"),_viitearvot!$A:$H,4,FALSE()),99),5,IF(K25&lt;=IFERROR(VLOOKUP(CONCATENATE("P",ROUND(BF25,0),"lin5m"),_viitearvot!$A:$H,5,FALSE()),99),4,IF(K25&lt;=IFERROR(VLOOKUP(CONCATENATE("P",ROUND(BF25,0),"lin5m"),_viitearvot!$A:$H,6,FALSE()),99),3,IF(K25&lt;=IFERROR(VLOOKUP(CONCATENATE("P",ROUND(BF25,0),"lin5m"),_viitearvot!$A:$H,7,FALSE()),99),2,1)))),IF(K25&lt;=IFERROR(VLOOKUP(CONCATENATE("T",ROUND(BF25,0),"lin5m"),_viitearvot!$A:$H,4,FALSE()),99),5,IF(K25&lt;=IFERROR(VLOOKUP(CONCATENATE("T",ROUND(BF25,0),"lin5m"),_viitearvot!$A:$H,5,FALSE()),99),4,IF(K25&lt;=IFERROR(VLOOKUP(CONCATENATE("T",ROUND(BF25,0),"lin5m"),_viitearvot!$A:$H,6,FALSE()),99),3,IF(K25&lt;=IFERROR(VLOOKUP(CONCATENATE("T",ROUND(BF25,0),"lin5m"),_viitearvot!$A:$H,7,FALSE()),99),2,1))))))-L25)</f>
        <v/>
      </c>
      <c r="BH25" s="59" t="n"/>
    </row>
    <row r="26" ht="17" customHeight="1" s="22">
      <c r="A26" s="60" t="n"/>
      <c r="B26" s="60" t="n"/>
      <c r="C26" s="61" t="n"/>
      <c r="D26" s="60" t="n"/>
      <c r="E26" s="60" t="n"/>
      <c r="F26" s="60" t="n"/>
      <c r="G26" s="60" t="n"/>
      <c r="H26" s="62" t="n"/>
      <c r="I26" s="62" t="n"/>
      <c r="J26" s="62" t="n"/>
      <c r="K26" s="63">
        <f>IFERROR(MIN(H26,I26,J26),"")</f>
        <v/>
      </c>
      <c r="L26" s="64">
        <f>IF(OR(K26="",D26=""),"",IF(K26&lt;=IFERROR(VLOOKUP(CONCATENATE(D26,YEAR(TODAY())-YEAR(C26),"lin5m"),_viitearvot!$I$2:$M$205,2,FALSE()),99),5,IF(K26&lt;=IFERROR(VLOOKUP(CONCATENATE(D26,YEAR(TODAY())-YEAR(C26),"lin5m"),_viitearvot!$I$2:$M$205,3,FALSE()),99),4,IF(K26&lt;=IFERROR(VLOOKUP(CONCATENATE(D26,YEAR(TODAY())-YEAR(C26),"lin5m"),_viitearvot!$I$2:$M$205,4,FALSE()),99),3,IF(K26&lt;=IFERROR(VLOOKUP(CONCATENATE(D26,YEAR(TODAY())-YEAR(C26),"lin5m"),_viitearvot!$I$2:$M$205,5,FALSE()),99),2,1)))))</f>
        <v/>
      </c>
      <c r="M26" s="62" t="n"/>
      <c r="N26" s="62" t="n"/>
      <c r="O26" s="62" t="n"/>
      <c r="P26" s="63">
        <f>IFERROR(MIN(M26,N26,O26),"")</f>
        <v/>
      </c>
      <c r="Q26" s="64">
        <f>IF(OR(P26="",D26=""),"",IF(P26&lt;=IFERROR(VLOOKUP(CONCATENATE(D26,YEAR(TODAY())-YEAR(C26),"lin10m"),_viitearvot!$I$2:$M$205,2,FALSE()),99),5,IF(P26&lt;=IFERROR(VLOOKUP(CONCATENATE(D26,YEAR(TODAY())-YEAR(C26),"lin10m"),_viitearvot!$I$2:$M$205,3,FALSE()),99),4,IF(P26&lt;=IFERROR(VLOOKUP(CONCATENATE(D26,YEAR(TODAY())-YEAR(C26),"lin10m"),_viitearvot!$I$2:$M$205,4,FALSE()),99),3,IF(P26&lt;=IFERROR(VLOOKUP(CONCATENATE(D26,YEAR(TODAY())-YEAR(C26),"lin10m"),_viitearvot!$I$2:$M$205,5,FALSE()),99),2,1)))))</f>
        <v/>
      </c>
      <c r="R26" s="62" t="n"/>
      <c r="S26" s="62" t="n"/>
      <c r="T26" s="62" t="n"/>
      <c r="U26" s="63">
        <f>IFERROR(MIN(R26,S26,T26),"")</f>
        <v/>
      </c>
      <c r="V26" s="64">
        <f>IF(OR(U26="",D26=""),"",IF(U26&lt;=IFERROR(VLOOKUP(CONCATENATE(D26,YEAR(TODAY())-YEAR(C26),"lin20m"),_viitearvot!$I$2:$M$205,2,FALSE()),99),5,IF(U26&lt;=IFERROR(VLOOKUP(CONCATENATE(D26,YEAR(TODAY())-YEAR(C26),"lin20m"),_viitearvot!$I$2:$M$205,3,FALSE()),99),4,IF(U26&lt;=IFERROR(VLOOKUP(CONCATENATE(D26,YEAR(TODAY())-YEAR(C26),"lin20m"),_viitearvot!$I$2:$M$205,4,FALSE()),99),3,IF(U26&lt;=IFERROR(VLOOKUP(CONCATENATE(D26,YEAR(TODAY())-YEAR(C26),"lin20m"),_viitearvot!$I$2:$M$205,5,FALSE()),99),2,1)))))</f>
        <v/>
      </c>
      <c r="W26" s="62" t="n"/>
      <c r="X26" s="62" t="n"/>
      <c r="Y26" s="62" t="n"/>
      <c r="Z26" s="63">
        <f>IFERROR(MIN(W26,X26,Y26),"")</f>
        <v/>
      </c>
      <c r="AA26" s="64">
        <f>IF(OR(Z26="",D26=""),"",IF(Z26&lt;=IFERROR(VLOOKUP(CONCATENATE(D26,YEAR(TODAY())-YEAR(C26),"lin30m"),_viitearvot!$I$2:$M$205,2,FALSE()),99),5,IF(Z26&lt;=IFERROR(VLOOKUP(CONCATENATE(D26,YEAR(TODAY())-YEAR(C26),"lin30m"),_viitearvot!$I$2:$M$205,3,FALSE()),99),4,IF(Z26&lt;=IFERROR(VLOOKUP(CONCATENATE(D26,YEAR(TODAY())-YEAR(C26),"lin30m"),_viitearvot!$I$2:$M$205,4,FALSE()),99),3,IF(Z26&lt;=IFERROR(VLOOKUP(CONCATENATE(D26,YEAR(TODAY())-YEAR(C26),"lin30m"),_viitearvot!$I$2:$M$205,5,FALSE()),99),2,1)))))</f>
        <v/>
      </c>
      <c r="AB26" s="62" t="n"/>
      <c r="AC26" s="62" t="n"/>
      <c r="AD26" s="62" t="n"/>
      <c r="AE26" s="63">
        <f>IFERROR(MIN(AB26,AC26,AD26),"")</f>
        <v/>
      </c>
      <c r="AF26" s="64">
        <f>IF(OR(AE26="",D26=""),"",IF(AE26&lt;=IFERROR(VLOOKUP(CONCATENATE(D26,YEAR(TODAY())-YEAR(C26),"kasirata"),_viitearvot!$I$2:$M$205,2,FALSE()),99),5,IF(AE26&lt;=IFERROR(VLOOKUP(CONCATENATE(D26,YEAR(TODAY())-YEAR(C26),"kasirata"),_viitearvot!$I$2:$M$205,3,FALSE()),99),4,IF(AE26&lt;=IFERROR(VLOOKUP(CONCATENATE(D26,YEAR(TODAY())-YEAR(C26),"kasirata"),_viitearvot!$I$2:$M$205,4,FALSE()),99),3,IF(AE26&lt;=IFERROR(VLOOKUP(CONCATENATE(D26,YEAR(TODAY())-YEAR(C26),"kasirata"),_viitearvot!$I$2:$M$205,5,FALSE()),99),2,1)))))</f>
        <v/>
      </c>
      <c r="AG26" s="62" t="n"/>
      <c r="AH26" s="62" t="n"/>
      <c r="AI26" s="62" t="n"/>
      <c r="AJ26" s="63">
        <f>IFERROR(MIN(AG26,AH26,AI26),"")</f>
        <v/>
      </c>
      <c r="AK26" s="64">
        <f>IF(OR(AJ26="",D26=""),"",IF(AJ26&lt;=IFERROR(VLOOKUP(CONCATENATE(D26,YEAR(TODAY())-YEAR(C26),"smjuoksu"),_viitearvot!$I$2:$M$205,2,FALSE()),99),5,IF(AJ26&lt;=IFERROR(VLOOKUP(CONCATENATE(D26,YEAR(TODAY())-YEAR(C26),"smjuoksu"),_viitearvot!$I$2:$M$205,3,FALSE()),99),4,IF(AJ26&lt;=IFERROR(VLOOKUP(CONCATENATE(D26,YEAR(TODAY())-YEAR(C26),"smjuoksu"),_viitearvot!$I$2:$M$205,4,FALSE()),99),3,IF(AJ26&lt;=IFERROR(VLOOKUP(CONCATENATE(D26,YEAR(TODAY())-YEAR(C26),"smjuoksu"),_viitearvot!$I$2:$M$205,5,FALSE()),99),2,1)))))</f>
        <v/>
      </c>
      <c r="AL26" s="62" t="n"/>
      <c r="AM26" s="62" t="n"/>
      <c r="AN26" s="63">
        <f>IFERROR(MIN(AL26,AM26),"")</f>
        <v/>
      </c>
      <c r="AO26" s="64">
        <f>IF(OR(AN26="",D26=""),"",IF(AN26&lt;=IFERROR(VLOOKUP(CONCATENATE(D26,YEAR(TODAY())-YEAR(C26),"smpallo"),_viitearvot!$I$2:$M$205,2,FALSE()),99),5,IF(AN26&lt;=IFERROR(VLOOKUP(CONCATENATE(D26,YEAR(TODAY())-YEAR(C26),"smpallo"),_viitearvot!$I$2:$M$205,3,FALSE()),99),4,IF(AN26&lt;=IFERROR(VLOOKUP(CONCATENATE(D26,YEAR(TODAY())-YEAR(C26),"smpallo"),_viitearvot!$I$2:$M$205,4,FALSE()),99),3,IF(AN26&lt;=IFERROR(VLOOKUP(CONCATENATE(D26,YEAR(TODAY())-YEAR(C26),"smpallo"),_viitearvot!$I$2:$M$205,5,FALSE()),99),2,1)))))</f>
        <v/>
      </c>
      <c r="AP26" s="62" t="n"/>
      <c r="AQ26" s="62" t="n"/>
      <c r="AR26" s="62" t="n"/>
      <c r="AS26" s="63">
        <f>IFERROR(MAX(AP26,AQ26,AR26),"")</f>
        <v/>
      </c>
      <c r="AT26" s="64">
        <f>IF(OR(AS26="",D26=""),"",IF(AS26&gt;=IFERROR(VLOOKUP(CONCATENATE(D26,YEAR(TODAY())-YEAR(C26),"cmj"),_viitearvot!$I$2:$M$205,2,FALSE()),0),5,IF(AS26&gt;=IFERROR(VLOOKUP(CONCATENATE(D26,YEAR(TODAY())-YEAR(C26),"cmj"),_viitearvot!$I$2:$M$205,3,FALSE()),0),4,IF(AS26&gt;=IFERROR(VLOOKUP(CONCATENATE(D26,YEAR(TODAY())-YEAR(C26),"cmj"),_viitearvot!$I$2:$M$205,4,FALSE()),0),3,IF(AS26&gt;=IFERROR(VLOOKUP(CONCATENATE(D26,YEAR(TODAY())-YEAR(C26),"cmj"),_viitearvot!$I$2:$M$205,5,FALSE()),0),2,1)))))</f>
        <v/>
      </c>
      <c r="AU26" s="62" t="n"/>
      <c r="AV26" s="63">
        <f>IFERROR(MAX(AU26),"")</f>
        <v/>
      </c>
      <c r="AW26" s="64">
        <f>IF(OR(AV26="",D26=""),"",IF(AV26&gt;=IFERROR(VLOOKUP(CONCATENATE(D26,YEAR(TODAY())-YEAR(C26),"bronco"),_viitearvot!$I$2:$M$205,2,FALSE()),0),5,IF(AV26&gt;=IFERROR(VLOOKUP(CONCATENATE(D26,YEAR(TODAY())-YEAR(C26),"bronco"),_viitearvot!$I$2:$M$205,3,FALSE()),0),4,IF(AV26&gt;=IFERROR(VLOOKUP(CONCATENATE(D26,YEAR(TODAY())-YEAR(C26),"bronco"),_viitearvot!$I$2:$M$205,4,FALSE()),0),3,IF(AV26&gt;=IFERROR(VLOOKUP(CONCATENATE(D26,YEAR(TODAY())-YEAR(C26),"bronco"),_viitearvot!$I$2:$M$205,5,FALSE()),0),2,1)))))</f>
        <v/>
      </c>
      <c r="AX26" s="62" t="n"/>
      <c r="AY26" s="62" t="n"/>
      <c r="AZ26" s="63">
        <f>IFERROR(MIN(AX26,AY26),"")</f>
        <v/>
      </c>
      <c r="BA26" s="64">
        <f>IF(OR(AZ26="",D26=""),"",IF(AZ26&lt;=IFERROR(VLOOKUP(CONCATENATE(D26,YEAR(TODAY())-YEAR(C26),"pujottelu"),_viitearvot!$I$2:$M$205,2,FALSE()),99),5,IF(AZ26&lt;=IFERROR(VLOOKUP(CONCATENATE(D26,YEAR(TODAY())-YEAR(C26),"pujottelu"),_viitearvot!$I$2:$M$205,3,FALSE()),99),4,IF(AZ26&lt;=IFERROR(VLOOKUP(CONCATENATE(D26,YEAR(TODAY())-YEAR(C26),"pujottelu"),_viitearvot!$I$2:$M$205,4,FALSE()),99),3,IF(AZ26&lt;=IFERROR(VLOOKUP(CONCATENATE(D26,YEAR(TODAY())-YEAR(C26),"pujottelu"),_viitearvot!$I$2:$M$205,5,FALSE()),99),2,1)))))</f>
        <v/>
      </c>
      <c r="BB26" s="62" t="n"/>
      <c r="BC26" s="62" t="n"/>
      <c r="BD26" s="63">
        <f>IFERROR(MIN(BB26,BC26),"")</f>
        <v/>
      </c>
      <c r="BE26" s="64">
        <f>IF(OR(BD26="",D26=""),"",IF(BD26&lt;=IFERROR(VLOOKUP(CONCATENATE(D26,YEAR(TODAY())-YEAR(C26),"syotto"),_viitearvot!$I$2:$M$205,2,FALSE()),99),5,IF(BD26&lt;=IFERROR(VLOOKUP(CONCATENATE(D26,YEAR(TODAY())-YEAR(C26),"syotto"),_viitearvot!$I$2:$M$205,3,FALSE()),99),4,IF(BD26&lt;=IFERROR(VLOOKUP(CONCATENATE(D26,YEAR(TODAY())-YEAR(C26),"syotto"),_viitearvot!$I$2:$M$205,4,FALSE()),99),3,IF(BD26&lt;=IFERROR(VLOOKUP(CONCATENATE(D26,YEAR(TODAY())-YEAR(C26),"syotto"),_viitearvot!$I$2:$M$205,5,FALSE()),99),2,1)))))</f>
        <v/>
      </c>
      <c r="BF26" s="65" t="n"/>
      <c r="BG26" s="66">
        <f>IF(OR(BF26="",K26=""),"",(IF(D26="P",IF(K26&lt;=IFERROR(VLOOKUP(CONCATENATE("P",ROUND(BF26,0),"lin5m"),_viitearvot!$A:$H,4,FALSE()),99),5,IF(K26&lt;=IFERROR(VLOOKUP(CONCATENATE("P",ROUND(BF26,0),"lin5m"),_viitearvot!$A:$H,5,FALSE()),99),4,IF(K26&lt;=IFERROR(VLOOKUP(CONCATENATE("P",ROUND(BF26,0),"lin5m"),_viitearvot!$A:$H,6,FALSE()),99),3,IF(K26&lt;=IFERROR(VLOOKUP(CONCATENATE("P",ROUND(BF26,0),"lin5m"),_viitearvot!$A:$H,7,FALSE()),99),2,1)))),IF(K26&lt;=IFERROR(VLOOKUP(CONCATENATE("T",ROUND(BF26,0),"lin5m"),_viitearvot!$A:$H,4,FALSE()),99),5,IF(K26&lt;=IFERROR(VLOOKUP(CONCATENATE("T",ROUND(BF26,0),"lin5m"),_viitearvot!$A:$H,5,FALSE()),99),4,IF(K26&lt;=IFERROR(VLOOKUP(CONCATENATE("T",ROUND(BF26,0),"lin5m"),_viitearvot!$A:$H,6,FALSE()),99),3,IF(K26&lt;=IFERROR(VLOOKUP(CONCATENATE("T",ROUND(BF26,0),"lin5m"),_viitearvot!$A:$H,7,FALSE()),99),2,1))))))-L26)</f>
        <v/>
      </c>
      <c r="BH26" s="67" t="n"/>
    </row>
    <row r="27" ht="17" customHeight="1" s="22">
      <c r="A27" s="52" t="n"/>
      <c r="B27" s="52" t="n"/>
      <c r="C27" s="53" t="n"/>
      <c r="D27" s="52" t="n"/>
      <c r="E27" s="52" t="n"/>
      <c r="F27" s="52" t="n"/>
      <c r="G27" s="52" t="n"/>
      <c r="H27" s="54" t="n"/>
      <c r="I27" s="54" t="n"/>
      <c r="J27" s="54" t="n"/>
      <c r="K27" s="55">
        <f>IFERROR(MIN(H27,I27,J27),"")</f>
        <v/>
      </c>
      <c r="L27" s="56">
        <f>IF(OR(K27="",D27=""),"",IF(K27&lt;=IFERROR(VLOOKUP(CONCATENATE(D27,YEAR(TODAY())-YEAR(C27),"lin5m"),_viitearvot!$I$2:$M$205,2,FALSE()),99),5,IF(K27&lt;=IFERROR(VLOOKUP(CONCATENATE(D27,YEAR(TODAY())-YEAR(C27),"lin5m"),_viitearvot!$I$2:$M$205,3,FALSE()),99),4,IF(K27&lt;=IFERROR(VLOOKUP(CONCATENATE(D27,YEAR(TODAY())-YEAR(C27),"lin5m"),_viitearvot!$I$2:$M$205,4,FALSE()),99),3,IF(K27&lt;=IFERROR(VLOOKUP(CONCATENATE(D27,YEAR(TODAY())-YEAR(C27),"lin5m"),_viitearvot!$I$2:$M$205,5,FALSE()),99),2,1)))))</f>
        <v/>
      </c>
      <c r="M27" s="54" t="n"/>
      <c r="N27" s="54" t="n"/>
      <c r="O27" s="54" t="n"/>
      <c r="P27" s="55">
        <f>IFERROR(MIN(M27,N27,O27),"")</f>
        <v/>
      </c>
      <c r="Q27" s="56">
        <f>IF(OR(P27="",D27=""),"",IF(P27&lt;=IFERROR(VLOOKUP(CONCATENATE(D27,YEAR(TODAY())-YEAR(C27),"lin10m"),_viitearvot!$I$2:$M$205,2,FALSE()),99),5,IF(P27&lt;=IFERROR(VLOOKUP(CONCATENATE(D27,YEAR(TODAY())-YEAR(C27),"lin10m"),_viitearvot!$I$2:$M$205,3,FALSE()),99),4,IF(P27&lt;=IFERROR(VLOOKUP(CONCATENATE(D27,YEAR(TODAY())-YEAR(C27),"lin10m"),_viitearvot!$I$2:$M$205,4,FALSE()),99),3,IF(P27&lt;=IFERROR(VLOOKUP(CONCATENATE(D27,YEAR(TODAY())-YEAR(C27),"lin10m"),_viitearvot!$I$2:$M$205,5,FALSE()),99),2,1)))))</f>
        <v/>
      </c>
      <c r="R27" s="54" t="n"/>
      <c r="S27" s="54" t="n"/>
      <c r="T27" s="54" t="n"/>
      <c r="U27" s="55">
        <f>IFERROR(MIN(R27,S27,T27),"")</f>
        <v/>
      </c>
      <c r="V27" s="56">
        <f>IF(OR(U27="",D27=""),"",IF(U27&lt;=IFERROR(VLOOKUP(CONCATENATE(D27,YEAR(TODAY())-YEAR(C27),"lin20m"),_viitearvot!$I$2:$M$205,2,FALSE()),99),5,IF(U27&lt;=IFERROR(VLOOKUP(CONCATENATE(D27,YEAR(TODAY())-YEAR(C27),"lin20m"),_viitearvot!$I$2:$M$205,3,FALSE()),99),4,IF(U27&lt;=IFERROR(VLOOKUP(CONCATENATE(D27,YEAR(TODAY())-YEAR(C27),"lin20m"),_viitearvot!$I$2:$M$205,4,FALSE()),99),3,IF(U27&lt;=IFERROR(VLOOKUP(CONCATENATE(D27,YEAR(TODAY())-YEAR(C27),"lin20m"),_viitearvot!$I$2:$M$205,5,FALSE()),99),2,1)))))</f>
        <v/>
      </c>
      <c r="W27" s="54" t="n"/>
      <c r="X27" s="54" t="n"/>
      <c r="Y27" s="54" t="n"/>
      <c r="Z27" s="55">
        <f>IFERROR(MIN(W27,X27,Y27),"")</f>
        <v/>
      </c>
      <c r="AA27" s="56">
        <f>IF(OR(Z27="",D27=""),"",IF(Z27&lt;=IFERROR(VLOOKUP(CONCATENATE(D27,YEAR(TODAY())-YEAR(C27),"lin30m"),_viitearvot!$I$2:$M$205,2,FALSE()),99),5,IF(Z27&lt;=IFERROR(VLOOKUP(CONCATENATE(D27,YEAR(TODAY())-YEAR(C27),"lin30m"),_viitearvot!$I$2:$M$205,3,FALSE()),99),4,IF(Z27&lt;=IFERROR(VLOOKUP(CONCATENATE(D27,YEAR(TODAY())-YEAR(C27),"lin30m"),_viitearvot!$I$2:$M$205,4,FALSE()),99),3,IF(Z27&lt;=IFERROR(VLOOKUP(CONCATENATE(D27,YEAR(TODAY())-YEAR(C27),"lin30m"),_viitearvot!$I$2:$M$205,5,FALSE()),99),2,1)))))</f>
        <v/>
      </c>
      <c r="AB27" s="54" t="n"/>
      <c r="AC27" s="54" t="n"/>
      <c r="AD27" s="54" t="n"/>
      <c r="AE27" s="55">
        <f>IFERROR(MIN(AB27,AC27,AD27),"")</f>
        <v/>
      </c>
      <c r="AF27" s="56">
        <f>IF(OR(AE27="",D27=""),"",IF(AE27&lt;=IFERROR(VLOOKUP(CONCATENATE(D27,YEAR(TODAY())-YEAR(C27),"kasirata"),_viitearvot!$I$2:$M$205,2,FALSE()),99),5,IF(AE27&lt;=IFERROR(VLOOKUP(CONCATENATE(D27,YEAR(TODAY())-YEAR(C27),"kasirata"),_viitearvot!$I$2:$M$205,3,FALSE()),99),4,IF(AE27&lt;=IFERROR(VLOOKUP(CONCATENATE(D27,YEAR(TODAY())-YEAR(C27),"kasirata"),_viitearvot!$I$2:$M$205,4,FALSE()),99),3,IF(AE27&lt;=IFERROR(VLOOKUP(CONCATENATE(D27,YEAR(TODAY())-YEAR(C27),"kasirata"),_viitearvot!$I$2:$M$205,5,FALSE()),99),2,1)))))</f>
        <v/>
      </c>
      <c r="AG27" s="54" t="n"/>
      <c r="AH27" s="54" t="n"/>
      <c r="AI27" s="54" t="n"/>
      <c r="AJ27" s="55">
        <f>IFERROR(MIN(AG27,AH27,AI27),"")</f>
        <v/>
      </c>
      <c r="AK27" s="56">
        <f>IF(OR(AJ27="",D27=""),"",IF(AJ27&lt;=IFERROR(VLOOKUP(CONCATENATE(D27,YEAR(TODAY())-YEAR(C27),"smjuoksu"),_viitearvot!$I$2:$M$205,2,FALSE()),99),5,IF(AJ27&lt;=IFERROR(VLOOKUP(CONCATENATE(D27,YEAR(TODAY())-YEAR(C27),"smjuoksu"),_viitearvot!$I$2:$M$205,3,FALSE()),99),4,IF(AJ27&lt;=IFERROR(VLOOKUP(CONCATENATE(D27,YEAR(TODAY())-YEAR(C27),"smjuoksu"),_viitearvot!$I$2:$M$205,4,FALSE()),99),3,IF(AJ27&lt;=IFERROR(VLOOKUP(CONCATENATE(D27,YEAR(TODAY())-YEAR(C27),"smjuoksu"),_viitearvot!$I$2:$M$205,5,FALSE()),99),2,1)))))</f>
        <v/>
      </c>
      <c r="AL27" s="54" t="n"/>
      <c r="AM27" s="54" t="n"/>
      <c r="AN27" s="55">
        <f>IFERROR(MIN(AL27,AM27),"")</f>
        <v/>
      </c>
      <c r="AO27" s="56">
        <f>IF(OR(AN27="",D27=""),"",IF(AN27&lt;=IFERROR(VLOOKUP(CONCATENATE(D27,YEAR(TODAY())-YEAR(C27),"smpallo"),_viitearvot!$I$2:$M$205,2,FALSE()),99),5,IF(AN27&lt;=IFERROR(VLOOKUP(CONCATENATE(D27,YEAR(TODAY())-YEAR(C27),"smpallo"),_viitearvot!$I$2:$M$205,3,FALSE()),99),4,IF(AN27&lt;=IFERROR(VLOOKUP(CONCATENATE(D27,YEAR(TODAY())-YEAR(C27),"smpallo"),_viitearvot!$I$2:$M$205,4,FALSE()),99),3,IF(AN27&lt;=IFERROR(VLOOKUP(CONCATENATE(D27,YEAR(TODAY())-YEAR(C27),"smpallo"),_viitearvot!$I$2:$M$205,5,FALSE()),99),2,1)))))</f>
        <v/>
      </c>
      <c r="AP27" s="54" t="n"/>
      <c r="AQ27" s="54" t="n"/>
      <c r="AR27" s="54" t="n"/>
      <c r="AS27" s="55">
        <f>IFERROR(MAX(AP27,AQ27,AR27),"")</f>
        <v/>
      </c>
      <c r="AT27" s="56">
        <f>IF(OR(AS27="",D27=""),"",IF(AS27&gt;=IFERROR(VLOOKUP(CONCATENATE(D27,YEAR(TODAY())-YEAR(C27),"cmj"),_viitearvot!$I$2:$M$205,2,FALSE()),0),5,IF(AS27&gt;=IFERROR(VLOOKUP(CONCATENATE(D27,YEAR(TODAY())-YEAR(C27),"cmj"),_viitearvot!$I$2:$M$205,3,FALSE()),0),4,IF(AS27&gt;=IFERROR(VLOOKUP(CONCATENATE(D27,YEAR(TODAY())-YEAR(C27),"cmj"),_viitearvot!$I$2:$M$205,4,FALSE()),0),3,IF(AS27&gt;=IFERROR(VLOOKUP(CONCATENATE(D27,YEAR(TODAY())-YEAR(C27),"cmj"),_viitearvot!$I$2:$M$205,5,FALSE()),0),2,1)))))</f>
        <v/>
      </c>
      <c r="AU27" s="54" t="n"/>
      <c r="AV27" s="55">
        <f>IFERROR(MAX(AU27),"")</f>
        <v/>
      </c>
      <c r="AW27" s="56">
        <f>IF(OR(AV27="",D27=""),"",IF(AV27&gt;=IFERROR(VLOOKUP(CONCATENATE(D27,YEAR(TODAY())-YEAR(C27),"bronco"),_viitearvot!$I$2:$M$205,2,FALSE()),0),5,IF(AV27&gt;=IFERROR(VLOOKUP(CONCATENATE(D27,YEAR(TODAY())-YEAR(C27),"bronco"),_viitearvot!$I$2:$M$205,3,FALSE()),0),4,IF(AV27&gt;=IFERROR(VLOOKUP(CONCATENATE(D27,YEAR(TODAY())-YEAR(C27),"bronco"),_viitearvot!$I$2:$M$205,4,FALSE()),0),3,IF(AV27&gt;=IFERROR(VLOOKUP(CONCATENATE(D27,YEAR(TODAY())-YEAR(C27),"bronco"),_viitearvot!$I$2:$M$205,5,FALSE()),0),2,1)))))</f>
        <v/>
      </c>
      <c r="AX27" s="54" t="n"/>
      <c r="AY27" s="54" t="n"/>
      <c r="AZ27" s="55">
        <f>IFERROR(MIN(AX27,AY27),"")</f>
        <v/>
      </c>
      <c r="BA27" s="56">
        <f>IF(OR(AZ27="",D27=""),"",IF(AZ27&lt;=IFERROR(VLOOKUP(CONCATENATE(D27,YEAR(TODAY())-YEAR(C27),"pujottelu"),_viitearvot!$I$2:$M$205,2,FALSE()),99),5,IF(AZ27&lt;=IFERROR(VLOOKUP(CONCATENATE(D27,YEAR(TODAY())-YEAR(C27),"pujottelu"),_viitearvot!$I$2:$M$205,3,FALSE()),99),4,IF(AZ27&lt;=IFERROR(VLOOKUP(CONCATENATE(D27,YEAR(TODAY())-YEAR(C27),"pujottelu"),_viitearvot!$I$2:$M$205,4,FALSE()),99),3,IF(AZ27&lt;=IFERROR(VLOOKUP(CONCATENATE(D27,YEAR(TODAY())-YEAR(C27),"pujottelu"),_viitearvot!$I$2:$M$205,5,FALSE()),99),2,1)))))</f>
        <v/>
      </c>
      <c r="BB27" s="54" t="n"/>
      <c r="BC27" s="54" t="n"/>
      <c r="BD27" s="55">
        <f>IFERROR(MIN(BB27,BC27),"")</f>
        <v/>
      </c>
      <c r="BE27" s="56">
        <f>IF(OR(BD27="",D27=""),"",IF(BD27&lt;=IFERROR(VLOOKUP(CONCATENATE(D27,YEAR(TODAY())-YEAR(C27),"syotto"),_viitearvot!$I$2:$M$205,2,FALSE()),99),5,IF(BD27&lt;=IFERROR(VLOOKUP(CONCATENATE(D27,YEAR(TODAY())-YEAR(C27),"syotto"),_viitearvot!$I$2:$M$205,3,FALSE()),99),4,IF(BD27&lt;=IFERROR(VLOOKUP(CONCATENATE(D27,YEAR(TODAY())-YEAR(C27),"syotto"),_viitearvot!$I$2:$M$205,4,FALSE()),99),3,IF(BD27&lt;=IFERROR(VLOOKUP(CONCATENATE(D27,YEAR(TODAY())-YEAR(C27),"syotto"),_viitearvot!$I$2:$M$205,5,FALSE()),99),2,1)))))</f>
        <v/>
      </c>
      <c r="BF27" s="57" t="n"/>
      <c r="BG27" s="58">
        <f>IF(OR(BF27="",K27=""),"",(IF(D27="P",IF(K27&lt;=IFERROR(VLOOKUP(CONCATENATE("P",ROUND(BF27,0),"lin5m"),_viitearvot!$A:$H,4,FALSE()),99),5,IF(K27&lt;=IFERROR(VLOOKUP(CONCATENATE("P",ROUND(BF27,0),"lin5m"),_viitearvot!$A:$H,5,FALSE()),99),4,IF(K27&lt;=IFERROR(VLOOKUP(CONCATENATE("P",ROUND(BF27,0),"lin5m"),_viitearvot!$A:$H,6,FALSE()),99),3,IF(K27&lt;=IFERROR(VLOOKUP(CONCATENATE("P",ROUND(BF27,0),"lin5m"),_viitearvot!$A:$H,7,FALSE()),99),2,1)))),IF(K27&lt;=IFERROR(VLOOKUP(CONCATENATE("T",ROUND(BF27,0),"lin5m"),_viitearvot!$A:$H,4,FALSE()),99),5,IF(K27&lt;=IFERROR(VLOOKUP(CONCATENATE("T",ROUND(BF27,0),"lin5m"),_viitearvot!$A:$H,5,FALSE()),99),4,IF(K27&lt;=IFERROR(VLOOKUP(CONCATENATE("T",ROUND(BF27,0),"lin5m"),_viitearvot!$A:$H,6,FALSE()),99),3,IF(K27&lt;=IFERROR(VLOOKUP(CONCATENATE("T",ROUND(BF27,0),"lin5m"),_viitearvot!$A:$H,7,FALSE()),99),2,1))))))-L27)</f>
        <v/>
      </c>
      <c r="BH27" s="59" t="n"/>
    </row>
    <row r="28" ht="17" customHeight="1" s="22">
      <c r="A28" s="60" t="n"/>
      <c r="B28" s="60" t="n"/>
      <c r="C28" s="61" t="n"/>
      <c r="D28" s="60" t="n"/>
      <c r="E28" s="60" t="n"/>
      <c r="F28" s="60" t="n"/>
      <c r="G28" s="60" t="n"/>
      <c r="H28" s="62" t="n"/>
      <c r="I28" s="62" t="n"/>
      <c r="J28" s="62" t="n"/>
      <c r="K28" s="63">
        <f>IFERROR(MIN(H28,I28,J28),"")</f>
        <v/>
      </c>
      <c r="L28" s="64">
        <f>IF(OR(K28="",D28=""),"",IF(K28&lt;=IFERROR(VLOOKUP(CONCATENATE(D28,YEAR(TODAY())-YEAR(C28),"lin5m"),_viitearvot!$I$2:$M$205,2,FALSE()),99),5,IF(K28&lt;=IFERROR(VLOOKUP(CONCATENATE(D28,YEAR(TODAY())-YEAR(C28),"lin5m"),_viitearvot!$I$2:$M$205,3,FALSE()),99),4,IF(K28&lt;=IFERROR(VLOOKUP(CONCATENATE(D28,YEAR(TODAY())-YEAR(C28),"lin5m"),_viitearvot!$I$2:$M$205,4,FALSE()),99),3,IF(K28&lt;=IFERROR(VLOOKUP(CONCATENATE(D28,YEAR(TODAY())-YEAR(C28),"lin5m"),_viitearvot!$I$2:$M$205,5,FALSE()),99),2,1)))))</f>
        <v/>
      </c>
      <c r="M28" s="62" t="n"/>
      <c r="N28" s="62" t="n"/>
      <c r="O28" s="62" t="n"/>
      <c r="P28" s="63">
        <f>IFERROR(MIN(M28,N28,O28),"")</f>
        <v/>
      </c>
      <c r="Q28" s="64">
        <f>IF(OR(P28="",D28=""),"",IF(P28&lt;=IFERROR(VLOOKUP(CONCATENATE(D28,YEAR(TODAY())-YEAR(C28),"lin10m"),_viitearvot!$I$2:$M$205,2,FALSE()),99),5,IF(P28&lt;=IFERROR(VLOOKUP(CONCATENATE(D28,YEAR(TODAY())-YEAR(C28),"lin10m"),_viitearvot!$I$2:$M$205,3,FALSE()),99),4,IF(P28&lt;=IFERROR(VLOOKUP(CONCATENATE(D28,YEAR(TODAY())-YEAR(C28),"lin10m"),_viitearvot!$I$2:$M$205,4,FALSE()),99),3,IF(P28&lt;=IFERROR(VLOOKUP(CONCATENATE(D28,YEAR(TODAY())-YEAR(C28),"lin10m"),_viitearvot!$I$2:$M$205,5,FALSE()),99),2,1)))))</f>
        <v/>
      </c>
      <c r="R28" s="62" t="n"/>
      <c r="S28" s="62" t="n"/>
      <c r="T28" s="62" t="n"/>
      <c r="U28" s="63">
        <f>IFERROR(MIN(R28,S28,T28),"")</f>
        <v/>
      </c>
      <c r="V28" s="64">
        <f>IF(OR(U28="",D28=""),"",IF(U28&lt;=IFERROR(VLOOKUP(CONCATENATE(D28,YEAR(TODAY())-YEAR(C28),"lin20m"),_viitearvot!$I$2:$M$205,2,FALSE()),99),5,IF(U28&lt;=IFERROR(VLOOKUP(CONCATENATE(D28,YEAR(TODAY())-YEAR(C28),"lin20m"),_viitearvot!$I$2:$M$205,3,FALSE()),99),4,IF(U28&lt;=IFERROR(VLOOKUP(CONCATENATE(D28,YEAR(TODAY())-YEAR(C28),"lin20m"),_viitearvot!$I$2:$M$205,4,FALSE()),99),3,IF(U28&lt;=IFERROR(VLOOKUP(CONCATENATE(D28,YEAR(TODAY())-YEAR(C28),"lin20m"),_viitearvot!$I$2:$M$205,5,FALSE()),99),2,1)))))</f>
        <v/>
      </c>
      <c r="W28" s="62" t="n"/>
      <c r="X28" s="62" t="n"/>
      <c r="Y28" s="62" t="n"/>
      <c r="Z28" s="63">
        <f>IFERROR(MIN(W28,X28,Y28),"")</f>
        <v/>
      </c>
      <c r="AA28" s="64">
        <f>IF(OR(Z28="",D28=""),"",IF(Z28&lt;=IFERROR(VLOOKUP(CONCATENATE(D28,YEAR(TODAY())-YEAR(C28),"lin30m"),_viitearvot!$I$2:$M$205,2,FALSE()),99),5,IF(Z28&lt;=IFERROR(VLOOKUP(CONCATENATE(D28,YEAR(TODAY())-YEAR(C28),"lin30m"),_viitearvot!$I$2:$M$205,3,FALSE()),99),4,IF(Z28&lt;=IFERROR(VLOOKUP(CONCATENATE(D28,YEAR(TODAY())-YEAR(C28),"lin30m"),_viitearvot!$I$2:$M$205,4,FALSE()),99),3,IF(Z28&lt;=IFERROR(VLOOKUP(CONCATENATE(D28,YEAR(TODAY())-YEAR(C28),"lin30m"),_viitearvot!$I$2:$M$205,5,FALSE()),99),2,1)))))</f>
        <v/>
      </c>
      <c r="AB28" s="62" t="n"/>
      <c r="AC28" s="62" t="n"/>
      <c r="AD28" s="62" t="n"/>
      <c r="AE28" s="63">
        <f>IFERROR(MIN(AB28,AC28,AD28),"")</f>
        <v/>
      </c>
      <c r="AF28" s="64">
        <f>IF(OR(AE28="",D28=""),"",IF(AE28&lt;=IFERROR(VLOOKUP(CONCATENATE(D28,YEAR(TODAY())-YEAR(C28),"kasirata"),_viitearvot!$I$2:$M$205,2,FALSE()),99),5,IF(AE28&lt;=IFERROR(VLOOKUP(CONCATENATE(D28,YEAR(TODAY())-YEAR(C28),"kasirata"),_viitearvot!$I$2:$M$205,3,FALSE()),99),4,IF(AE28&lt;=IFERROR(VLOOKUP(CONCATENATE(D28,YEAR(TODAY())-YEAR(C28),"kasirata"),_viitearvot!$I$2:$M$205,4,FALSE()),99),3,IF(AE28&lt;=IFERROR(VLOOKUP(CONCATENATE(D28,YEAR(TODAY())-YEAR(C28),"kasirata"),_viitearvot!$I$2:$M$205,5,FALSE()),99),2,1)))))</f>
        <v/>
      </c>
      <c r="AG28" s="62" t="n"/>
      <c r="AH28" s="62" t="n"/>
      <c r="AI28" s="62" t="n"/>
      <c r="AJ28" s="63">
        <f>IFERROR(MIN(AG28,AH28,AI28),"")</f>
        <v/>
      </c>
      <c r="AK28" s="64">
        <f>IF(OR(AJ28="",D28=""),"",IF(AJ28&lt;=IFERROR(VLOOKUP(CONCATENATE(D28,YEAR(TODAY())-YEAR(C28),"smjuoksu"),_viitearvot!$I$2:$M$205,2,FALSE()),99),5,IF(AJ28&lt;=IFERROR(VLOOKUP(CONCATENATE(D28,YEAR(TODAY())-YEAR(C28),"smjuoksu"),_viitearvot!$I$2:$M$205,3,FALSE()),99),4,IF(AJ28&lt;=IFERROR(VLOOKUP(CONCATENATE(D28,YEAR(TODAY())-YEAR(C28),"smjuoksu"),_viitearvot!$I$2:$M$205,4,FALSE()),99),3,IF(AJ28&lt;=IFERROR(VLOOKUP(CONCATENATE(D28,YEAR(TODAY())-YEAR(C28),"smjuoksu"),_viitearvot!$I$2:$M$205,5,FALSE()),99),2,1)))))</f>
        <v/>
      </c>
      <c r="AL28" s="62" t="n"/>
      <c r="AM28" s="62" t="n"/>
      <c r="AN28" s="63">
        <f>IFERROR(MIN(AL28,AM28),"")</f>
        <v/>
      </c>
      <c r="AO28" s="64">
        <f>IF(OR(AN28="",D28=""),"",IF(AN28&lt;=IFERROR(VLOOKUP(CONCATENATE(D28,YEAR(TODAY())-YEAR(C28),"smpallo"),_viitearvot!$I$2:$M$205,2,FALSE()),99),5,IF(AN28&lt;=IFERROR(VLOOKUP(CONCATENATE(D28,YEAR(TODAY())-YEAR(C28),"smpallo"),_viitearvot!$I$2:$M$205,3,FALSE()),99),4,IF(AN28&lt;=IFERROR(VLOOKUP(CONCATENATE(D28,YEAR(TODAY())-YEAR(C28),"smpallo"),_viitearvot!$I$2:$M$205,4,FALSE()),99),3,IF(AN28&lt;=IFERROR(VLOOKUP(CONCATENATE(D28,YEAR(TODAY())-YEAR(C28),"smpallo"),_viitearvot!$I$2:$M$205,5,FALSE()),99),2,1)))))</f>
        <v/>
      </c>
      <c r="AP28" s="62" t="n"/>
      <c r="AQ28" s="62" t="n"/>
      <c r="AR28" s="62" t="n"/>
      <c r="AS28" s="63">
        <f>IFERROR(MAX(AP28,AQ28,AR28),"")</f>
        <v/>
      </c>
      <c r="AT28" s="64">
        <f>IF(OR(AS28="",D28=""),"",IF(AS28&gt;=IFERROR(VLOOKUP(CONCATENATE(D28,YEAR(TODAY())-YEAR(C28),"cmj"),_viitearvot!$I$2:$M$205,2,FALSE()),0),5,IF(AS28&gt;=IFERROR(VLOOKUP(CONCATENATE(D28,YEAR(TODAY())-YEAR(C28),"cmj"),_viitearvot!$I$2:$M$205,3,FALSE()),0),4,IF(AS28&gt;=IFERROR(VLOOKUP(CONCATENATE(D28,YEAR(TODAY())-YEAR(C28),"cmj"),_viitearvot!$I$2:$M$205,4,FALSE()),0),3,IF(AS28&gt;=IFERROR(VLOOKUP(CONCATENATE(D28,YEAR(TODAY())-YEAR(C28),"cmj"),_viitearvot!$I$2:$M$205,5,FALSE()),0),2,1)))))</f>
        <v/>
      </c>
      <c r="AU28" s="62" t="n"/>
      <c r="AV28" s="63">
        <f>IFERROR(MAX(AU28),"")</f>
        <v/>
      </c>
      <c r="AW28" s="64">
        <f>IF(OR(AV28="",D28=""),"",IF(AV28&gt;=IFERROR(VLOOKUP(CONCATENATE(D28,YEAR(TODAY())-YEAR(C28),"bronco"),_viitearvot!$I$2:$M$205,2,FALSE()),0),5,IF(AV28&gt;=IFERROR(VLOOKUP(CONCATENATE(D28,YEAR(TODAY())-YEAR(C28),"bronco"),_viitearvot!$I$2:$M$205,3,FALSE()),0),4,IF(AV28&gt;=IFERROR(VLOOKUP(CONCATENATE(D28,YEAR(TODAY())-YEAR(C28),"bronco"),_viitearvot!$I$2:$M$205,4,FALSE()),0),3,IF(AV28&gt;=IFERROR(VLOOKUP(CONCATENATE(D28,YEAR(TODAY())-YEAR(C28),"bronco"),_viitearvot!$I$2:$M$205,5,FALSE()),0),2,1)))))</f>
        <v/>
      </c>
      <c r="AX28" s="62" t="n"/>
      <c r="AY28" s="62" t="n"/>
      <c r="AZ28" s="63">
        <f>IFERROR(MIN(AX28,AY28),"")</f>
        <v/>
      </c>
      <c r="BA28" s="64">
        <f>IF(OR(AZ28="",D28=""),"",IF(AZ28&lt;=IFERROR(VLOOKUP(CONCATENATE(D28,YEAR(TODAY())-YEAR(C28),"pujottelu"),_viitearvot!$I$2:$M$205,2,FALSE()),99),5,IF(AZ28&lt;=IFERROR(VLOOKUP(CONCATENATE(D28,YEAR(TODAY())-YEAR(C28),"pujottelu"),_viitearvot!$I$2:$M$205,3,FALSE()),99),4,IF(AZ28&lt;=IFERROR(VLOOKUP(CONCATENATE(D28,YEAR(TODAY())-YEAR(C28),"pujottelu"),_viitearvot!$I$2:$M$205,4,FALSE()),99),3,IF(AZ28&lt;=IFERROR(VLOOKUP(CONCATENATE(D28,YEAR(TODAY())-YEAR(C28),"pujottelu"),_viitearvot!$I$2:$M$205,5,FALSE()),99),2,1)))))</f>
        <v/>
      </c>
      <c r="BB28" s="62" t="n"/>
      <c r="BC28" s="62" t="n"/>
      <c r="BD28" s="63">
        <f>IFERROR(MIN(BB28,BC28),"")</f>
        <v/>
      </c>
      <c r="BE28" s="64">
        <f>IF(OR(BD28="",D28=""),"",IF(BD28&lt;=IFERROR(VLOOKUP(CONCATENATE(D28,YEAR(TODAY())-YEAR(C28),"syotto"),_viitearvot!$I$2:$M$205,2,FALSE()),99),5,IF(BD28&lt;=IFERROR(VLOOKUP(CONCATENATE(D28,YEAR(TODAY())-YEAR(C28),"syotto"),_viitearvot!$I$2:$M$205,3,FALSE()),99),4,IF(BD28&lt;=IFERROR(VLOOKUP(CONCATENATE(D28,YEAR(TODAY())-YEAR(C28),"syotto"),_viitearvot!$I$2:$M$205,4,FALSE()),99),3,IF(BD28&lt;=IFERROR(VLOOKUP(CONCATENATE(D28,YEAR(TODAY())-YEAR(C28),"syotto"),_viitearvot!$I$2:$M$205,5,FALSE()),99),2,1)))))</f>
        <v/>
      </c>
      <c r="BF28" s="65" t="n"/>
      <c r="BG28" s="66">
        <f>IF(OR(BF28="",K28=""),"",(IF(D28="P",IF(K28&lt;=IFERROR(VLOOKUP(CONCATENATE("P",ROUND(BF28,0),"lin5m"),_viitearvot!$A:$H,4,FALSE()),99),5,IF(K28&lt;=IFERROR(VLOOKUP(CONCATENATE("P",ROUND(BF28,0),"lin5m"),_viitearvot!$A:$H,5,FALSE()),99),4,IF(K28&lt;=IFERROR(VLOOKUP(CONCATENATE("P",ROUND(BF28,0),"lin5m"),_viitearvot!$A:$H,6,FALSE()),99),3,IF(K28&lt;=IFERROR(VLOOKUP(CONCATENATE("P",ROUND(BF28,0),"lin5m"),_viitearvot!$A:$H,7,FALSE()),99),2,1)))),IF(K28&lt;=IFERROR(VLOOKUP(CONCATENATE("T",ROUND(BF28,0),"lin5m"),_viitearvot!$A:$H,4,FALSE()),99),5,IF(K28&lt;=IFERROR(VLOOKUP(CONCATENATE("T",ROUND(BF28,0),"lin5m"),_viitearvot!$A:$H,5,FALSE()),99),4,IF(K28&lt;=IFERROR(VLOOKUP(CONCATENATE("T",ROUND(BF28,0),"lin5m"),_viitearvot!$A:$H,6,FALSE()),99),3,IF(K28&lt;=IFERROR(VLOOKUP(CONCATENATE("T",ROUND(BF28,0),"lin5m"),_viitearvot!$A:$H,7,FALSE()),99),2,1))))))-L28)</f>
        <v/>
      </c>
      <c r="BH28" s="67" t="n"/>
    </row>
    <row r="29" ht="17" customHeight="1" s="22">
      <c r="A29" s="52" t="n"/>
      <c r="B29" s="52" t="n"/>
      <c r="C29" s="53" t="n"/>
      <c r="D29" s="52" t="n"/>
      <c r="E29" s="52" t="n"/>
      <c r="F29" s="52" t="n"/>
      <c r="G29" s="52" t="n"/>
      <c r="H29" s="54" t="n"/>
      <c r="I29" s="54" t="n"/>
      <c r="J29" s="54" t="n"/>
      <c r="K29" s="55">
        <f>IFERROR(MIN(H29,I29,J29),"")</f>
        <v/>
      </c>
      <c r="L29" s="56">
        <f>IF(OR(K29="",D29=""),"",IF(K29&lt;=IFERROR(VLOOKUP(CONCATENATE(D29,YEAR(TODAY())-YEAR(C29),"lin5m"),_viitearvot!$I$2:$M$205,2,FALSE()),99),5,IF(K29&lt;=IFERROR(VLOOKUP(CONCATENATE(D29,YEAR(TODAY())-YEAR(C29),"lin5m"),_viitearvot!$I$2:$M$205,3,FALSE()),99),4,IF(K29&lt;=IFERROR(VLOOKUP(CONCATENATE(D29,YEAR(TODAY())-YEAR(C29),"lin5m"),_viitearvot!$I$2:$M$205,4,FALSE()),99),3,IF(K29&lt;=IFERROR(VLOOKUP(CONCATENATE(D29,YEAR(TODAY())-YEAR(C29),"lin5m"),_viitearvot!$I$2:$M$205,5,FALSE()),99),2,1)))))</f>
        <v/>
      </c>
      <c r="M29" s="54" t="n"/>
      <c r="N29" s="54" t="n"/>
      <c r="O29" s="54" t="n"/>
      <c r="P29" s="55">
        <f>IFERROR(MIN(M29,N29,O29),"")</f>
        <v/>
      </c>
      <c r="Q29" s="56">
        <f>IF(OR(P29="",D29=""),"",IF(P29&lt;=IFERROR(VLOOKUP(CONCATENATE(D29,YEAR(TODAY())-YEAR(C29),"lin10m"),_viitearvot!$I$2:$M$205,2,FALSE()),99),5,IF(P29&lt;=IFERROR(VLOOKUP(CONCATENATE(D29,YEAR(TODAY())-YEAR(C29),"lin10m"),_viitearvot!$I$2:$M$205,3,FALSE()),99),4,IF(P29&lt;=IFERROR(VLOOKUP(CONCATENATE(D29,YEAR(TODAY())-YEAR(C29),"lin10m"),_viitearvot!$I$2:$M$205,4,FALSE()),99),3,IF(P29&lt;=IFERROR(VLOOKUP(CONCATENATE(D29,YEAR(TODAY())-YEAR(C29),"lin10m"),_viitearvot!$I$2:$M$205,5,FALSE()),99),2,1)))))</f>
        <v/>
      </c>
      <c r="R29" s="54" t="n"/>
      <c r="S29" s="54" t="n"/>
      <c r="T29" s="54" t="n"/>
      <c r="U29" s="55">
        <f>IFERROR(MIN(R29,S29,T29),"")</f>
        <v/>
      </c>
      <c r="V29" s="56">
        <f>IF(OR(U29="",D29=""),"",IF(U29&lt;=IFERROR(VLOOKUP(CONCATENATE(D29,YEAR(TODAY())-YEAR(C29),"lin20m"),_viitearvot!$I$2:$M$205,2,FALSE()),99),5,IF(U29&lt;=IFERROR(VLOOKUP(CONCATENATE(D29,YEAR(TODAY())-YEAR(C29),"lin20m"),_viitearvot!$I$2:$M$205,3,FALSE()),99),4,IF(U29&lt;=IFERROR(VLOOKUP(CONCATENATE(D29,YEAR(TODAY())-YEAR(C29),"lin20m"),_viitearvot!$I$2:$M$205,4,FALSE()),99),3,IF(U29&lt;=IFERROR(VLOOKUP(CONCATENATE(D29,YEAR(TODAY())-YEAR(C29),"lin20m"),_viitearvot!$I$2:$M$205,5,FALSE()),99),2,1)))))</f>
        <v/>
      </c>
      <c r="W29" s="54" t="n"/>
      <c r="X29" s="54" t="n"/>
      <c r="Y29" s="54" t="n"/>
      <c r="Z29" s="55">
        <f>IFERROR(MIN(W29,X29,Y29),"")</f>
        <v/>
      </c>
      <c r="AA29" s="56">
        <f>IF(OR(Z29="",D29=""),"",IF(Z29&lt;=IFERROR(VLOOKUP(CONCATENATE(D29,YEAR(TODAY())-YEAR(C29),"lin30m"),_viitearvot!$I$2:$M$205,2,FALSE()),99),5,IF(Z29&lt;=IFERROR(VLOOKUP(CONCATENATE(D29,YEAR(TODAY())-YEAR(C29),"lin30m"),_viitearvot!$I$2:$M$205,3,FALSE()),99),4,IF(Z29&lt;=IFERROR(VLOOKUP(CONCATENATE(D29,YEAR(TODAY())-YEAR(C29),"lin30m"),_viitearvot!$I$2:$M$205,4,FALSE()),99),3,IF(Z29&lt;=IFERROR(VLOOKUP(CONCATENATE(D29,YEAR(TODAY())-YEAR(C29),"lin30m"),_viitearvot!$I$2:$M$205,5,FALSE()),99),2,1)))))</f>
        <v/>
      </c>
      <c r="AB29" s="54" t="n"/>
      <c r="AC29" s="54" t="n"/>
      <c r="AD29" s="54" t="n"/>
      <c r="AE29" s="55">
        <f>IFERROR(MIN(AB29,AC29,AD29),"")</f>
        <v/>
      </c>
      <c r="AF29" s="56">
        <f>IF(OR(AE29="",D29=""),"",IF(AE29&lt;=IFERROR(VLOOKUP(CONCATENATE(D29,YEAR(TODAY())-YEAR(C29),"kasirata"),_viitearvot!$I$2:$M$205,2,FALSE()),99),5,IF(AE29&lt;=IFERROR(VLOOKUP(CONCATENATE(D29,YEAR(TODAY())-YEAR(C29),"kasirata"),_viitearvot!$I$2:$M$205,3,FALSE()),99),4,IF(AE29&lt;=IFERROR(VLOOKUP(CONCATENATE(D29,YEAR(TODAY())-YEAR(C29),"kasirata"),_viitearvot!$I$2:$M$205,4,FALSE()),99),3,IF(AE29&lt;=IFERROR(VLOOKUP(CONCATENATE(D29,YEAR(TODAY())-YEAR(C29),"kasirata"),_viitearvot!$I$2:$M$205,5,FALSE()),99),2,1)))))</f>
        <v/>
      </c>
      <c r="AG29" s="54" t="n"/>
      <c r="AH29" s="54" t="n"/>
      <c r="AI29" s="54" t="n"/>
      <c r="AJ29" s="55">
        <f>IFERROR(MIN(AG29,AH29,AI29),"")</f>
        <v/>
      </c>
      <c r="AK29" s="56">
        <f>IF(OR(AJ29="",D29=""),"",IF(AJ29&lt;=IFERROR(VLOOKUP(CONCATENATE(D29,YEAR(TODAY())-YEAR(C29),"smjuoksu"),_viitearvot!$I$2:$M$205,2,FALSE()),99),5,IF(AJ29&lt;=IFERROR(VLOOKUP(CONCATENATE(D29,YEAR(TODAY())-YEAR(C29),"smjuoksu"),_viitearvot!$I$2:$M$205,3,FALSE()),99),4,IF(AJ29&lt;=IFERROR(VLOOKUP(CONCATENATE(D29,YEAR(TODAY())-YEAR(C29),"smjuoksu"),_viitearvot!$I$2:$M$205,4,FALSE()),99),3,IF(AJ29&lt;=IFERROR(VLOOKUP(CONCATENATE(D29,YEAR(TODAY())-YEAR(C29),"smjuoksu"),_viitearvot!$I$2:$M$205,5,FALSE()),99),2,1)))))</f>
        <v/>
      </c>
      <c r="AL29" s="54" t="n"/>
      <c r="AM29" s="54" t="n"/>
      <c r="AN29" s="55">
        <f>IFERROR(MIN(AL29,AM29),"")</f>
        <v/>
      </c>
      <c r="AO29" s="56">
        <f>IF(OR(AN29="",D29=""),"",IF(AN29&lt;=IFERROR(VLOOKUP(CONCATENATE(D29,YEAR(TODAY())-YEAR(C29),"smpallo"),_viitearvot!$I$2:$M$205,2,FALSE()),99),5,IF(AN29&lt;=IFERROR(VLOOKUP(CONCATENATE(D29,YEAR(TODAY())-YEAR(C29),"smpallo"),_viitearvot!$I$2:$M$205,3,FALSE()),99),4,IF(AN29&lt;=IFERROR(VLOOKUP(CONCATENATE(D29,YEAR(TODAY())-YEAR(C29),"smpallo"),_viitearvot!$I$2:$M$205,4,FALSE()),99),3,IF(AN29&lt;=IFERROR(VLOOKUP(CONCATENATE(D29,YEAR(TODAY())-YEAR(C29),"smpallo"),_viitearvot!$I$2:$M$205,5,FALSE()),99),2,1)))))</f>
        <v/>
      </c>
      <c r="AP29" s="54" t="n"/>
      <c r="AQ29" s="54" t="n"/>
      <c r="AR29" s="54" t="n"/>
      <c r="AS29" s="55">
        <f>IFERROR(MAX(AP29,AQ29,AR29),"")</f>
        <v/>
      </c>
      <c r="AT29" s="56">
        <f>IF(OR(AS29="",D29=""),"",IF(AS29&gt;=IFERROR(VLOOKUP(CONCATENATE(D29,YEAR(TODAY())-YEAR(C29),"cmj"),_viitearvot!$I$2:$M$205,2,FALSE()),0),5,IF(AS29&gt;=IFERROR(VLOOKUP(CONCATENATE(D29,YEAR(TODAY())-YEAR(C29),"cmj"),_viitearvot!$I$2:$M$205,3,FALSE()),0),4,IF(AS29&gt;=IFERROR(VLOOKUP(CONCATENATE(D29,YEAR(TODAY())-YEAR(C29),"cmj"),_viitearvot!$I$2:$M$205,4,FALSE()),0),3,IF(AS29&gt;=IFERROR(VLOOKUP(CONCATENATE(D29,YEAR(TODAY())-YEAR(C29),"cmj"),_viitearvot!$I$2:$M$205,5,FALSE()),0),2,1)))))</f>
        <v/>
      </c>
      <c r="AU29" s="54" t="n"/>
      <c r="AV29" s="55">
        <f>IFERROR(MAX(AU29),"")</f>
        <v/>
      </c>
      <c r="AW29" s="56">
        <f>IF(OR(AV29="",D29=""),"",IF(AV29&gt;=IFERROR(VLOOKUP(CONCATENATE(D29,YEAR(TODAY())-YEAR(C29),"bronco"),_viitearvot!$I$2:$M$205,2,FALSE()),0),5,IF(AV29&gt;=IFERROR(VLOOKUP(CONCATENATE(D29,YEAR(TODAY())-YEAR(C29),"bronco"),_viitearvot!$I$2:$M$205,3,FALSE()),0),4,IF(AV29&gt;=IFERROR(VLOOKUP(CONCATENATE(D29,YEAR(TODAY())-YEAR(C29),"bronco"),_viitearvot!$I$2:$M$205,4,FALSE()),0),3,IF(AV29&gt;=IFERROR(VLOOKUP(CONCATENATE(D29,YEAR(TODAY())-YEAR(C29),"bronco"),_viitearvot!$I$2:$M$205,5,FALSE()),0),2,1)))))</f>
        <v/>
      </c>
      <c r="AX29" s="54" t="n"/>
      <c r="AY29" s="54" t="n"/>
      <c r="AZ29" s="55">
        <f>IFERROR(MIN(AX29,AY29),"")</f>
        <v/>
      </c>
      <c r="BA29" s="56">
        <f>IF(OR(AZ29="",D29=""),"",IF(AZ29&lt;=IFERROR(VLOOKUP(CONCATENATE(D29,YEAR(TODAY())-YEAR(C29),"pujottelu"),_viitearvot!$I$2:$M$205,2,FALSE()),99),5,IF(AZ29&lt;=IFERROR(VLOOKUP(CONCATENATE(D29,YEAR(TODAY())-YEAR(C29),"pujottelu"),_viitearvot!$I$2:$M$205,3,FALSE()),99),4,IF(AZ29&lt;=IFERROR(VLOOKUP(CONCATENATE(D29,YEAR(TODAY())-YEAR(C29),"pujottelu"),_viitearvot!$I$2:$M$205,4,FALSE()),99),3,IF(AZ29&lt;=IFERROR(VLOOKUP(CONCATENATE(D29,YEAR(TODAY())-YEAR(C29),"pujottelu"),_viitearvot!$I$2:$M$205,5,FALSE()),99),2,1)))))</f>
        <v/>
      </c>
      <c r="BB29" s="54" t="n"/>
      <c r="BC29" s="54" t="n"/>
      <c r="BD29" s="55">
        <f>IFERROR(MIN(BB29,BC29),"")</f>
        <v/>
      </c>
      <c r="BE29" s="56">
        <f>IF(OR(BD29="",D29=""),"",IF(BD29&lt;=IFERROR(VLOOKUP(CONCATENATE(D29,YEAR(TODAY())-YEAR(C29),"syotto"),_viitearvot!$I$2:$M$205,2,FALSE()),99),5,IF(BD29&lt;=IFERROR(VLOOKUP(CONCATENATE(D29,YEAR(TODAY())-YEAR(C29),"syotto"),_viitearvot!$I$2:$M$205,3,FALSE()),99),4,IF(BD29&lt;=IFERROR(VLOOKUP(CONCATENATE(D29,YEAR(TODAY())-YEAR(C29),"syotto"),_viitearvot!$I$2:$M$205,4,FALSE()),99),3,IF(BD29&lt;=IFERROR(VLOOKUP(CONCATENATE(D29,YEAR(TODAY())-YEAR(C29),"syotto"),_viitearvot!$I$2:$M$205,5,FALSE()),99),2,1)))))</f>
        <v/>
      </c>
      <c r="BF29" s="57" t="n"/>
      <c r="BG29" s="58">
        <f>IF(OR(BF29="",K29=""),"",(IF(D29="P",IF(K29&lt;=IFERROR(VLOOKUP(CONCATENATE("P",ROUND(BF29,0),"lin5m"),_viitearvot!$A:$H,4,FALSE()),99),5,IF(K29&lt;=IFERROR(VLOOKUP(CONCATENATE("P",ROUND(BF29,0),"lin5m"),_viitearvot!$A:$H,5,FALSE()),99),4,IF(K29&lt;=IFERROR(VLOOKUP(CONCATENATE("P",ROUND(BF29,0),"lin5m"),_viitearvot!$A:$H,6,FALSE()),99),3,IF(K29&lt;=IFERROR(VLOOKUP(CONCATENATE("P",ROUND(BF29,0),"lin5m"),_viitearvot!$A:$H,7,FALSE()),99),2,1)))),IF(K29&lt;=IFERROR(VLOOKUP(CONCATENATE("T",ROUND(BF29,0),"lin5m"),_viitearvot!$A:$H,4,FALSE()),99),5,IF(K29&lt;=IFERROR(VLOOKUP(CONCATENATE("T",ROUND(BF29,0),"lin5m"),_viitearvot!$A:$H,5,FALSE()),99),4,IF(K29&lt;=IFERROR(VLOOKUP(CONCATENATE("T",ROUND(BF29,0),"lin5m"),_viitearvot!$A:$H,6,FALSE()),99),3,IF(K29&lt;=IFERROR(VLOOKUP(CONCATENATE("T",ROUND(BF29,0),"lin5m"),_viitearvot!$A:$H,7,FALSE()),99),2,1))))))-L29)</f>
        <v/>
      </c>
      <c r="BH29" s="59" t="n"/>
    </row>
    <row r="30" ht="17" customHeight="1" s="22">
      <c r="A30" s="60" t="n"/>
      <c r="B30" s="60" t="n"/>
      <c r="C30" s="61" t="n"/>
      <c r="D30" s="60" t="n"/>
      <c r="E30" s="60" t="n"/>
      <c r="F30" s="60" t="n"/>
      <c r="G30" s="60" t="n"/>
      <c r="H30" s="62" t="n"/>
      <c r="I30" s="62" t="n"/>
      <c r="J30" s="62" t="n"/>
      <c r="K30" s="63">
        <f>IFERROR(MIN(H30,I30,J30),"")</f>
        <v/>
      </c>
      <c r="L30" s="64">
        <f>IF(OR(K30="",D30=""),"",IF(K30&lt;=IFERROR(VLOOKUP(CONCATENATE(D30,YEAR(TODAY())-YEAR(C30),"lin5m"),_viitearvot!$I$2:$M$205,2,FALSE()),99),5,IF(K30&lt;=IFERROR(VLOOKUP(CONCATENATE(D30,YEAR(TODAY())-YEAR(C30),"lin5m"),_viitearvot!$I$2:$M$205,3,FALSE()),99),4,IF(K30&lt;=IFERROR(VLOOKUP(CONCATENATE(D30,YEAR(TODAY())-YEAR(C30),"lin5m"),_viitearvot!$I$2:$M$205,4,FALSE()),99),3,IF(K30&lt;=IFERROR(VLOOKUP(CONCATENATE(D30,YEAR(TODAY())-YEAR(C30),"lin5m"),_viitearvot!$I$2:$M$205,5,FALSE()),99),2,1)))))</f>
        <v/>
      </c>
      <c r="M30" s="62" t="n"/>
      <c r="N30" s="62" t="n"/>
      <c r="O30" s="62" t="n"/>
      <c r="P30" s="63">
        <f>IFERROR(MIN(M30,N30,O30),"")</f>
        <v/>
      </c>
      <c r="Q30" s="64">
        <f>IF(OR(P30="",D30=""),"",IF(P30&lt;=IFERROR(VLOOKUP(CONCATENATE(D30,YEAR(TODAY())-YEAR(C30),"lin10m"),_viitearvot!$I$2:$M$205,2,FALSE()),99),5,IF(P30&lt;=IFERROR(VLOOKUP(CONCATENATE(D30,YEAR(TODAY())-YEAR(C30),"lin10m"),_viitearvot!$I$2:$M$205,3,FALSE()),99),4,IF(P30&lt;=IFERROR(VLOOKUP(CONCATENATE(D30,YEAR(TODAY())-YEAR(C30),"lin10m"),_viitearvot!$I$2:$M$205,4,FALSE()),99),3,IF(P30&lt;=IFERROR(VLOOKUP(CONCATENATE(D30,YEAR(TODAY())-YEAR(C30),"lin10m"),_viitearvot!$I$2:$M$205,5,FALSE()),99),2,1)))))</f>
        <v/>
      </c>
      <c r="R30" s="62" t="n"/>
      <c r="S30" s="62" t="n"/>
      <c r="T30" s="62" t="n"/>
      <c r="U30" s="63">
        <f>IFERROR(MIN(R30,S30,T30),"")</f>
        <v/>
      </c>
      <c r="V30" s="64">
        <f>IF(OR(U30="",D30=""),"",IF(U30&lt;=IFERROR(VLOOKUP(CONCATENATE(D30,YEAR(TODAY())-YEAR(C30),"lin20m"),_viitearvot!$I$2:$M$205,2,FALSE()),99),5,IF(U30&lt;=IFERROR(VLOOKUP(CONCATENATE(D30,YEAR(TODAY())-YEAR(C30),"lin20m"),_viitearvot!$I$2:$M$205,3,FALSE()),99),4,IF(U30&lt;=IFERROR(VLOOKUP(CONCATENATE(D30,YEAR(TODAY())-YEAR(C30),"lin20m"),_viitearvot!$I$2:$M$205,4,FALSE()),99),3,IF(U30&lt;=IFERROR(VLOOKUP(CONCATENATE(D30,YEAR(TODAY())-YEAR(C30),"lin20m"),_viitearvot!$I$2:$M$205,5,FALSE()),99),2,1)))))</f>
        <v/>
      </c>
      <c r="W30" s="62" t="n"/>
      <c r="X30" s="62" t="n"/>
      <c r="Y30" s="62" t="n"/>
      <c r="Z30" s="63">
        <f>IFERROR(MIN(W30,X30,Y30),"")</f>
        <v/>
      </c>
      <c r="AA30" s="64">
        <f>IF(OR(Z30="",D30=""),"",IF(Z30&lt;=IFERROR(VLOOKUP(CONCATENATE(D30,YEAR(TODAY())-YEAR(C30),"lin30m"),_viitearvot!$I$2:$M$205,2,FALSE()),99),5,IF(Z30&lt;=IFERROR(VLOOKUP(CONCATENATE(D30,YEAR(TODAY())-YEAR(C30),"lin30m"),_viitearvot!$I$2:$M$205,3,FALSE()),99),4,IF(Z30&lt;=IFERROR(VLOOKUP(CONCATENATE(D30,YEAR(TODAY())-YEAR(C30),"lin30m"),_viitearvot!$I$2:$M$205,4,FALSE()),99),3,IF(Z30&lt;=IFERROR(VLOOKUP(CONCATENATE(D30,YEAR(TODAY())-YEAR(C30),"lin30m"),_viitearvot!$I$2:$M$205,5,FALSE()),99),2,1)))))</f>
        <v/>
      </c>
      <c r="AB30" s="62" t="n"/>
      <c r="AC30" s="62" t="n"/>
      <c r="AD30" s="62" t="n"/>
      <c r="AE30" s="63">
        <f>IFERROR(MIN(AB30,AC30,AD30),"")</f>
        <v/>
      </c>
      <c r="AF30" s="64">
        <f>IF(OR(AE30="",D30=""),"",IF(AE30&lt;=IFERROR(VLOOKUP(CONCATENATE(D30,YEAR(TODAY())-YEAR(C30),"kasirata"),_viitearvot!$I$2:$M$205,2,FALSE()),99),5,IF(AE30&lt;=IFERROR(VLOOKUP(CONCATENATE(D30,YEAR(TODAY())-YEAR(C30),"kasirata"),_viitearvot!$I$2:$M$205,3,FALSE()),99),4,IF(AE30&lt;=IFERROR(VLOOKUP(CONCATENATE(D30,YEAR(TODAY())-YEAR(C30),"kasirata"),_viitearvot!$I$2:$M$205,4,FALSE()),99),3,IF(AE30&lt;=IFERROR(VLOOKUP(CONCATENATE(D30,YEAR(TODAY())-YEAR(C30),"kasirata"),_viitearvot!$I$2:$M$205,5,FALSE()),99),2,1)))))</f>
        <v/>
      </c>
      <c r="AG30" s="62" t="n"/>
      <c r="AH30" s="62" t="n"/>
      <c r="AI30" s="62" t="n"/>
      <c r="AJ30" s="63">
        <f>IFERROR(MIN(AG30,AH30,AI30),"")</f>
        <v/>
      </c>
      <c r="AK30" s="64">
        <f>IF(OR(AJ30="",D30=""),"",IF(AJ30&lt;=IFERROR(VLOOKUP(CONCATENATE(D30,YEAR(TODAY())-YEAR(C30),"smjuoksu"),_viitearvot!$I$2:$M$205,2,FALSE()),99),5,IF(AJ30&lt;=IFERROR(VLOOKUP(CONCATENATE(D30,YEAR(TODAY())-YEAR(C30),"smjuoksu"),_viitearvot!$I$2:$M$205,3,FALSE()),99),4,IF(AJ30&lt;=IFERROR(VLOOKUP(CONCATENATE(D30,YEAR(TODAY())-YEAR(C30),"smjuoksu"),_viitearvot!$I$2:$M$205,4,FALSE()),99),3,IF(AJ30&lt;=IFERROR(VLOOKUP(CONCATENATE(D30,YEAR(TODAY())-YEAR(C30),"smjuoksu"),_viitearvot!$I$2:$M$205,5,FALSE()),99),2,1)))))</f>
        <v/>
      </c>
      <c r="AL30" s="62" t="n"/>
      <c r="AM30" s="62" t="n"/>
      <c r="AN30" s="63">
        <f>IFERROR(MIN(AL30,AM30),"")</f>
        <v/>
      </c>
      <c r="AO30" s="64">
        <f>IF(OR(AN30="",D30=""),"",IF(AN30&lt;=IFERROR(VLOOKUP(CONCATENATE(D30,YEAR(TODAY())-YEAR(C30),"smpallo"),_viitearvot!$I$2:$M$205,2,FALSE()),99),5,IF(AN30&lt;=IFERROR(VLOOKUP(CONCATENATE(D30,YEAR(TODAY())-YEAR(C30),"smpallo"),_viitearvot!$I$2:$M$205,3,FALSE()),99),4,IF(AN30&lt;=IFERROR(VLOOKUP(CONCATENATE(D30,YEAR(TODAY())-YEAR(C30),"smpallo"),_viitearvot!$I$2:$M$205,4,FALSE()),99),3,IF(AN30&lt;=IFERROR(VLOOKUP(CONCATENATE(D30,YEAR(TODAY())-YEAR(C30),"smpallo"),_viitearvot!$I$2:$M$205,5,FALSE()),99),2,1)))))</f>
        <v/>
      </c>
      <c r="AP30" s="62" t="n"/>
      <c r="AQ30" s="62" t="n"/>
      <c r="AR30" s="62" t="n"/>
      <c r="AS30" s="63">
        <f>IFERROR(MAX(AP30,AQ30,AR30),"")</f>
        <v/>
      </c>
      <c r="AT30" s="64">
        <f>IF(OR(AS30="",D30=""),"",IF(AS30&gt;=IFERROR(VLOOKUP(CONCATENATE(D30,YEAR(TODAY())-YEAR(C30),"cmj"),_viitearvot!$I$2:$M$205,2,FALSE()),0),5,IF(AS30&gt;=IFERROR(VLOOKUP(CONCATENATE(D30,YEAR(TODAY())-YEAR(C30),"cmj"),_viitearvot!$I$2:$M$205,3,FALSE()),0),4,IF(AS30&gt;=IFERROR(VLOOKUP(CONCATENATE(D30,YEAR(TODAY())-YEAR(C30),"cmj"),_viitearvot!$I$2:$M$205,4,FALSE()),0),3,IF(AS30&gt;=IFERROR(VLOOKUP(CONCATENATE(D30,YEAR(TODAY())-YEAR(C30),"cmj"),_viitearvot!$I$2:$M$205,5,FALSE()),0),2,1)))))</f>
        <v/>
      </c>
      <c r="AU30" s="62" t="n"/>
      <c r="AV30" s="63">
        <f>IFERROR(MAX(AU30),"")</f>
        <v/>
      </c>
      <c r="AW30" s="64">
        <f>IF(OR(AV30="",D30=""),"",IF(AV30&gt;=IFERROR(VLOOKUP(CONCATENATE(D30,YEAR(TODAY())-YEAR(C30),"bronco"),_viitearvot!$I$2:$M$205,2,FALSE()),0),5,IF(AV30&gt;=IFERROR(VLOOKUP(CONCATENATE(D30,YEAR(TODAY())-YEAR(C30),"bronco"),_viitearvot!$I$2:$M$205,3,FALSE()),0),4,IF(AV30&gt;=IFERROR(VLOOKUP(CONCATENATE(D30,YEAR(TODAY())-YEAR(C30),"bronco"),_viitearvot!$I$2:$M$205,4,FALSE()),0),3,IF(AV30&gt;=IFERROR(VLOOKUP(CONCATENATE(D30,YEAR(TODAY())-YEAR(C30),"bronco"),_viitearvot!$I$2:$M$205,5,FALSE()),0),2,1)))))</f>
        <v/>
      </c>
      <c r="AX30" s="62" t="n"/>
      <c r="AY30" s="62" t="n"/>
      <c r="AZ30" s="63">
        <f>IFERROR(MIN(AX30,AY30),"")</f>
        <v/>
      </c>
      <c r="BA30" s="64">
        <f>IF(OR(AZ30="",D30=""),"",IF(AZ30&lt;=IFERROR(VLOOKUP(CONCATENATE(D30,YEAR(TODAY())-YEAR(C30),"pujottelu"),_viitearvot!$I$2:$M$205,2,FALSE()),99),5,IF(AZ30&lt;=IFERROR(VLOOKUP(CONCATENATE(D30,YEAR(TODAY())-YEAR(C30),"pujottelu"),_viitearvot!$I$2:$M$205,3,FALSE()),99),4,IF(AZ30&lt;=IFERROR(VLOOKUP(CONCATENATE(D30,YEAR(TODAY())-YEAR(C30),"pujottelu"),_viitearvot!$I$2:$M$205,4,FALSE()),99),3,IF(AZ30&lt;=IFERROR(VLOOKUP(CONCATENATE(D30,YEAR(TODAY())-YEAR(C30),"pujottelu"),_viitearvot!$I$2:$M$205,5,FALSE()),99),2,1)))))</f>
        <v/>
      </c>
      <c r="BB30" s="62" t="n"/>
      <c r="BC30" s="62" t="n"/>
      <c r="BD30" s="63">
        <f>IFERROR(MIN(BB30,BC30),"")</f>
        <v/>
      </c>
      <c r="BE30" s="64">
        <f>IF(OR(BD30="",D30=""),"",IF(BD30&lt;=IFERROR(VLOOKUP(CONCATENATE(D30,YEAR(TODAY())-YEAR(C30),"syotto"),_viitearvot!$I$2:$M$205,2,FALSE()),99),5,IF(BD30&lt;=IFERROR(VLOOKUP(CONCATENATE(D30,YEAR(TODAY())-YEAR(C30),"syotto"),_viitearvot!$I$2:$M$205,3,FALSE()),99),4,IF(BD30&lt;=IFERROR(VLOOKUP(CONCATENATE(D30,YEAR(TODAY())-YEAR(C30),"syotto"),_viitearvot!$I$2:$M$205,4,FALSE()),99),3,IF(BD30&lt;=IFERROR(VLOOKUP(CONCATENATE(D30,YEAR(TODAY())-YEAR(C30),"syotto"),_viitearvot!$I$2:$M$205,5,FALSE()),99),2,1)))))</f>
        <v/>
      </c>
      <c r="BF30" s="65" t="n"/>
      <c r="BG30" s="66">
        <f>IF(OR(BF30="",K30=""),"",(IF(D30="P",IF(K30&lt;=IFERROR(VLOOKUP(CONCATENATE("P",ROUND(BF30,0),"lin5m"),_viitearvot!$A:$H,4,FALSE()),99),5,IF(K30&lt;=IFERROR(VLOOKUP(CONCATENATE("P",ROUND(BF30,0),"lin5m"),_viitearvot!$A:$H,5,FALSE()),99),4,IF(K30&lt;=IFERROR(VLOOKUP(CONCATENATE("P",ROUND(BF30,0),"lin5m"),_viitearvot!$A:$H,6,FALSE()),99),3,IF(K30&lt;=IFERROR(VLOOKUP(CONCATENATE("P",ROUND(BF30,0),"lin5m"),_viitearvot!$A:$H,7,FALSE()),99),2,1)))),IF(K30&lt;=IFERROR(VLOOKUP(CONCATENATE("T",ROUND(BF30,0),"lin5m"),_viitearvot!$A:$H,4,FALSE()),99),5,IF(K30&lt;=IFERROR(VLOOKUP(CONCATENATE("T",ROUND(BF30,0),"lin5m"),_viitearvot!$A:$H,5,FALSE()),99),4,IF(K30&lt;=IFERROR(VLOOKUP(CONCATENATE("T",ROUND(BF30,0),"lin5m"),_viitearvot!$A:$H,6,FALSE()),99),3,IF(K30&lt;=IFERROR(VLOOKUP(CONCATENATE("T",ROUND(BF30,0),"lin5m"),_viitearvot!$A:$H,7,FALSE()),99),2,1))))))-L30)</f>
        <v/>
      </c>
      <c r="BH30" s="67" t="n"/>
    </row>
    <row r="31" ht="17" customHeight="1" s="22">
      <c r="A31" s="52" t="n"/>
      <c r="B31" s="52" t="n"/>
      <c r="C31" s="53" t="n"/>
      <c r="D31" s="52" t="n"/>
      <c r="E31" s="52" t="n"/>
      <c r="F31" s="52" t="n"/>
      <c r="G31" s="52" t="n"/>
      <c r="H31" s="54" t="n"/>
      <c r="I31" s="54" t="n"/>
      <c r="J31" s="54" t="n"/>
      <c r="K31" s="55">
        <f>IFERROR(MIN(H31,I31,J31),"")</f>
        <v/>
      </c>
      <c r="L31" s="56">
        <f>IF(OR(K31="",D31=""),"",IF(K31&lt;=IFERROR(VLOOKUP(CONCATENATE(D31,YEAR(TODAY())-YEAR(C31),"lin5m"),_viitearvot!$I$2:$M$205,2,FALSE()),99),5,IF(K31&lt;=IFERROR(VLOOKUP(CONCATENATE(D31,YEAR(TODAY())-YEAR(C31),"lin5m"),_viitearvot!$I$2:$M$205,3,FALSE()),99),4,IF(K31&lt;=IFERROR(VLOOKUP(CONCATENATE(D31,YEAR(TODAY())-YEAR(C31),"lin5m"),_viitearvot!$I$2:$M$205,4,FALSE()),99),3,IF(K31&lt;=IFERROR(VLOOKUP(CONCATENATE(D31,YEAR(TODAY())-YEAR(C31),"lin5m"),_viitearvot!$I$2:$M$205,5,FALSE()),99),2,1)))))</f>
        <v/>
      </c>
      <c r="M31" s="54" t="n"/>
      <c r="N31" s="54" t="n"/>
      <c r="O31" s="54" t="n"/>
      <c r="P31" s="55">
        <f>IFERROR(MIN(M31,N31,O31),"")</f>
        <v/>
      </c>
      <c r="Q31" s="56">
        <f>IF(OR(P31="",D31=""),"",IF(P31&lt;=IFERROR(VLOOKUP(CONCATENATE(D31,YEAR(TODAY())-YEAR(C31),"lin10m"),_viitearvot!$I$2:$M$205,2,FALSE()),99),5,IF(P31&lt;=IFERROR(VLOOKUP(CONCATENATE(D31,YEAR(TODAY())-YEAR(C31),"lin10m"),_viitearvot!$I$2:$M$205,3,FALSE()),99),4,IF(P31&lt;=IFERROR(VLOOKUP(CONCATENATE(D31,YEAR(TODAY())-YEAR(C31),"lin10m"),_viitearvot!$I$2:$M$205,4,FALSE()),99),3,IF(P31&lt;=IFERROR(VLOOKUP(CONCATENATE(D31,YEAR(TODAY())-YEAR(C31),"lin10m"),_viitearvot!$I$2:$M$205,5,FALSE()),99),2,1)))))</f>
        <v/>
      </c>
      <c r="R31" s="54" t="n"/>
      <c r="S31" s="54" t="n"/>
      <c r="T31" s="54" t="n"/>
      <c r="U31" s="55">
        <f>IFERROR(MIN(R31,S31,T31),"")</f>
        <v/>
      </c>
      <c r="V31" s="56">
        <f>IF(OR(U31="",D31=""),"",IF(U31&lt;=IFERROR(VLOOKUP(CONCATENATE(D31,YEAR(TODAY())-YEAR(C31),"lin20m"),_viitearvot!$I$2:$M$205,2,FALSE()),99),5,IF(U31&lt;=IFERROR(VLOOKUP(CONCATENATE(D31,YEAR(TODAY())-YEAR(C31),"lin20m"),_viitearvot!$I$2:$M$205,3,FALSE()),99),4,IF(U31&lt;=IFERROR(VLOOKUP(CONCATENATE(D31,YEAR(TODAY())-YEAR(C31),"lin20m"),_viitearvot!$I$2:$M$205,4,FALSE()),99),3,IF(U31&lt;=IFERROR(VLOOKUP(CONCATENATE(D31,YEAR(TODAY())-YEAR(C31),"lin20m"),_viitearvot!$I$2:$M$205,5,FALSE()),99),2,1)))))</f>
        <v/>
      </c>
      <c r="W31" s="54" t="n"/>
      <c r="X31" s="54" t="n"/>
      <c r="Y31" s="54" t="n"/>
      <c r="Z31" s="55">
        <f>IFERROR(MIN(W31,X31,Y31),"")</f>
        <v/>
      </c>
      <c r="AA31" s="56">
        <f>IF(OR(Z31="",D31=""),"",IF(Z31&lt;=IFERROR(VLOOKUP(CONCATENATE(D31,YEAR(TODAY())-YEAR(C31),"lin30m"),_viitearvot!$I$2:$M$205,2,FALSE()),99),5,IF(Z31&lt;=IFERROR(VLOOKUP(CONCATENATE(D31,YEAR(TODAY())-YEAR(C31),"lin30m"),_viitearvot!$I$2:$M$205,3,FALSE()),99),4,IF(Z31&lt;=IFERROR(VLOOKUP(CONCATENATE(D31,YEAR(TODAY())-YEAR(C31),"lin30m"),_viitearvot!$I$2:$M$205,4,FALSE()),99),3,IF(Z31&lt;=IFERROR(VLOOKUP(CONCATENATE(D31,YEAR(TODAY())-YEAR(C31),"lin30m"),_viitearvot!$I$2:$M$205,5,FALSE()),99),2,1)))))</f>
        <v/>
      </c>
      <c r="AB31" s="54" t="n"/>
      <c r="AC31" s="54" t="n"/>
      <c r="AD31" s="54" t="n"/>
      <c r="AE31" s="55">
        <f>IFERROR(MIN(AB31,AC31,AD31),"")</f>
        <v/>
      </c>
      <c r="AF31" s="56">
        <f>IF(OR(AE31="",D31=""),"",IF(AE31&lt;=IFERROR(VLOOKUP(CONCATENATE(D31,YEAR(TODAY())-YEAR(C31),"kasirata"),_viitearvot!$I$2:$M$205,2,FALSE()),99),5,IF(AE31&lt;=IFERROR(VLOOKUP(CONCATENATE(D31,YEAR(TODAY())-YEAR(C31),"kasirata"),_viitearvot!$I$2:$M$205,3,FALSE()),99),4,IF(AE31&lt;=IFERROR(VLOOKUP(CONCATENATE(D31,YEAR(TODAY())-YEAR(C31),"kasirata"),_viitearvot!$I$2:$M$205,4,FALSE()),99),3,IF(AE31&lt;=IFERROR(VLOOKUP(CONCATENATE(D31,YEAR(TODAY())-YEAR(C31),"kasirata"),_viitearvot!$I$2:$M$205,5,FALSE()),99),2,1)))))</f>
        <v/>
      </c>
      <c r="AG31" s="54" t="n"/>
      <c r="AH31" s="54" t="n"/>
      <c r="AI31" s="54" t="n"/>
      <c r="AJ31" s="55">
        <f>IFERROR(MIN(AG31,AH31,AI31),"")</f>
        <v/>
      </c>
      <c r="AK31" s="56">
        <f>IF(OR(AJ31="",D31=""),"",IF(AJ31&lt;=IFERROR(VLOOKUP(CONCATENATE(D31,YEAR(TODAY())-YEAR(C31),"smjuoksu"),_viitearvot!$I$2:$M$205,2,FALSE()),99),5,IF(AJ31&lt;=IFERROR(VLOOKUP(CONCATENATE(D31,YEAR(TODAY())-YEAR(C31),"smjuoksu"),_viitearvot!$I$2:$M$205,3,FALSE()),99),4,IF(AJ31&lt;=IFERROR(VLOOKUP(CONCATENATE(D31,YEAR(TODAY())-YEAR(C31),"smjuoksu"),_viitearvot!$I$2:$M$205,4,FALSE()),99),3,IF(AJ31&lt;=IFERROR(VLOOKUP(CONCATENATE(D31,YEAR(TODAY())-YEAR(C31),"smjuoksu"),_viitearvot!$I$2:$M$205,5,FALSE()),99),2,1)))))</f>
        <v/>
      </c>
      <c r="AL31" s="54" t="n"/>
      <c r="AM31" s="54" t="n"/>
      <c r="AN31" s="55">
        <f>IFERROR(MIN(AL31,AM31),"")</f>
        <v/>
      </c>
      <c r="AO31" s="56">
        <f>IF(OR(AN31="",D31=""),"",IF(AN31&lt;=IFERROR(VLOOKUP(CONCATENATE(D31,YEAR(TODAY())-YEAR(C31),"smpallo"),_viitearvot!$I$2:$M$205,2,FALSE()),99),5,IF(AN31&lt;=IFERROR(VLOOKUP(CONCATENATE(D31,YEAR(TODAY())-YEAR(C31),"smpallo"),_viitearvot!$I$2:$M$205,3,FALSE()),99),4,IF(AN31&lt;=IFERROR(VLOOKUP(CONCATENATE(D31,YEAR(TODAY())-YEAR(C31),"smpallo"),_viitearvot!$I$2:$M$205,4,FALSE()),99),3,IF(AN31&lt;=IFERROR(VLOOKUP(CONCATENATE(D31,YEAR(TODAY())-YEAR(C31),"smpallo"),_viitearvot!$I$2:$M$205,5,FALSE()),99),2,1)))))</f>
        <v/>
      </c>
      <c r="AP31" s="54" t="n"/>
      <c r="AQ31" s="54" t="n"/>
      <c r="AR31" s="54" t="n"/>
      <c r="AS31" s="55">
        <f>IFERROR(MAX(AP31,AQ31,AR31),"")</f>
        <v/>
      </c>
      <c r="AT31" s="56">
        <f>IF(OR(AS31="",D31=""),"",IF(AS31&gt;=IFERROR(VLOOKUP(CONCATENATE(D31,YEAR(TODAY())-YEAR(C31),"cmj"),_viitearvot!$I$2:$M$205,2,FALSE()),0),5,IF(AS31&gt;=IFERROR(VLOOKUP(CONCATENATE(D31,YEAR(TODAY())-YEAR(C31),"cmj"),_viitearvot!$I$2:$M$205,3,FALSE()),0),4,IF(AS31&gt;=IFERROR(VLOOKUP(CONCATENATE(D31,YEAR(TODAY())-YEAR(C31),"cmj"),_viitearvot!$I$2:$M$205,4,FALSE()),0),3,IF(AS31&gt;=IFERROR(VLOOKUP(CONCATENATE(D31,YEAR(TODAY())-YEAR(C31),"cmj"),_viitearvot!$I$2:$M$205,5,FALSE()),0),2,1)))))</f>
        <v/>
      </c>
      <c r="AU31" s="54" t="n"/>
      <c r="AV31" s="55">
        <f>IFERROR(MAX(AU31),"")</f>
        <v/>
      </c>
      <c r="AW31" s="56">
        <f>IF(OR(AV31="",D31=""),"",IF(AV31&gt;=IFERROR(VLOOKUP(CONCATENATE(D31,YEAR(TODAY())-YEAR(C31),"bronco"),_viitearvot!$I$2:$M$205,2,FALSE()),0),5,IF(AV31&gt;=IFERROR(VLOOKUP(CONCATENATE(D31,YEAR(TODAY())-YEAR(C31),"bronco"),_viitearvot!$I$2:$M$205,3,FALSE()),0),4,IF(AV31&gt;=IFERROR(VLOOKUP(CONCATENATE(D31,YEAR(TODAY())-YEAR(C31),"bronco"),_viitearvot!$I$2:$M$205,4,FALSE()),0),3,IF(AV31&gt;=IFERROR(VLOOKUP(CONCATENATE(D31,YEAR(TODAY())-YEAR(C31),"bronco"),_viitearvot!$I$2:$M$205,5,FALSE()),0),2,1)))))</f>
        <v/>
      </c>
      <c r="AX31" s="54" t="n"/>
      <c r="AY31" s="54" t="n"/>
      <c r="AZ31" s="55">
        <f>IFERROR(MIN(AX31,AY31),"")</f>
        <v/>
      </c>
      <c r="BA31" s="56">
        <f>IF(OR(AZ31="",D31=""),"",IF(AZ31&lt;=IFERROR(VLOOKUP(CONCATENATE(D31,YEAR(TODAY())-YEAR(C31),"pujottelu"),_viitearvot!$I$2:$M$205,2,FALSE()),99),5,IF(AZ31&lt;=IFERROR(VLOOKUP(CONCATENATE(D31,YEAR(TODAY())-YEAR(C31),"pujottelu"),_viitearvot!$I$2:$M$205,3,FALSE()),99),4,IF(AZ31&lt;=IFERROR(VLOOKUP(CONCATENATE(D31,YEAR(TODAY())-YEAR(C31),"pujottelu"),_viitearvot!$I$2:$M$205,4,FALSE()),99),3,IF(AZ31&lt;=IFERROR(VLOOKUP(CONCATENATE(D31,YEAR(TODAY())-YEAR(C31),"pujottelu"),_viitearvot!$I$2:$M$205,5,FALSE()),99),2,1)))))</f>
        <v/>
      </c>
      <c r="BB31" s="54" t="n"/>
      <c r="BC31" s="54" t="n"/>
      <c r="BD31" s="55">
        <f>IFERROR(MIN(BB31,BC31),"")</f>
        <v/>
      </c>
      <c r="BE31" s="56">
        <f>IF(OR(BD31="",D31=""),"",IF(BD31&lt;=IFERROR(VLOOKUP(CONCATENATE(D31,YEAR(TODAY())-YEAR(C31),"syotto"),_viitearvot!$I$2:$M$205,2,FALSE()),99),5,IF(BD31&lt;=IFERROR(VLOOKUP(CONCATENATE(D31,YEAR(TODAY())-YEAR(C31),"syotto"),_viitearvot!$I$2:$M$205,3,FALSE()),99),4,IF(BD31&lt;=IFERROR(VLOOKUP(CONCATENATE(D31,YEAR(TODAY())-YEAR(C31),"syotto"),_viitearvot!$I$2:$M$205,4,FALSE()),99),3,IF(BD31&lt;=IFERROR(VLOOKUP(CONCATENATE(D31,YEAR(TODAY())-YEAR(C31),"syotto"),_viitearvot!$I$2:$M$205,5,FALSE()),99),2,1)))))</f>
        <v/>
      </c>
      <c r="BF31" s="57" t="n"/>
      <c r="BG31" s="58">
        <f>IF(OR(BF31="",K31=""),"",(IF(D31="P",IF(K31&lt;=IFERROR(VLOOKUP(CONCATENATE("P",ROUND(BF31,0),"lin5m"),_viitearvot!$A:$H,4,FALSE()),99),5,IF(K31&lt;=IFERROR(VLOOKUP(CONCATENATE("P",ROUND(BF31,0),"lin5m"),_viitearvot!$A:$H,5,FALSE()),99),4,IF(K31&lt;=IFERROR(VLOOKUP(CONCATENATE("P",ROUND(BF31,0),"lin5m"),_viitearvot!$A:$H,6,FALSE()),99),3,IF(K31&lt;=IFERROR(VLOOKUP(CONCATENATE("P",ROUND(BF31,0),"lin5m"),_viitearvot!$A:$H,7,FALSE()),99),2,1)))),IF(K31&lt;=IFERROR(VLOOKUP(CONCATENATE("T",ROUND(BF31,0),"lin5m"),_viitearvot!$A:$H,4,FALSE()),99),5,IF(K31&lt;=IFERROR(VLOOKUP(CONCATENATE("T",ROUND(BF31,0),"lin5m"),_viitearvot!$A:$H,5,FALSE()),99),4,IF(K31&lt;=IFERROR(VLOOKUP(CONCATENATE("T",ROUND(BF31,0),"lin5m"),_viitearvot!$A:$H,6,FALSE()),99),3,IF(K31&lt;=IFERROR(VLOOKUP(CONCATENATE("T",ROUND(BF31,0),"lin5m"),_viitearvot!$A:$H,7,FALSE()),99),2,1))))))-L31)</f>
        <v/>
      </c>
      <c r="BH31" s="59" t="n"/>
    </row>
    <row r="32" ht="17" customHeight="1" s="22">
      <c r="A32" s="60" t="n"/>
      <c r="B32" s="60" t="n"/>
      <c r="C32" s="61" t="n"/>
      <c r="D32" s="60" t="n"/>
      <c r="E32" s="60" t="n"/>
      <c r="F32" s="60" t="n"/>
      <c r="G32" s="60" t="n"/>
      <c r="H32" s="62" t="n"/>
      <c r="I32" s="62" t="n"/>
      <c r="J32" s="62" t="n"/>
      <c r="K32" s="63">
        <f>IFERROR(MIN(H32,I32,J32),"")</f>
        <v/>
      </c>
      <c r="L32" s="64">
        <f>IF(OR(K32="",D32=""),"",IF(K32&lt;=IFERROR(VLOOKUP(CONCATENATE(D32,YEAR(TODAY())-YEAR(C32),"lin5m"),_viitearvot!$I$2:$M$205,2,FALSE()),99),5,IF(K32&lt;=IFERROR(VLOOKUP(CONCATENATE(D32,YEAR(TODAY())-YEAR(C32),"lin5m"),_viitearvot!$I$2:$M$205,3,FALSE()),99),4,IF(K32&lt;=IFERROR(VLOOKUP(CONCATENATE(D32,YEAR(TODAY())-YEAR(C32),"lin5m"),_viitearvot!$I$2:$M$205,4,FALSE()),99),3,IF(K32&lt;=IFERROR(VLOOKUP(CONCATENATE(D32,YEAR(TODAY())-YEAR(C32),"lin5m"),_viitearvot!$I$2:$M$205,5,FALSE()),99),2,1)))))</f>
        <v/>
      </c>
      <c r="M32" s="62" t="n"/>
      <c r="N32" s="62" t="n"/>
      <c r="O32" s="62" t="n"/>
      <c r="P32" s="63">
        <f>IFERROR(MIN(M32,N32,O32),"")</f>
        <v/>
      </c>
      <c r="Q32" s="64">
        <f>IF(OR(P32="",D32=""),"",IF(P32&lt;=IFERROR(VLOOKUP(CONCATENATE(D32,YEAR(TODAY())-YEAR(C32),"lin10m"),_viitearvot!$I$2:$M$205,2,FALSE()),99),5,IF(P32&lt;=IFERROR(VLOOKUP(CONCATENATE(D32,YEAR(TODAY())-YEAR(C32),"lin10m"),_viitearvot!$I$2:$M$205,3,FALSE()),99),4,IF(P32&lt;=IFERROR(VLOOKUP(CONCATENATE(D32,YEAR(TODAY())-YEAR(C32),"lin10m"),_viitearvot!$I$2:$M$205,4,FALSE()),99),3,IF(P32&lt;=IFERROR(VLOOKUP(CONCATENATE(D32,YEAR(TODAY())-YEAR(C32),"lin10m"),_viitearvot!$I$2:$M$205,5,FALSE()),99),2,1)))))</f>
        <v/>
      </c>
      <c r="R32" s="62" t="n"/>
      <c r="S32" s="62" t="n"/>
      <c r="T32" s="62" t="n"/>
      <c r="U32" s="63">
        <f>IFERROR(MIN(R32,S32,T32),"")</f>
        <v/>
      </c>
      <c r="V32" s="64">
        <f>IF(OR(U32="",D32=""),"",IF(U32&lt;=IFERROR(VLOOKUP(CONCATENATE(D32,YEAR(TODAY())-YEAR(C32),"lin20m"),_viitearvot!$I$2:$M$205,2,FALSE()),99),5,IF(U32&lt;=IFERROR(VLOOKUP(CONCATENATE(D32,YEAR(TODAY())-YEAR(C32),"lin20m"),_viitearvot!$I$2:$M$205,3,FALSE()),99),4,IF(U32&lt;=IFERROR(VLOOKUP(CONCATENATE(D32,YEAR(TODAY())-YEAR(C32),"lin20m"),_viitearvot!$I$2:$M$205,4,FALSE()),99),3,IF(U32&lt;=IFERROR(VLOOKUP(CONCATENATE(D32,YEAR(TODAY())-YEAR(C32),"lin20m"),_viitearvot!$I$2:$M$205,5,FALSE()),99),2,1)))))</f>
        <v/>
      </c>
      <c r="W32" s="62" t="n"/>
      <c r="X32" s="62" t="n"/>
      <c r="Y32" s="62" t="n"/>
      <c r="Z32" s="63">
        <f>IFERROR(MIN(W32,X32,Y32),"")</f>
        <v/>
      </c>
      <c r="AA32" s="64">
        <f>IF(OR(Z32="",D32=""),"",IF(Z32&lt;=IFERROR(VLOOKUP(CONCATENATE(D32,YEAR(TODAY())-YEAR(C32),"lin30m"),_viitearvot!$I$2:$M$205,2,FALSE()),99),5,IF(Z32&lt;=IFERROR(VLOOKUP(CONCATENATE(D32,YEAR(TODAY())-YEAR(C32),"lin30m"),_viitearvot!$I$2:$M$205,3,FALSE()),99),4,IF(Z32&lt;=IFERROR(VLOOKUP(CONCATENATE(D32,YEAR(TODAY())-YEAR(C32),"lin30m"),_viitearvot!$I$2:$M$205,4,FALSE()),99),3,IF(Z32&lt;=IFERROR(VLOOKUP(CONCATENATE(D32,YEAR(TODAY())-YEAR(C32),"lin30m"),_viitearvot!$I$2:$M$205,5,FALSE()),99),2,1)))))</f>
        <v/>
      </c>
      <c r="AB32" s="62" t="n"/>
      <c r="AC32" s="62" t="n"/>
      <c r="AD32" s="62" t="n"/>
      <c r="AE32" s="63">
        <f>IFERROR(MIN(AB32,AC32,AD32),"")</f>
        <v/>
      </c>
      <c r="AF32" s="64">
        <f>IF(OR(AE32="",D32=""),"",IF(AE32&lt;=IFERROR(VLOOKUP(CONCATENATE(D32,YEAR(TODAY())-YEAR(C32),"kasirata"),_viitearvot!$I$2:$M$205,2,FALSE()),99),5,IF(AE32&lt;=IFERROR(VLOOKUP(CONCATENATE(D32,YEAR(TODAY())-YEAR(C32),"kasirata"),_viitearvot!$I$2:$M$205,3,FALSE()),99),4,IF(AE32&lt;=IFERROR(VLOOKUP(CONCATENATE(D32,YEAR(TODAY())-YEAR(C32),"kasirata"),_viitearvot!$I$2:$M$205,4,FALSE()),99),3,IF(AE32&lt;=IFERROR(VLOOKUP(CONCATENATE(D32,YEAR(TODAY())-YEAR(C32),"kasirata"),_viitearvot!$I$2:$M$205,5,FALSE()),99),2,1)))))</f>
        <v/>
      </c>
      <c r="AG32" s="62" t="n"/>
      <c r="AH32" s="62" t="n"/>
      <c r="AI32" s="62" t="n"/>
      <c r="AJ32" s="63">
        <f>IFERROR(MIN(AG32,AH32,AI32),"")</f>
        <v/>
      </c>
      <c r="AK32" s="64">
        <f>IF(OR(AJ32="",D32=""),"",IF(AJ32&lt;=IFERROR(VLOOKUP(CONCATENATE(D32,YEAR(TODAY())-YEAR(C32),"smjuoksu"),_viitearvot!$I$2:$M$205,2,FALSE()),99),5,IF(AJ32&lt;=IFERROR(VLOOKUP(CONCATENATE(D32,YEAR(TODAY())-YEAR(C32),"smjuoksu"),_viitearvot!$I$2:$M$205,3,FALSE()),99),4,IF(AJ32&lt;=IFERROR(VLOOKUP(CONCATENATE(D32,YEAR(TODAY())-YEAR(C32),"smjuoksu"),_viitearvot!$I$2:$M$205,4,FALSE()),99),3,IF(AJ32&lt;=IFERROR(VLOOKUP(CONCATENATE(D32,YEAR(TODAY())-YEAR(C32),"smjuoksu"),_viitearvot!$I$2:$M$205,5,FALSE()),99),2,1)))))</f>
        <v/>
      </c>
      <c r="AL32" s="62" t="n"/>
      <c r="AM32" s="62" t="n"/>
      <c r="AN32" s="63">
        <f>IFERROR(MIN(AL32,AM32),"")</f>
        <v/>
      </c>
      <c r="AO32" s="64">
        <f>IF(OR(AN32="",D32=""),"",IF(AN32&lt;=IFERROR(VLOOKUP(CONCATENATE(D32,YEAR(TODAY())-YEAR(C32),"smpallo"),_viitearvot!$I$2:$M$205,2,FALSE()),99),5,IF(AN32&lt;=IFERROR(VLOOKUP(CONCATENATE(D32,YEAR(TODAY())-YEAR(C32),"smpallo"),_viitearvot!$I$2:$M$205,3,FALSE()),99),4,IF(AN32&lt;=IFERROR(VLOOKUP(CONCATENATE(D32,YEAR(TODAY())-YEAR(C32),"smpallo"),_viitearvot!$I$2:$M$205,4,FALSE()),99),3,IF(AN32&lt;=IFERROR(VLOOKUP(CONCATENATE(D32,YEAR(TODAY())-YEAR(C32),"smpallo"),_viitearvot!$I$2:$M$205,5,FALSE()),99),2,1)))))</f>
        <v/>
      </c>
      <c r="AP32" s="62" t="n"/>
      <c r="AQ32" s="62" t="n"/>
      <c r="AR32" s="62" t="n"/>
      <c r="AS32" s="63">
        <f>IFERROR(MAX(AP32,AQ32,AR32),"")</f>
        <v/>
      </c>
      <c r="AT32" s="64">
        <f>IF(OR(AS32="",D32=""),"",IF(AS32&gt;=IFERROR(VLOOKUP(CONCATENATE(D32,YEAR(TODAY())-YEAR(C32),"cmj"),_viitearvot!$I$2:$M$205,2,FALSE()),0),5,IF(AS32&gt;=IFERROR(VLOOKUP(CONCATENATE(D32,YEAR(TODAY())-YEAR(C32),"cmj"),_viitearvot!$I$2:$M$205,3,FALSE()),0),4,IF(AS32&gt;=IFERROR(VLOOKUP(CONCATENATE(D32,YEAR(TODAY())-YEAR(C32),"cmj"),_viitearvot!$I$2:$M$205,4,FALSE()),0),3,IF(AS32&gt;=IFERROR(VLOOKUP(CONCATENATE(D32,YEAR(TODAY())-YEAR(C32),"cmj"),_viitearvot!$I$2:$M$205,5,FALSE()),0),2,1)))))</f>
        <v/>
      </c>
      <c r="AU32" s="62" t="n"/>
      <c r="AV32" s="63">
        <f>IFERROR(MAX(AU32),"")</f>
        <v/>
      </c>
      <c r="AW32" s="64">
        <f>IF(OR(AV32="",D32=""),"",IF(AV32&gt;=IFERROR(VLOOKUP(CONCATENATE(D32,YEAR(TODAY())-YEAR(C32),"bronco"),_viitearvot!$I$2:$M$205,2,FALSE()),0),5,IF(AV32&gt;=IFERROR(VLOOKUP(CONCATENATE(D32,YEAR(TODAY())-YEAR(C32),"bronco"),_viitearvot!$I$2:$M$205,3,FALSE()),0),4,IF(AV32&gt;=IFERROR(VLOOKUP(CONCATENATE(D32,YEAR(TODAY())-YEAR(C32),"bronco"),_viitearvot!$I$2:$M$205,4,FALSE()),0),3,IF(AV32&gt;=IFERROR(VLOOKUP(CONCATENATE(D32,YEAR(TODAY())-YEAR(C32),"bronco"),_viitearvot!$I$2:$M$205,5,FALSE()),0),2,1)))))</f>
        <v/>
      </c>
      <c r="AX32" s="62" t="n"/>
      <c r="AY32" s="62" t="n"/>
      <c r="AZ32" s="63">
        <f>IFERROR(MIN(AX32,AY32),"")</f>
        <v/>
      </c>
      <c r="BA32" s="64">
        <f>IF(OR(AZ32="",D32=""),"",IF(AZ32&lt;=IFERROR(VLOOKUP(CONCATENATE(D32,YEAR(TODAY())-YEAR(C32),"pujottelu"),_viitearvot!$I$2:$M$205,2,FALSE()),99),5,IF(AZ32&lt;=IFERROR(VLOOKUP(CONCATENATE(D32,YEAR(TODAY())-YEAR(C32),"pujottelu"),_viitearvot!$I$2:$M$205,3,FALSE()),99),4,IF(AZ32&lt;=IFERROR(VLOOKUP(CONCATENATE(D32,YEAR(TODAY())-YEAR(C32),"pujottelu"),_viitearvot!$I$2:$M$205,4,FALSE()),99),3,IF(AZ32&lt;=IFERROR(VLOOKUP(CONCATENATE(D32,YEAR(TODAY())-YEAR(C32),"pujottelu"),_viitearvot!$I$2:$M$205,5,FALSE()),99),2,1)))))</f>
        <v/>
      </c>
      <c r="BB32" s="62" t="n"/>
      <c r="BC32" s="62" t="n"/>
      <c r="BD32" s="63">
        <f>IFERROR(MIN(BB32,BC32),"")</f>
        <v/>
      </c>
      <c r="BE32" s="64">
        <f>IF(OR(BD32="",D32=""),"",IF(BD32&lt;=IFERROR(VLOOKUP(CONCATENATE(D32,YEAR(TODAY())-YEAR(C32),"syotto"),_viitearvot!$I$2:$M$205,2,FALSE()),99),5,IF(BD32&lt;=IFERROR(VLOOKUP(CONCATENATE(D32,YEAR(TODAY())-YEAR(C32),"syotto"),_viitearvot!$I$2:$M$205,3,FALSE()),99),4,IF(BD32&lt;=IFERROR(VLOOKUP(CONCATENATE(D32,YEAR(TODAY())-YEAR(C32),"syotto"),_viitearvot!$I$2:$M$205,4,FALSE()),99),3,IF(BD32&lt;=IFERROR(VLOOKUP(CONCATENATE(D32,YEAR(TODAY())-YEAR(C32),"syotto"),_viitearvot!$I$2:$M$205,5,FALSE()),99),2,1)))))</f>
        <v/>
      </c>
      <c r="BF32" s="65" t="n"/>
      <c r="BG32" s="66">
        <f>IF(OR(BF32="",K32=""),"",(IF(D32="P",IF(K32&lt;=IFERROR(VLOOKUP(CONCATENATE("P",ROUND(BF32,0),"lin5m"),_viitearvot!$A:$H,4,FALSE()),99),5,IF(K32&lt;=IFERROR(VLOOKUP(CONCATENATE("P",ROUND(BF32,0),"lin5m"),_viitearvot!$A:$H,5,FALSE()),99),4,IF(K32&lt;=IFERROR(VLOOKUP(CONCATENATE("P",ROUND(BF32,0),"lin5m"),_viitearvot!$A:$H,6,FALSE()),99),3,IF(K32&lt;=IFERROR(VLOOKUP(CONCATENATE("P",ROUND(BF32,0),"lin5m"),_viitearvot!$A:$H,7,FALSE()),99),2,1)))),IF(K32&lt;=IFERROR(VLOOKUP(CONCATENATE("T",ROUND(BF32,0),"lin5m"),_viitearvot!$A:$H,4,FALSE()),99),5,IF(K32&lt;=IFERROR(VLOOKUP(CONCATENATE("T",ROUND(BF32,0),"lin5m"),_viitearvot!$A:$H,5,FALSE()),99),4,IF(K32&lt;=IFERROR(VLOOKUP(CONCATENATE("T",ROUND(BF32,0),"lin5m"),_viitearvot!$A:$H,6,FALSE()),99),3,IF(K32&lt;=IFERROR(VLOOKUP(CONCATENATE("T",ROUND(BF32,0),"lin5m"),_viitearvot!$A:$H,7,FALSE()),99),2,1))))))-L32)</f>
        <v/>
      </c>
      <c r="BH32" s="67" t="n"/>
    </row>
    <row r="33" ht="17" customHeight="1" s="22">
      <c r="A33" s="52" t="n"/>
      <c r="B33" s="52" t="n"/>
      <c r="C33" s="53" t="n"/>
      <c r="D33" s="52" t="n"/>
      <c r="E33" s="52" t="n"/>
      <c r="F33" s="52" t="n"/>
      <c r="G33" s="52" t="n"/>
      <c r="H33" s="54" t="n"/>
      <c r="I33" s="54" t="n"/>
      <c r="J33" s="54" t="n"/>
      <c r="K33" s="55">
        <f>IFERROR(MIN(H33,I33,J33),"")</f>
        <v/>
      </c>
      <c r="L33" s="56">
        <f>IF(OR(K33="",D33=""),"",IF(K33&lt;=IFERROR(VLOOKUP(CONCATENATE(D33,YEAR(TODAY())-YEAR(C33),"lin5m"),_viitearvot!$I$2:$M$205,2,FALSE()),99),5,IF(K33&lt;=IFERROR(VLOOKUP(CONCATENATE(D33,YEAR(TODAY())-YEAR(C33),"lin5m"),_viitearvot!$I$2:$M$205,3,FALSE()),99),4,IF(K33&lt;=IFERROR(VLOOKUP(CONCATENATE(D33,YEAR(TODAY())-YEAR(C33),"lin5m"),_viitearvot!$I$2:$M$205,4,FALSE()),99),3,IF(K33&lt;=IFERROR(VLOOKUP(CONCATENATE(D33,YEAR(TODAY())-YEAR(C33),"lin5m"),_viitearvot!$I$2:$M$205,5,FALSE()),99),2,1)))))</f>
        <v/>
      </c>
      <c r="M33" s="54" t="n"/>
      <c r="N33" s="54" t="n"/>
      <c r="O33" s="54" t="n"/>
      <c r="P33" s="55">
        <f>IFERROR(MIN(M33,N33,O33),"")</f>
        <v/>
      </c>
      <c r="Q33" s="56">
        <f>IF(OR(P33="",D33=""),"",IF(P33&lt;=IFERROR(VLOOKUP(CONCATENATE(D33,YEAR(TODAY())-YEAR(C33),"lin10m"),_viitearvot!$I$2:$M$205,2,FALSE()),99),5,IF(P33&lt;=IFERROR(VLOOKUP(CONCATENATE(D33,YEAR(TODAY())-YEAR(C33),"lin10m"),_viitearvot!$I$2:$M$205,3,FALSE()),99),4,IF(P33&lt;=IFERROR(VLOOKUP(CONCATENATE(D33,YEAR(TODAY())-YEAR(C33),"lin10m"),_viitearvot!$I$2:$M$205,4,FALSE()),99),3,IF(P33&lt;=IFERROR(VLOOKUP(CONCATENATE(D33,YEAR(TODAY())-YEAR(C33),"lin10m"),_viitearvot!$I$2:$M$205,5,FALSE()),99),2,1)))))</f>
        <v/>
      </c>
      <c r="R33" s="54" t="n"/>
      <c r="S33" s="54" t="n"/>
      <c r="T33" s="54" t="n"/>
      <c r="U33" s="55">
        <f>IFERROR(MIN(R33,S33,T33),"")</f>
        <v/>
      </c>
      <c r="V33" s="56">
        <f>IF(OR(U33="",D33=""),"",IF(U33&lt;=IFERROR(VLOOKUP(CONCATENATE(D33,YEAR(TODAY())-YEAR(C33),"lin20m"),_viitearvot!$I$2:$M$205,2,FALSE()),99),5,IF(U33&lt;=IFERROR(VLOOKUP(CONCATENATE(D33,YEAR(TODAY())-YEAR(C33),"lin20m"),_viitearvot!$I$2:$M$205,3,FALSE()),99),4,IF(U33&lt;=IFERROR(VLOOKUP(CONCATENATE(D33,YEAR(TODAY())-YEAR(C33),"lin20m"),_viitearvot!$I$2:$M$205,4,FALSE()),99),3,IF(U33&lt;=IFERROR(VLOOKUP(CONCATENATE(D33,YEAR(TODAY())-YEAR(C33),"lin20m"),_viitearvot!$I$2:$M$205,5,FALSE()),99),2,1)))))</f>
        <v/>
      </c>
      <c r="W33" s="54" t="n"/>
      <c r="X33" s="54" t="n"/>
      <c r="Y33" s="54" t="n"/>
      <c r="Z33" s="55">
        <f>IFERROR(MIN(W33,X33,Y33),"")</f>
        <v/>
      </c>
      <c r="AA33" s="56">
        <f>IF(OR(Z33="",D33=""),"",IF(Z33&lt;=IFERROR(VLOOKUP(CONCATENATE(D33,YEAR(TODAY())-YEAR(C33),"lin30m"),_viitearvot!$I$2:$M$205,2,FALSE()),99),5,IF(Z33&lt;=IFERROR(VLOOKUP(CONCATENATE(D33,YEAR(TODAY())-YEAR(C33),"lin30m"),_viitearvot!$I$2:$M$205,3,FALSE()),99),4,IF(Z33&lt;=IFERROR(VLOOKUP(CONCATENATE(D33,YEAR(TODAY())-YEAR(C33),"lin30m"),_viitearvot!$I$2:$M$205,4,FALSE()),99),3,IF(Z33&lt;=IFERROR(VLOOKUP(CONCATENATE(D33,YEAR(TODAY())-YEAR(C33),"lin30m"),_viitearvot!$I$2:$M$205,5,FALSE()),99),2,1)))))</f>
        <v/>
      </c>
      <c r="AB33" s="54" t="n"/>
      <c r="AC33" s="54" t="n"/>
      <c r="AD33" s="54" t="n"/>
      <c r="AE33" s="55">
        <f>IFERROR(MIN(AB33,AC33,AD33),"")</f>
        <v/>
      </c>
      <c r="AF33" s="56">
        <f>IF(OR(AE33="",D33=""),"",IF(AE33&lt;=IFERROR(VLOOKUP(CONCATENATE(D33,YEAR(TODAY())-YEAR(C33),"kasirata"),_viitearvot!$I$2:$M$205,2,FALSE()),99),5,IF(AE33&lt;=IFERROR(VLOOKUP(CONCATENATE(D33,YEAR(TODAY())-YEAR(C33),"kasirata"),_viitearvot!$I$2:$M$205,3,FALSE()),99),4,IF(AE33&lt;=IFERROR(VLOOKUP(CONCATENATE(D33,YEAR(TODAY())-YEAR(C33),"kasirata"),_viitearvot!$I$2:$M$205,4,FALSE()),99),3,IF(AE33&lt;=IFERROR(VLOOKUP(CONCATENATE(D33,YEAR(TODAY())-YEAR(C33),"kasirata"),_viitearvot!$I$2:$M$205,5,FALSE()),99),2,1)))))</f>
        <v/>
      </c>
      <c r="AG33" s="54" t="n"/>
      <c r="AH33" s="54" t="n"/>
      <c r="AI33" s="54" t="n"/>
      <c r="AJ33" s="55">
        <f>IFERROR(MIN(AG33,AH33,AI33),"")</f>
        <v/>
      </c>
      <c r="AK33" s="56">
        <f>IF(OR(AJ33="",D33=""),"",IF(AJ33&lt;=IFERROR(VLOOKUP(CONCATENATE(D33,YEAR(TODAY())-YEAR(C33),"smjuoksu"),_viitearvot!$I$2:$M$205,2,FALSE()),99),5,IF(AJ33&lt;=IFERROR(VLOOKUP(CONCATENATE(D33,YEAR(TODAY())-YEAR(C33),"smjuoksu"),_viitearvot!$I$2:$M$205,3,FALSE()),99),4,IF(AJ33&lt;=IFERROR(VLOOKUP(CONCATENATE(D33,YEAR(TODAY())-YEAR(C33),"smjuoksu"),_viitearvot!$I$2:$M$205,4,FALSE()),99),3,IF(AJ33&lt;=IFERROR(VLOOKUP(CONCATENATE(D33,YEAR(TODAY())-YEAR(C33),"smjuoksu"),_viitearvot!$I$2:$M$205,5,FALSE()),99),2,1)))))</f>
        <v/>
      </c>
      <c r="AL33" s="54" t="n"/>
      <c r="AM33" s="54" t="n"/>
      <c r="AN33" s="55">
        <f>IFERROR(MIN(AL33,AM33),"")</f>
        <v/>
      </c>
      <c r="AO33" s="56">
        <f>IF(OR(AN33="",D33=""),"",IF(AN33&lt;=IFERROR(VLOOKUP(CONCATENATE(D33,YEAR(TODAY())-YEAR(C33),"smpallo"),_viitearvot!$I$2:$M$205,2,FALSE()),99),5,IF(AN33&lt;=IFERROR(VLOOKUP(CONCATENATE(D33,YEAR(TODAY())-YEAR(C33),"smpallo"),_viitearvot!$I$2:$M$205,3,FALSE()),99),4,IF(AN33&lt;=IFERROR(VLOOKUP(CONCATENATE(D33,YEAR(TODAY())-YEAR(C33),"smpallo"),_viitearvot!$I$2:$M$205,4,FALSE()),99),3,IF(AN33&lt;=IFERROR(VLOOKUP(CONCATENATE(D33,YEAR(TODAY())-YEAR(C33),"smpallo"),_viitearvot!$I$2:$M$205,5,FALSE()),99),2,1)))))</f>
        <v/>
      </c>
      <c r="AP33" s="54" t="n"/>
      <c r="AQ33" s="54" t="n"/>
      <c r="AR33" s="54" t="n"/>
      <c r="AS33" s="55">
        <f>IFERROR(MAX(AP33,AQ33,AR33),"")</f>
        <v/>
      </c>
      <c r="AT33" s="56">
        <f>IF(OR(AS33="",D33=""),"",IF(AS33&gt;=IFERROR(VLOOKUP(CONCATENATE(D33,YEAR(TODAY())-YEAR(C33),"cmj"),_viitearvot!$I$2:$M$205,2,FALSE()),0),5,IF(AS33&gt;=IFERROR(VLOOKUP(CONCATENATE(D33,YEAR(TODAY())-YEAR(C33),"cmj"),_viitearvot!$I$2:$M$205,3,FALSE()),0),4,IF(AS33&gt;=IFERROR(VLOOKUP(CONCATENATE(D33,YEAR(TODAY())-YEAR(C33),"cmj"),_viitearvot!$I$2:$M$205,4,FALSE()),0),3,IF(AS33&gt;=IFERROR(VLOOKUP(CONCATENATE(D33,YEAR(TODAY())-YEAR(C33),"cmj"),_viitearvot!$I$2:$M$205,5,FALSE()),0),2,1)))))</f>
        <v/>
      </c>
      <c r="AU33" s="54" t="n"/>
      <c r="AV33" s="55">
        <f>IFERROR(MAX(AU33),"")</f>
        <v/>
      </c>
      <c r="AW33" s="56">
        <f>IF(OR(AV33="",D33=""),"",IF(AV33&gt;=IFERROR(VLOOKUP(CONCATENATE(D33,YEAR(TODAY())-YEAR(C33),"bronco"),_viitearvot!$I$2:$M$205,2,FALSE()),0),5,IF(AV33&gt;=IFERROR(VLOOKUP(CONCATENATE(D33,YEAR(TODAY())-YEAR(C33),"bronco"),_viitearvot!$I$2:$M$205,3,FALSE()),0),4,IF(AV33&gt;=IFERROR(VLOOKUP(CONCATENATE(D33,YEAR(TODAY())-YEAR(C33),"bronco"),_viitearvot!$I$2:$M$205,4,FALSE()),0),3,IF(AV33&gt;=IFERROR(VLOOKUP(CONCATENATE(D33,YEAR(TODAY())-YEAR(C33),"bronco"),_viitearvot!$I$2:$M$205,5,FALSE()),0),2,1)))))</f>
        <v/>
      </c>
      <c r="AX33" s="54" t="n"/>
      <c r="AY33" s="54" t="n"/>
      <c r="AZ33" s="55">
        <f>IFERROR(MIN(AX33,AY33),"")</f>
        <v/>
      </c>
      <c r="BA33" s="56">
        <f>IF(OR(AZ33="",D33=""),"",IF(AZ33&lt;=IFERROR(VLOOKUP(CONCATENATE(D33,YEAR(TODAY())-YEAR(C33),"pujottelu"),_viitearvot!$I$2:$M$205,2,FALSE()),99),5,IF(AZ33&lt;=IFERROR(VLOOKUP(CONCATENATE(D33,YEAR(TODAY())-YEAR(C33),"pujottelu"),_viitearvot!$I$2:$M$205,3,FALSE()),99),4,IF(AZ33&lt;=IFERROR(VLOOKUP(CONCATENATE(D33,YEAR(TODAY())-YEAR(C33),"pujottelu"),_viitearvot!$I$2:$M$205,4,FALSE()),99),3,IF(AZ33&lt;=IFERROR(VLOOKUP(CONCATENATE(D33,YEAR(TODAY())-YEAR(C33),"pujottelu"),_viitearvot!$I$2:$M$205,5,FALSE()),99),2,1)))))</f>
        <v/>
      </c>
      <c r="BB33" s="54" t="n"/>
      <c r="BC33" s="54" t="n"/>
      <c r="BD33" s="55">
        <f>IFERROR(MIN(BB33,BC33),"")</f>
        <v/>
      </c>
      <c r="BE33" s="56">
        <f>IF(OR(BD33="",D33=""),"",IF(BD33&lt;=IFERROR(VLOOKUP(CONCATENATE(D33,YEAR(TODAY())-YEAR(C33),"syotto"),_viitearvot!$I$2:$M$205,2,FALSE()),99),5,IF(BD33&lt;=IFERROR(VLOOKUP(CONCATENATE(D33,YEAR(TODAY())-YEAR(C33),"syotto"),_viitearvot!$I$2:$M$205,3,FALSE()),99),4,IF(BD33&lt;=IFERROR(VLOOKUP(CONCATENATE(D33,YEAR(TODAY())-YEAR(C33),"syotto"),_viitearvot!$I$2:$M$205,4,FALSE()),99),3,IF(BD33&lt;=IFERROR(VLOOKUP(CONCATENATE(D33,YEAR(TODAY())-YEAR(C33),"syotto"),_viitearvot!$I$2:$M$205,5,FALSE()),99),2,1)))))</f>
        <v/>
      </c>
      <c r="BF33" s="57" t="n"/>
      <c r="BG33" s="58">
        <f>IF(OR(BF33="",K33=""),"",(IF(D33="P",IF(K33&lt;=IFERROR(VLOOKUP(CONCATENATE("P",ROUND(BF33,0),"lin5m"),_viitearvot!$A:$H,4,FALSE()),99),5,IF(K33&lt;=IFERROR(VLOOKUP(CONCATENATE("P",ROUND(BF33,0),"lin5m"),_viitearvot!$A:$H,5,FALSE()),99),4,IF(K33&lt;=IFERROR(VLOOKUP(CONCATENATE("P",ROUND(BF33,0),"lin5m"),_viitearvot!$A:$H,6,FALSE()),99),3,IF(K33&lt;=IFERROR(VLOOKUP(CONCATENATE("P",ROUND(BF33,0),"lin5m"),_viitearvot!$A:$H,7,FALSE()),99),2,1)))),IF(K33&lt;=IFERROR(VLOOKUP(CONCATENATE("T",ROUND(BF33,0),"lin5m"),_viitearvot!$A:$H,4,FALSE()),99),5,IF(K33&lt;=IFERROR(VLOOKUP(CONCATENATE("T",ROUND(BF33,0),"lin5m"),_viitearvot!$A:$H,5,FALSE()),99),4,IF(K33&lt;=IFERROR(VLOOKUP(CONCATENATE("T",ROUND(BF33,0),"lin5m"),_viitearvot!$A:$H,6,FALSE()),99),3,IF(K33&lt;=IFERROR(VLOOKUP(CONCATENATE("T",ROUND(BF33,0),"lin5m"),_viitearvot!$A:$H,7,FALSE()),99),2,1))))))-L33)</f>
        <v/>
      </c>
      <c r="BH33" s="59" t="n"/>
    </row>
    <row r="34" ht="17" customHeight="1" s="22">
      <c r="A34" s="60" t="n"/>
      <c r="B34" s="60" t="n"/>
      <c r="C34" s="61" t="n"/>
      <c r="D34" s="60" t="n"/>
      <c r="E34" s="60" t="n"/>
      <c r="F34" s="60" t="n"/>
      <c r="G34" s="60" t="n"/>
      <c r="H34" s="62" t="n"/>
      <c r="I34" s="62" t="n"/>
      <c r="J34" s="62" t="n"/>
      <c r="K34" s="63">
        <f>IFERROR(MIN(H34,I34,J34),"")</f>
        <v/>
      </c>
      <c r="L34" s="64">
        <f>IF(OR(K34="",D34=""),"",IF(K34&lt;=IFERROR(VLOOKUP(CONCATENATE(D34,YEAR(TODAY())-YEAR(C34),"lin5m"),_viitearvot!$I$2:$M$205,2,FALSE()),99),5,IF(K34&lt;=IFERROR(VLOOKUP(CONCATENATE(D34,YEAR(TODAY())-YEAR(C34),"lin5m"),_viitearvot!$I$2:$M$205,3,FALSE()),99),4,IF(K34&lt;=IFERROR(VLOOKUP(CONCATENATE(D34,YEAR(TODAY())-YEAR(C34),"lin5m"),_viitearvot!$I$2:$M$205,4,FALSE()),99),3,IF(K34&lt;=IFERROR(VLOOKUP(CONCATENATE(D34,YEAR(TODAY())-YEAR(C34),"lin5m"),_viitearvot!$I$2:$M$205,5,FALSE()),99),2,1)))))</f>
        <v/>
      </c>
      <c r="M34" s="62" t="n"/>
      <c r="N34" s="62" t="n"/>
      <c r="O34" s="62" t="n"/>
      <c r="P34" s="63">
        <f>IFERROR(MIN(M34,N34,O34),"")</f>
        <v/>
      </c>
      <c r="Q34" s="64">
        <f>IF(OR(P34="",D34=""),"",IF(P34&lt;=IFERROR(VLOOKUP(CONCATENATE(D34,YEAR(TODAY())-YEAR(C34),"lin10m"),_viitearvot!$I$2:$M$205,2,FALSE()),99),5,IF(P34&lt;=IFERROR(VLOOKUP(CONCATENATE(D34,YEAR(TODAY())-YEAR(C34),"lin10m"),_viitearvot!$I$2:$M$205,3,FALSE()),99),4,IF(P34&lt;=IFERROR(VLOOKUP(CONCATENATE(D34,YEAR(TODAY())-YEAR(C34),"lin10m"),_viitearvot!$I$2:$M$205,4,FALSE()),99),3,IF(P34&lt;=IFERROR(VLOOKUP(CONCATENATE(D34,YEAR(TODAY())-YEAR(C34),"lin10m"),_viitearvot!$I$2:$M$205,5,FALSE()),99),2,1)))))</f>
        <v/>
      </c>
      <c r="R34" s="62" t="n"/>
      <c r="S34" s="62" t="n"/>
      <c r="T34" s="62" t="n"/>
      <c r="U34" s="63">
        <f>IFERROR(MIN(R34,S34,T34),"")</f>
        <v/>
      </c>
      <c r="V34" s="64">
        <f>IF(OR(U34="",D34=""),"",IF(U34&lt;=IFERROR(VLOOKUP(CONCATENATE(D34,YEAR(TODAY())-YEAR(C34),"lin20m"),_viitearvot!$I$2:$M$205,2,FALSE()),99),5,IF(U34&lt;=IFERROR(VLOOKUP(CONCATENATE(D34,YEAR(TODAY())-YEAR(C34),"lin20m"),_viitearvot!$I$2:$M$205,3,FALSE()),99),4,IF(U34&lt;=IFERROR(VLOOKUP(CONCATENATE(D34,YEAR(TODAY())-YEAR(C34),"lin20m"),_viitearvot!$I$2:$M$205,4,FALSE()),99),3,IF(U34&lt;=IFERROR(VLOOKUP(CONCATENATE(D34,YEAR(TODAY())-YEAR(C34),"lin20m"),_viitearvot!$I$2:$M$205,5,FALSE()),99),2,1)))))</f>
        <v/>
      </c>
      <c r="W34" s="62" t="n"/>
      <c r="X34" s="62" t="n"/>
      <c r="Y34" s="62" t="n"/>
      <c r="Z34" s="63">
        <f>IFERROR(MIN(W34,X34,Y34),"")</f>
        <v/>
      </c>
      <c r="AA34" s="64">
        <f>IF(OR(Z34="",D34=""),"",IF(Z34&lt;=IFERROR(VLOOKUP(CONCATENATE(D34,YEAR(TODAY())-YEAR(C34),"lin30m"),_viitearvot!$I$2:$M$205,2,FALSE()),99),5,IF(Z34&lt;=IFERROR(VLOOKUP(CONCATENATE(D34,YEAR(TODAY())-YEAR(C34),"lin30m"),_viitearvot!$I$2:$M$205,3,FALSE()),99),4,IF(Z34&lt;=IFERROR(VLOOKUP(CONCATENATE(D34,YEAR(TODAY())-YEAR(C34),"lin30m"),_viitearvot!$I$2:$M$205,4,FALSE()),99),3,IF(Z34&lt;=IFERROR(VLOOKUP(CONCATENATE(D34,YEAR(TODAY())-YEAR(C34),"lin30m"),_viitearvot!$I$2:$M$205,5,FALSE()),99),2,1)))))</f>
        <v/>
      </c>
      <c r="AB34" s="62" t="n"/>
      <c r="AC34" s="62" t="n"/>
      <c r="AD34" s="62" t="n"/>
      <c r="AE34" s="63">
        <f>IFERROR(MIN(AB34,AC34,AD34),"")</f>
        <v/>
      </c>
      <c r="AF34" s="64">
        <f>IF(OR(AE34="",D34=""),"",IF(AE34&lt;=IFERROR(VLOOKUP(CONCATENATE(D34,YEAR(TODAY())-YEAR(C34),"kasirata"),_viitearvot!$I$2:$M$205,2,FALSE()),99),5,IF(AE34&lt;=IFERROR(VLOOKUP(CONCATENATE(D34,YEAR(TODAY())-YEAR(C34),"kasirata"),_viitearvot!$I$2:$M$205,3,FALSE()),99),4,IF(AE34&lt;=IFERROR(VLOOKUP(CONCATENATE(D34,YEAR(TODAY())-YEAR(C34),"kasirata"),_viitearvot!$I$2:$M$205,4,FALSE()),99),3,IF(AE34&lt;=IFERROR(VLOOKUP(CONCATENATE(D34,YEAR(TODAY())-YEAR(C34),"kasirata"),_viitearvot!$I$2:$M$205,5,FALSE()),99),2,1)))))</f>
        <v/>
      </c>
      <c r="AG34" s="62" t="n"/>
      <c r="AH34" s="62" t="n"/>
      <c r="AI34" s="62" t="n"/>
      <c r="AJ34" s="63">
        <f>IFERROR(MIN(AG34,AH34,AI34),"")</f>
        <v/>
      </c>
      <c r="AK34" s="64">
        <f>IF(OR(AJ34="",D34=""),"",IF(AJ34&lt;=IFERROR(VLOOKUP(CONCATENATE(D34,YEAR(TODAY())-YEAR(C34),"smjuoksu"),_viitearvot!$I$2:$M$205,2,FALSE()),99),5,IF(AJ34&lt;=IFERROR(VLOOKUP(CONCATENATE(D34,YEAR(TODAY())-YEAR(C34),"smjuoksu"),_viitearvot!$I$2:$M$205,3,FALSE()),99),4,IF(AJ34&lt;=IFERROR(VLOOKUP(CONCATENATE(D34,YEAR(TODAY())-YEAR(C34),"smjuoksu"),_viitearvot!$I$2:$M$205,4,FALSE()),99),3,IF(AJ34&lt;=IFERROR(VLOOKUP(CONCATENATE(D34,YEAR(TODAY())-YEAR(C34),"smjuoksu"),_viitearvot!$I$2:$M$205,5,FALSE()),99),2,1)))))</f>
        <v/>
      </c>
      <c r="AL34" s="62" t="n"/>
      <c r="AM34" s="62" t="n"/>
      <c r="AN34" s="63">
        <f>IFERROR(MIN(AL34,AM34),"")</f>
        <v/>
      </c>
      <c r="AO34" s="64">
        <f>IF(OR(AN34="",D34=""),"",IF(AN34&lt;=IFERROR(VLOOKUP(CONCATENATE(D34,YEAR(TODAY())-YEAR(C34),"smpallo"),_viitearvot!$I$2:$M$205,2,FALSE()),99),5,IF(AN34&lt;=IFERROR(VLOOKUP(CONCATENATE(D34,YEAR(TODAY())-YEAR(C34),"smpallo"),_viitearvot!$I$2:$M$205,3,FALSE()),99),4,IF(AN34&lt;=IFERROR(VLOOKUP(CONCATENATE(D34,YEAR(TODAY())-YEAR(C34),"smpallo"),_viitearvot!$I$2:$M$205,4,FALSE()),99),3,IF(AN34&lt;=IFERROR(VLOOKUP(CONCATENATE(D34,YEAR(TODAY())-YEAR(C34),"smpallo"),_viitearvot!$I$2:$M$205,5,FALSE()),99),2,1)))))</f>
        <v/>
      </c>
      <c r="AP34" s="62" t="n"/>
      <c r="AQ34" s="62" t="n"/>
      <c r="AR34" s="62" t="n"/>
      <c r="AS34" s="63">
        <f>IFERROR(MAX(AP34,AQ34,AR34),"")</f>
        <v/>
      </c>
      <c r="AT34" s="64">
        <f>IF(OR(AS34="",D34=""),"",IF(AS34&gt;=IFERROR(VLOOKUP(CONCATENATE(D34,YEAR(TODAY())-YEAR(C34),"cmj"),_viitearvot!$I$2:$M$205,2,FALSE()),0),5,IF(AS34&gt;=IFERROR(VLOOKUP(CONCATENATE(D34,YEAR(TODAY())-YEAR(C34),"cmj"),_viitearvot!$I$2:$M$205,3,FALSE()),0),4,IF(AS34&gt;=IFERROR(VLOOKUP(CONCATENATE(D34,YEAR(TODAY())-YEAR(C34),"cmj"),_viitearvot!$I$2:$M$205,4,FALSE()),0),3,IF(AS34&gt;=IFERROR(VLOOKUP(CONCATENATE(D34,YEAR(TODAY())-YEAR(C34),"cmj"),_viitearvot!$I$2:$M$205,5,FALSE()),0),2,1)))))</f>
        <v/>
      </c>
      <c r="AU34" s="62" t="n"/>
      <c r="AV34" s="63">
        <f>IFERROR(MAX(AU34),"")</f>
        <v/>
      </c>
      <c r="AW34" s="64">
        <f>IF(OR(AV34="",D34=""),"",IF(AV34&gt;=IFERROR(VLOOKUP(CONCATENATE(D34,YEAR(TODAY())-YEAR(C34),"bronco"),_viitearvot!$I$2:$M$205,2,FALSE()),0),5,IF(AV34&gt;=IFERROR(VLOOKUP(CONCATENATE(D34,YEAR(TODAY())-YEAR(C34),"bronco"),_viitearvot!$I$2:$M$205,3,FALSE()),0),4,IF(AV34&gt;=IFERROR(VLOOKUP(CONCATENATE(D34,YEAR(TODAY())-YEAR(C34),"bronco"),_viitearvot!$I$2:$M$205,4,FALSE()),0),3,IF(AV34&gt;=IFERROR(VLOOKUP(CONCATENATE(D34,YEAR(TODAY())-YEAR(C34),"bronco"),_viitearvot!$I$2:$M$205,5,FALSE()),0),2,1)))))</f>
        <v/>
      </c>
      <c r="AX34" s="62" t="n"/>
      <c r="AY34" s="62" t="n"/>
      <c r="AZ34" s="63">
        <f>IFERROR(MIN(AX34,AY34),"")</f>
        <v/>
      </c>
      <c r="BA34" s="64">
        <f>IF(OR(AZ34="",D34=""),"",IF(AZ34&lt;=IFERROR(VLOOKUP(CONCATENATE(D34,YEAR(TODAY())-YEAR(C34),"pujottelu"),_viitearvot!$I$2:$M$205,2,FALSE()),99),5,IF(AZ34&lt;=IFERROR(VLOOKUP(CONCATENATE(D34,YEAR(TODAY())-YEAR(C34),"pujottelu"),_viitearvot!$I$2:$M$205,3,FALSE()),99),4,IF(AZ34&lt;=IFERROR(VLOOKUP(CONCATENATE(D34,YEAR(TODAY())-YEAR(C34),"pujottelu"),_viitearvot!$I$2:$M$205,4,FALSE()),99),3,IF(AZ34&lt;=IFERROR(VLOOKUP(CONCATENATE(D34,YEAR(TODAY())-YEAR(C34),"pujottelu"),_viitearvot!$I$2:$M$205,5,FALSE()),99),2,1)))))</f>
        <v/>
      </c>
      <c r="BB34" s="62" t="n"/>
      <c r="BC34" s="62" t="n"/>
      <c r="BD34" s="63">
        <f>IFERROR(MIN(BB34,BC34),"")</f>
        <v/>
      </c>
      <c r="BE34" s="64">
        <f>IF(OR(BD34="",D34=""),"",IF(BD34&lt;=IFERROR(VLOOKUP(CONCATENATE(D34,YEAR(TODAY())-YEAR(C34),"syotto"),_viitearvot!$I$2:$M$205,2,FALSE()),99),5,IF(BD34&lt;=IFERROR(VLOOKUP(CONCATENATE(D34,YEAR(TODAY())-YEAR(C34),"syotto"),_viitearvot!$I$2:$M$205,3,FALSE()),99),4,IF(BD34&lt;=IFERROR(VLOOKUP(CONCATENATE(D34,YEAR(TODAY())-YEAR(C34),"syotto"),_viitearvot!$I$2:$M$205,4,FALSE()),99),3,IF(BD34&lt;=IFERROR(VLOOKUP(CONCATENATE(D34,YEAR(TODAY())-YEAR(C34),"syotto"),_viitearvot!$I$2:$M$205,5,FALSE()),99),2,1)))))</f>
        <v/>
      </c>
      <c r="BF34" s="65" t="n"/>
      <c r="BG34" s="66">
        <f>IF(OR(BF34="",K34=""),"",(IF(D34="P",IF(K34&lt;=IFERROR(VLOOKUP(CONCATENATE("P",ROUND(BF34,0),"lin5m"),_viitearvot!$A:$H,4,FALSE()),99),5,IF(K34&lt;=IFERROR(VLOOKUP(CONCATENATE("P",ROUND(BF34,0),"lin5m"),_viitearvot!$A:$H,5,FALSE()),99),4,IF(K34&lt;=IFERROR(VLOOKUP(CONCATENATE("P",ROUND(BF34,0),"lin5m"),_viitearvot!$A:$H,6,FALSE()),99),3,IF(K34&lt;=IFERROR(VLOOKUP(CONCATENATE("P",ROUND(BF34,0),"lin5m"),_viitearvot!$A:$H,7,FALSE()),99),2,1)))),IF(K34&lt;=IFERROR(VLOOKUP(CONCATENATE("T",ROUND(BF34,0),"lin5m"),_viitearvot!$A:$H,4,FALSE()),99),5,IF(K34&lt;=IFERROR(VLOOKUP(CONCATENATE("T",ROUND(BF34,0),"lin5m"),_viitearvot!$A:$H,5,FALSE()),99),4,IF(K34&lt;=IFERROR(VLOOKUP(CONCATENATE("T",ROUND(BF34,0),"lin5m"),_viitearvot!$A:$H,6,FALSE()),99),3,IF(K34&lt;=IFERROR(VLOOKUP(CONCATENATE("T",ROUND(BF34,0),"lin5m"),_viitearvot!$A:$H,7,FALSE()),99),2,1))))))-L34)</f>
        <v/>
      </c>
      <c r="BH34" s="67" t="n"/>
    </row>
    <row r="35" ht="17" customHeight="1" s="22">
      <c r="A35" s="52" t="n"/>
      <c r="B35" s="52" t="n"/>
      <c r="C35" s="53" t="n"/>
      <c r="D35" s="52" t="n"/>
      <c r="E35" s="52" t="n"/>
      <c r="F35" s="52" t="n"/>
      <c r="G35" s="52" t="n"/>
      <c r="H35" s="54" t="n"/>
      <c r="I35" s="54" t="n"/>
      <c r="J35" s="54" t="n"/>
      <c r="K35" s="55">
        <f>IFERROR(MIN(H35,I35,J35),"")</f>
        <v/>
      </c>
      <c r="L35" s="56">
        <f>IF(OR(K35="",D35=""),"",IF(K35&lt;=IFERROR(VLOOKUP(CONCATENATE(D35,YEAR(TODAY())-YEAR(C35),"lin5m"),_viitearvot!$I$2:$M$205,2,FALSE()),99),5,IF(K35&lt;=IFERROR(VLOOKUP(CONCATENATE(D35,YEAR(TODAY())-YEAR(C35),"lin5m"),_viitearvot!$I$2:$M$205,3,FALSE()),99),4,IF(K35&lt;=IFERROR(VLOOKUP(CONCATENATE(D35,YEAR(TODAY())-YEAR(C35),"lin5m"),_viitearvot!$I$2:$M$205,4,FALSE()),99),3,IF(K35&lt;=IFERROR(VLOOKUP(CONCATENATE(D35,YEAR(TODAY())-YEAR(C35),"lin5m"),_viitearvot!$I$2:$M$205,5,FALSE()),99),2,1)))))</f>
        <v/>
      </c>
      <c r="M35" s="54" t="n"/>
      <c r="N35" s="54" t="n"/>
      <c r="O35" s="54" t="n"/>
      <c r="P35" s="55">
        <f>IFERROR(MIN(M35,N35,O35),"")</f>
        <v/>
      </c>
      <c r="Q35" s="56">
        <f>IF(OR(P35="",D35=""),"",IF(P35&lt;=IFERROR(VLOOKUP(CONCATENATE(D35,YEAR(TODAY())-YEAR(C35),"lin10m"),_viitearvot!$I$2:$M$205,2,FALSE()),99),5,IF(P35&lt;=IFERROR(VLOOKUP(CONCATENATE(D35,YEAR(TODAY())-YEAR(C35),"lin10m"),_viitearvot!$I$2:$M$205,3,FALSE()),99),4,IF(P35&lt;=IFERROR(VLOOKUP(CONCATENATE(D35,YEAR(TODAY())-YEAR(C35),"lin10m"),_viitearvot!$I$2:$M$205,4,FALSE()),99),3,IF(P35&lt;=IFERROR(VLOOKUP(CONCATENATE(D35,YEAR(TODAY())-YEAR(C35),"lin10m"),_viitearvot!$I$2:$M$205,5,FALSE()),99),2,1)))))</f>
        <v/>
      </c>
      <c r="R35" s="54" t="n"/>
      <c r="S35" s="54" t="n"/>
      <c r="T35" s="54" t="n"/>
      <c r="U35" s="55">
        <f>IFERROR(MIN(R35,S35,T35),"")</f>
        <v/>
      </c>
      <c r="V35" s="56">
        <f>IF(OR(U35="",D35=""),"",IF(U35&lt;=IFERROR(VLOOKUP(CONCATENATE(D35,YEAR(TODAY())-YEAR(C35),"lin20m"),_viitearvot!$I$2:$M$205,2,FALSE()),99),5,IF(U35&lt;=IFERROR(VLOOKUP(CONCATENATE(D35,YEAR(TODAY())-YEAR(C35),"lin20m"),_viitearvot!$I$2:$M$205,3,FALSE()),99),4,IF(U35&lt;=IFERROR(VLOOKUP(CONCATENATE(D35,YEAR(TODAY())-YEAR(C35),"lin20m"),_viitearvot!$I$2:$M$205,4,FALSE()),99),3,IF(U35&lt;=IFERROR(VLOOKUP(CONCATENATE(D35,YEAR(TODAY())-YEAR(C35),"lin20m"),_viitearvot!$I$2:$M$205,5,FALSE()),99),2,1)))))</f>
        <v/>
      </c>
      <c r="W35" s="54" t="n"/>
      <c r="X35" s="54" t="n"/>
      <c r="Y35" s="54" t="n"/>
      <c r="Z35" s="55">
        <f>IFERROR(MIN(W35,X35,Y35),"")</f>
        <v/>
      </c>
      <c r="AA35" s="56">
        <f>IF(OR(Z35="",D35=""),"",IF(Z35&lt;=IFERROR(VLOOKUP(CONCATENATE(D35,YEAR(TODAY())-YEAR(C35),"lin30m"),_viitearvot!$I$2:$M$205,2,FALSE()),99),5,IF(Z35&lt;=IFERROR(VLOOKUP(CONCATENATE(D35,YEAR(TODAY())-YEAR(C35),"lin30m"),_viitearvot!$I$2:$M$205,3,FALSE()),99),4,IF(Z35&lt;=IFERROR(VLOOKUP(CONCATENATE(D35,YEAR(TODAY())-YEAR(C35),"lin30m"),_viitearvot!$I$2:$M$205,4,FALSE()),99),3,IF(Z35&lt;=IFERROR(VLOOKUP(CONCATENATE(D35,YEAR(TODAY())-YEAR(C35),"lin30m"),_viitearvot!$I$2:$M$205,5,FALSE()),99),2,1)))))</f>
        <v/>
      </c>
      <c r="AB35" s="54" t="n"/>
      <c r="AC35" s="54" t="n"/>
      <c r="AD35" s="54" t="n"/>
      <c r="AE35" s="55">
        <f>IFERROR(MIN(AB35,AC35,AD35),"")</f>
        <v/>
      </c>
      <c r="AF35" s="56">
        <f>IF(OR(AE35="",D35=""),"",IF(AE35&lt;=IFERROR(VLOOKUP(CONCATENATE(D35,YEAR(TODAY())-YEAR(C35),"kasirata"),_viitearvot!$I$2:$M$205,2,FALSE()),99),5,IF(AE35&lt;=IFERROR(VLOOKUP(CONCATENATE(D35,YEAR(TODAY())-YEAR(C35),"kasirata"),_viitearvot!$I$2:$M$205,3,FALSE()),99),4,IF(AE35&lt;=IFERROR(VLOOKUP(CONCATENATE(D35,YEAR(TODAY())-YEAR(C35),"kasirata"),_viitearvot!$I$2:$M$205,4,FALSE()),99),3,IF(AE35&lt;=IFERROR(VLOOKUP(CONCATENATE(D35,YEAR(TODAY())-YEAR(C35),"kasirata"),_viitearvot!$I$2:$M$205,5,FALSE()),99),2,1)))))</f>
        <v/>
      </c>
      <c r="AG35" s="54" t="n"/>
      <c r="AH35" s="54" t="n"/>
      <c r="AI35" s="54" t="n"/>
      <c r="AJ35" s="55">
        <f>IFERROR(MIN(AG35,AH35,AI35),"")</f>
        <v/>
      </c>
      <c r="AK35" s="56">
        <f>IF(OR(AJ35="",D35=""),"",IF(AJ35&lt;=IFERROR(VLOOKUP(CONCATENATE(D35,YEAR(TODAY())-YEAR(C35),"smjuoksu"),_viitearvot!$I$2:$M$205,2,FALSE()),99),5,IF(AJ35&lt;=IFERROR(VLOOKUP(CONCATENATE(D35,YEAR(TODAY())-YEAR(C35),"smjuoksu"),_viitearvot!$I$2:$M$205,3,FALSE()),99),4,IF(AJ35&lt;=IFERROR(VLOOKUP(CONCATENATE(D35,YEAR(TODAY())-YEAR(C35),"smjuoksu"),_viitearvot!$I$2:$M$205,4,FALSE()),99),3,IF(AJ35&lt;=IFERROR(VLOOKUP(CONCATENATE(D35,YEAR(TODAY())-YEAR(C35),"smjuoksu"),_viitearvot!$I$2:$M$205,5,FALSE()),99),2,1)))))</f>
        <v/>
      </c>
      <c r="AL35" s="54" t="n"/>
      <c r="AM35" s="54" t="n"/>
      <c r="AN35" s="55">
        <f>IFERROR(MIN(AL35,AM35),"")</f>
        <v/>
      </c>
      <c r="AO35" s="56">
        <f>IF(OR(AN35="",D35=""),"",IF(AN35&lt;=IFERROR(VLOOKUP(CONCATENATE(D35,YEAR(TODAY())-YEAR(C35),"smpallo"),_viitearvot!$I$2:$M$205,2,FALSE()),99),5,IF(AN35&lt;=IFERROR(VLOOKUP(CONCATENATE(D35,YEAR(TODAY())-YEAR(C35),"smpallo"),_viitearvot!$I$2:$M$205,3,FALSE()),99),4,IF(AN35&lt;=IFERROR(VLOOKUP(CONCATENATE(D35,YEAR(TODAY())-YEAR(C35),"smpallo"),_viitearvot!$I$2:$M$205,4,FALSE()),99),3,IF(AN35&lt;=IFERROR(VLOOKUP(CONCATENATE(D35,YEAR(TODAY())-YEAR(C35),"smpallo"),_viitearvot!$I$2:$M$205,5,FALSE()),99),2,1)))))</f>
        <v/>
      </c>
      <c r="AP35" s="54" t="n"/>
      <c r="AQ35" s="54" t="n"/>
      <c r="AR35" s="54" t="n"/>
      <c r="AS35" s="55">
        <f>IFERROR(MAX(AP35,AQ35,AR35),"")</f>
        <v/>
      </c>
      <c r="AT35" s="56">
        <f>IF(OR(AS35="",D35=""),"",IF(AS35&gt;=IFERROR(VLOOKUP(CONCATENATE(D35,YEAR(TODAY())-YEAR(C35),"cmj"),_viitearvot!$I$2:$M$205,2,FALSE()),0),5,IF(AS35&gt;=IFERROR(VLOOKUP(CONCATENATE(D35,YEAR(TODAY())-YEAR(C35),"cmj"),_viitearvot!$I$2:$M$205,3,FALSE()),0),4,IF(AS35&gt;=IFERROR(VLOOKUP(CONCATENATE(D35,YEAR(TODAY())-YEAR(C35),"cmj"),_viitearvot!$I$2:$M$205,4,FALSE()),0),3,IF(AS35&gt;=IFERROR(VLOOKUP(CONCATENATE(D35,YEAR(TODAY())-YEAR(C35),"cmj"),_viitearvot!$I$2:$M$205,5,FALSE()),0),2,1)))))</f>
        <v/>
      </c>
      <c r="AU35" s="54" t="n"/>
      <c r="AV35" s="55">
        <f>IFERROR(MAX(AU35),"")</f>
        <v/>
      </c>
      <c r="AW35" s="56">
        <f>IF(OR(AV35="",D35=""),"",IF(AV35&gt;=IFERROR(VLOOKUP(CONCATENATE(D35,YEAR(TODAY())-YEAR(C35),"bronco"),_viitearvot!$I$2:$M$205,2,FALSE()),0),5,IF(AV35&gt;=IFERROR(VLOOKUP(CONCATENATE(D35,YEAR(TODAY())-YEAR(C35),"bronco"),_viitearvot!$I$2:$M$205,3,FALSE()),0),4,IF(AV35&gt;=IFERROR(VLOOKUP(CONCATENATE(D35,YEAR(TODAY())-YEAR(C35),"bronco"),_viitearvot!$I$2:$M$205,4,FALSE()),0),3,IF(AV35&gt;=IFERROR(VLOOKUP(CONCATENATE(D35,YEAR(TODAY())-YEAR(C35),"bronco"),_viitearvot!$I$2:$M$205,5,FALSE()),0),2,1)))))</f>
        <v/>
      </c>
      <c r="AX35" s="54" t="n"/>
      <c r="AY35" s="54" t="n"/>
      <c r="AZ35" s="55">
        <f>IFERROR(MIN(AX35,AY35),"")</f>
        <v/>
      </c>
      <c r="BA35" s="56">
        <f>IF(OR(AZ35="",D35=""),"",IF(AZ35&lt;=IFERROR(VLOOKUP(CONCATENATE(D35,YEAR(TODAY())-YEAR(C35),"pujottelu"),_viitearvot!$I$2:$M$205,2,FALSE()),99),5,IF(AZ35&lt;=IFERROR(VLOOKUP(CONCATENATE(D35,YEAR(TODAY())-YEAR(C35),"pujottelu"),_viitearvot!$I$2:$M$205,3,FALSE()),99),4,IF(AZ35&lt;=IFERROR(VLOOKUP(CONCATENATE(D35,YEAR(TODAY())-YEAR(C35),"pujottelu"),_viitearvot!$I$2:$M$205,4,FALSE()),99),3,IF(AZ35&lt;=IFERROR(VLOOKUP(CONCATENATE(D35,YEAR(TODAY())-YEAR(C35),"pujottelu"),_viitearvot!$I$2:$M$205,5,FALSE()),99),2,1)))))</f>
        <v/>
      </c>
      <c r="BB35" s="54" t="n"/>
      <c r="BC35" s="54" t="n"/>
      <c r="BD35" s="55">
        <f>IFERROR(MIN(BB35,BC35),"")</f>
        <v/>
      </c>
      <c r="BE35" s="56">
        <f>IF(OR(BD35="",D35=""),"",IF(BD35&lt;=IFERROR(VLOOKUP(CONCATENATE(D35,YEAR(TODAY())-YEAR(C35),"syotto"),_viitearvot!$I$2:$M$205,2,FALSE()),99),5,IF(BD35&lt;=IFERROR(VLOOKUP(CONCATENATE(D35,YEAR(TODAY())-YEAR(C35),"syotto"),_viitearvot!$I$2:$M$205,3,FALSE()),99),4,IF(BD35&lt;=IFERROR(VLOOKUP(CONCATENATE(D35,YEAR(TODAY())-YEAR(C35),"syotto"),_viitearvot!$I$2:$M$205,4,FALSE()),99),3,IF(BD35&lt;=IFERROR(VLOOKUP(CONCATENATE(D35,YEAR(TODAY())-YEAR(C35),"syotto"),_viitearvot!$I$2:$M$205,5,FALSE()),99),2,1)))))</f>
        <v/>
      </c>
      <c r="BF35" s="57" t="n"/>
      <c r="BG35" s="58">
        <f>IF(OR(BF35="",K35=""),"",(IF(D35="P",IF(K35&lt;=IFERROR(VLOOKUP(CONCATENATE("P",ROUND(BF35,0),"lin5m"),_viitearvot!$A:$H,4,FALSE()),99),5,IF(K35&lt;=IFERROR(VLOOKUP(CONCATENATE("P",ROUND(BF35,0),"lin5m"),_viitearvot!$A:$H,5,FALSE()),99),4,IF(K35&lt;=IFERROR(VLOOKUP(CONCATENATE("P",ROUND(BF35,0),"lin5m"),_viitearvot!$A:$H,6,FALSE()),99),3,IF(K35&lt;=IFERROR(VLOOKUP(CONCATENATE("P",ROUND(BF35,0),"lin5m"),_viitearvot!$A:$H,7,FALSE()),99),2,1)))),IF(K35&lt;=IFERROR(VLOOKUP(CONCATENATE("T",ROUND(BF35,0),"lin5m"),_viitearvot!$A:$H,4,FALSE()),99),5,IF(K35&lt;=IFERROR(VLOOKUP(CONCATENATE("T",ROUND(BF35,0),"lin5m"),_viitearvot!$A:$H,5,FALSE()),99),4,IF(K35&lt;=IFERROR(VLOOKUP(CONCATENATE("T",ROUND(BF35,0),"lin5m"),_viitearvot!$A:$H,6,FALSE()),99),3,IF(K35&lt;=IFERROR(VLOOKUP(CONCATENATE("T",ROUND(BF35,0),"lin5m"),_viitearvot!$A:$H,7,FALSE()),99),2,1))))))-L35)</f>
        <v/>
      </c>
      <c r="BH35" s="59" t="n"/>
    </row>
    <row r="36" ht="17" customHeight="1" s="22">
      <c r="A36" s="60" t="n"/>
      <c r="B36" s="60" t="n"/>
      <c r="C36" s="61" t="n"/>
      <c r="D36" s="60" t="n"/>
      <c r="E36" s="60" t="n"/>
      <c r="F36" s="60" t="n"/>
      <c r="G36" s="60" t="n"/>
      <c r="H36" s="62" t="n"/>
      <c r="I36" s="62" t="n"/>
      <c r="J36" s="62" t="n"/>
      <c r="K36" s="63">
        <f>IFERROR(MIN(H36,I36,J36),"")</f>
        <v/>
      </c>
      <c r="L36" s="64">
        <f>IF(OR(K36="",D36=""),"",IF(K36&lt;=IFERROR(VLOOKUP(CONCATENATE(D36,YEAR(TODAY())-YEAR(C36),"lin5m"),_viitearvot!$I$2:$M$205,2,FALSE()),99),5,IF(K36&lt;=IFERROR(VLOOKUP(CONCATENATE(D36,YEAR(TODAY())-YEAR(C36),"lin5m"),_viitearvot!$I$2:$M$205,3,FALSE()),99),4,IF(K36&lt;=IFERROR(VLOOKUP(CONCATENATE(D36,YEAR(TODAY())-YEAR(C36),"lin5m"),_viitearvot!$I$2:$M$205,4,FALSE()),99),3,IF(K36&lt;=IFERROR(VLOOKUP(CONCATENATE(D36,YEAR(TODAY())-YEAR(C36),"lin5m"),_viitearvot!$I$2:$M$205,5,FALSE()),99),2,1)))))</f>
        <v/>
      </c>
      <c r="M36" s="62" t="n"/>
      <c r="N36" s="62" t="n"/>
      <c r="O36" s="62" t="n"/>
      <c r="P36" s="63">
        <f>IFERROR(MIN(M36,N36,O36),"")</f>
        <v/>
      </c>
      <c r="Q36" s="64">
        <f>IF(OR(P36="",D36=""),"",IF(P36&lt;=IFERROR(VLOOKUP(CONCATENATE(D36,YEAR(TODAY())-YEAR(C36),"lin10m"),_viitearvot!$I$2:$M$205,2,FALSE()),99),5,IF(P36&lt;=IFERROR(VLOOKUP(CONCATENATE(D36,YEAR(TODAY())-YEAR(C36),"lin10m"),_viitearvot!$I$2:$M$205,3,FALSE()),99),4,IF(P36&lt;=IFERROR(VLOOKUP(CONCATENATE(D36,YEAR(TODAY())-YEAR(C36),"lin10m"),_viitearvot!$I$2:$M$205,4,FALSE()),99),3,IF(P36&lt;=IFERROR(VLOOKUP(CONCATENATE(D36,YEAR(TODAY())-YEAR(C36),"lin10m"),_viitearvot!$I$2:$M$205,5,FALSE()),99),2,1)))))</f>
        <v/>
      </c>
      <c r="R36" s="62" t="n"/>
      <c r="S36" s="62" t="n"/>
      <c r="T36" s="62" t="n"/>
      <c r="U36" s="63">
        <f>IFERROR(MIN(R36,S36,T36),"")</f>
        <v/>
      </c>
      <c r="V36" s="64">
        <f>IF(OR(U36="",D36=""),"",IF(U36&lt;=IFERROR(VLOOKUP(CONCATENATE(D36,YEAR(TODAY())-YEAR(C36),"lin20m"),_viitearvot!$I$2:$M$205,2,FALSE()),99),5,IF(U36&lt;=IFERROR(VLOOKUP(CONCATENATE(D36,YEAR(TODAY())-YEAR(C36),"lin20m"),_viitearvot!$I$2:$M$205,3,FALSE()),99),4,IF(U36&lt;=IFERROR(VLOOKUP(CONCATENATE(D36,YEAR(TODAY())-YEAR(C36),"lin20m"),_viitearvot!$I$2:$M$205,4,FALSE()),99),3,IF(U36&lt;=IFERROR(VLOOKUP(CONCATENATE(D36,YEAR(TODAY())-YEAR(C36),"lin20m"),_viitearvot!$I$2:$M$205,5,FALSE()),99),2,1)))))</f>
        <v/>
      </c>
      <c r="W36" s="62" t="n"/>
      <c r="X36" s="62" t="n"/>
      <c r="Y36" s="62" t="n"/>
      <c r="Z36" s="63">
        <f>IFERROR(MIN(W36,X36,Y36),"")</f>
        <v/>
      </c>
      <c r="AA36" s="64">
        <f>IF(OR(Z36="",D36=""),"",IF(Z36&lt;=IFERROR(VLOOKUP(CONCATENATE(D36,YEAR(TODAY())-YEAR(C36),"lin30m"),_viitearvot!$I$2:$M$205,2,FALSE()),99),5,IF(Z36&lt;=IFERROR(VLOOKUP(CONCATENATE(D36,YEAR(TODAY())-YEAR(C36),"lin30m"),_viitearvot!$I$2:$M$205,3,FALSE()),99),4,IF(Z36&lt;=IFERROR(VLOOKUP(CONCATENATE(D36,YEAR(TODAY())-YEAR(C36),"lin30m"),_viitearvot!$I$2:$M$205,4,FALSE()),99),3,IF(Z36&lt;=IFERROR(VLOOKUP(CONCATENATE(D36,YEAR(TODAY())-YEAR(C36),"lin30m"),_viitearvot!$I$2:$M$205,5,FALSE()),99),2,1)))))</f>
        <v/>
      </c>
      <c r="AB36" s="62" t="n"/>
      <c r="AC36" s="62" t="n"/>
      <c r="AD36" s="62" t="n"/>
      <c r="AE36" s="63">
        <f>IFERROR(MIN(AB36,AC36,AD36),"")</f>
        <v/>
      </c>
      <c r="AF36" s="64">
        <f>IF(OR(AE36="",D36=""),"",IF(AE36&lt;=IFERROR(VLOOKUP(CONCATENATE(D36,YEAR(TODAY())-YEAR(C36),"kasirata"),_viitearvot!$I$2:$M$205,2,FALSE()),99),5,IF(AE36&lt;=IFERROR(VLOOKUP(CONCATENATE(D36,YEAR(TODAY())-YEAR(C36),"kasirata"),_viitearvot!$I$2:$M$205,3,FALSE()),99),4,IF(AE36&lt;=IFERROR(VLOOKUP(CONCATENATE(D36,YEAR(TODAY())-YEAR(C36),"kasirata"),_viitearvot!$I$2:$M$205,4,FALSE()),99),3,IF(AE36&lt;=IFERROR(VLOOKUP(CONCATENATE(D36,YEAR(TODAY())-YEAR(C36),"kasirata"),_viitearvot!$I$2:$M$205,5,FALSE()),99),2,1)))))</f>
        <v/>
      </c>
      <c r="AG36" s="62" t="n"/>
      <c r="AH36" s="62" t="n"/>
      <c r="AI36" s="62" t="n"/>
      <c r="AJ36" s="63">
        <f>IFERROR(MIN(AG36,AH36,AI36),"")</f>
        <v/>
      </c>
      <c r="AK36" s="64">
        <f>IF(OR(AJ36="",D36=""),"",IF(AJ36&lt;=IFERROR(VLOOKUP(CONCATENATE(D36,YEAR(TODAY())-YEAR(C36),"smjuoksu"),_viitearvot!$I$2:$M$205,2,FALSE()),99),5,IF(AJ36&lt;=IFERROR(VLOOKUP(CONCATENATE(D36,YEAR(TODAY())-YEAR(C36),"smjuoksu"),_viitearvot!$I$2:$M$205,3,FALSE()),99),4,IF(AJ36&lt;=IFERROR(VLOOKUP(CONCATENATE(D36,YEAR(TODAY())-YEAR(C36),"smjuoksu"),_viitearvot!$I$2:$M$205,4,FALSE()),99),3,IF(AJ36&lt;=IFERROR(VLOOKUP(CONCATENATE(D36,YEAR(TODAY())-YEAR(C36),"smjuoksu"),_viitearvot!$I$2:$M$205,5,FALSE()),99),2,1)))))</f>
        <v/>
      </c>
      <c r="AL36" s="62" t="n"/>
      <c r="AM36" s="62" t="n"/>
      <c r="AN36" s="63">
        <f>IFERROR(MIN(AL36,AM36),"")</f>
        <v/>
      </c>
      <c r="AO36" s="64">
        <f>IF(OR(AN36="",D36=""),"",IF(AN36&lt;=IFERROR(VLOOKUP(CONCATENATE(D36,YEAR(TODAY())-YEAR(C36),"smpallo"),_viitearvot!$I$2:$M$205,2,FALSE()),99),5,IF(AN36&lt;=IFERROR(VLOOKUP(CONCATENATE(D36,YEAR(TODAY())-YEAR(C36),"smpallo"),_viitearvot!$I$2:$M$205,3,FALSE()),99),4,IF(AN36&lt;=IFERROR(VLOOKUP(CONCATENATE(D36,YEAR(TODAY())-YEAR(C36),"smpallo"),_viitearvot!$I$2:$M$205,4,FALSE()),99),3,IF(AN36&lt;=IFERROR(VLOOKUP(CONCATENATE(D36,YEAR(TODAY())-YEAR(C36),"smpallo"),_viitearvot!$I$2:$M$205,5,FALSE()),99),2,1)))))</f>
        <v/>
      </c>
      <c r="AP36" s="62" t="n"/>
      <c r="AQ36" s="62" t="n"/>
      <c r="AR36" s="62" t="n"/>
      <c r="AS36" s="63">
        <f>IFERROR(MAX(AP36,AQ36,AR36),"")</f>
        <v/>
      </c>
      <c r="AT36" s="64">
        <f>IF(OR(AS36="",D36=""),"",IF(AS36&gt;=IFERROR(VLOOKUP(CONCATENATE(D36,YEAR(TODAY())-YEAR(C36),"cmj"),_viitearvot!$I$2:$M$205,2,FALSE()),0),5,IF(AS36&gt;=IFERROR(VLOOKUP(CONCATENATE(D36,YEAR(TODAY())-YEAR(C36),"cmj"),_viitearvot!$I$2:$M$205,3,FALSE()),0),4,IF(AS36&gt;=IFERROR(VLOOKUP(CONCATENATE(D36,YEAR(TODAY())-YEAR(C36),"cmj"),_viitearvot!$I$2:$M$205,4,FALSE()),0),3,IF(AS36&gt;=IFERROR(VLOOKUP(CONCATENATE(D36,YEAR(TODAY())-YEAR(C36),"cmj"),_viitearvot!$I$2:$M$205,5,FALSE()),0),2,1)))))</f>
        <v/>
      </c>
      <c r="AU36" s="62" t="n"/>
      <c r="AV36" s="63">
        <f>IFERROR(MAX(AU36),"")</f>
        <v/>
      </c>
      <c r="AW36" s="64">
        <f>IF(OR(AV36="",D36=""),"",IF(AV36&gt;=IFERROR(VLOOKUP(CONCATENATE(D36,YEAR(TODAY())-YEAR(C36),"bronco"),_viitearvot!$I$2:$M$205,2,FALSE()),0),5,IF(AV36&gt;=IFERROR(VLOOKUP(CONCATENATE(D36,YEAR(TODAY())-YEAR(C36),"bronco"),_viitearvot!$I$2:$M$205,3,FALSE()),0),4,IF(AV36&gt;=IFERROR(VLOOKUP(CONCATENATE(D36,YEAR(TODAY())-YEAR(C36),"bronco"),_viitearvot!$I$2:$M$205,4,FALSE()),0),3,IF(AV36&gt;=IFERROR(VLOOKUP(CONCATENATE(D36,YEAR(TODAY())-YEAR(C36),"bronco"),_viitearvot!$I$2:$M$205,5,FALSE()),0),2,1)))))</f>
        <v/>
      </c>
      <c r="AX36" s="62" t="n"/>
      <c r="AY36" s="62" t="n"/>
      <c r="AZ36" s="63">
        <f>IFERROR(MIN(AX36,AY36),"")</f>
        <v/>
      </c>
      <c r="BA36" s="64">
        <f>IF(OR(AZ36="",D36=""),"",IF(AZ36&lt;=IFERROR(VLOOKUP(CONCATENATE(D36,YEAR(TODAY())-YEAR(C36),"pujottelu"),_viitearvot!$I$2:$M$205,2,FALSE()),99),5,IF(AZ36&lt;=IFERROR(VLOOKUP(CONCATENATE(D36,YEAR(TODAY())-YEAR(C36),"pujottelu"),_viitearvot!$I$2:$M$205,3,FALSE()),99),4,IF(AZ36&lt;=IFERROR(VLOOKUP(CONCATENATE(D36,YEAR(TODAY())-YEAR(C36),"pujottelu"),_viitearvot!$I$2:$M$205,4,FALSE()),99),3,IF(AZ36&lt;=IFERROR(VLOOKUP(CONCATENATE(D36,YEAR(TODAY())-YEAR(C36),"pujottelu"),_viitearvot!$I$2:$M$205,5,FALSE()),99),2,1)))))</f>
        <v/>
      </c>
      <c r="BB36" s="62" t="n"/>
      <c r="BC36" s="62" t="n"/>
      <c r="BD36" s="63">
        <f>IFERROR(MIN(BB36,BC36),"")</f>
        <v/>
      </c>
      <c r="BE36" s="64">
        <f>IF(OR(BD36="",D36=""),"",IF(BD36&lt;=IFERROR(VLOOKUP(CONCATENATE(D36,YEAR(TODAY())-YEAR(C36),"syotto"),_viitearvot!$I$2:$M$205,2,FALSE()),99),5,IF(BD36&lt;=IFERROR(VLOOKUP(CONCATENATE(D36,YEAR(TODAY())-YEAR(C36),"syotto"),_viitearvot!$I$2:$M$205,3,FALSE()),99),4,IF(BD36&lt;=IFERROR(VLOOKUP(CONCATENATE(D36,YEAR(TODAY())-YEAR(C36),"syotto"),_viitearvot!$I$2:$M$205,4,FALSE()),99),3,IF(BD36&lt;=IFERROR(VLOOKUP(CONCATENATE(D36,YEAR(TODAY())-YEAR(C36),"syotto"),_viitearvot!$I$2:$M$205,5,FALSE()),99),2,1)))))</f>
        <v/>
      </c>
      <c r="BF36" s="65" t="n"/>
      <c r="BG36" s="66">
        <f>IF(OR(BF36="",K36=""),"",(IF(D36="P",IF(K36&lt;=IFERROR(VLOOKUP(CONCATENATE("P",ROUND(BF36,0),"lin5m"),_viitearvot!$A:$H,4,FALSE()),99),5,IF(K36&lt;=IFERROR(VLOOKUP(CONCATENATE("P",ROUND(BF36,0),"lin5m"),_viitearvot!$A:$H,5,FALSE()),99),4,IF(K36&lt;=IFERROR(VLOOKUP(CONCATENATE("P",ROUND(BF36,0),"lin5m"),_viitearvot!$A:$H,6,FALSE()),99),3,IF(K36&lt;=IFERROR(VLOOKUP(CONCATENATE("P",ROUND(BF36,0),"lin5m"),_viitearvot!$A:$H,7,FALSE()),99),2,1)))),IF(K36&lt;=IFERROR(VLOOKUP(CONCATENATE("T",ROUND(BF36,0),"lin5m"),_viitearvot!$A:$H,4,FALSE()),99),5,IF(K36&lt;=IFERROR(VLOOKUP(CONCATENATE("T",ROUND(BF36,0),"lin5m"),_viitearvot!$A:$H,5,FALSE()),99),4,IF(K36&lt;=IFERROR(VLOOKUP(CONCATENATE("T",ROUND(BF36,0),"lin5m"),_viitearvot!$A:$H,6,FALSE()),99),3,IF(K36&lt;=IFERROR(VLOOKUP(CONCATENATE("T",ROUND(BF36,0),"lin5m"),_viitearvot!$A:$H,7,FALSE()),99),2,1))))))-L36)</f>
        <v/>
      </c>
      <c r="BH36" s="67" t="n"/>
    </row>
    <row r="37" ht="17" customHeight="1" s="22">
      <c r="A37" s="52" t="n"/>
      <c r="B37" s="52" t="n"/>
      <c r="C37" s="53" t="n"/>
      <c r="D37" s="52" t="n"/>
      <c r="E37" s="52" t="n"/>
      <c r="F37" s="52" t="n"/>
      <c r="G37" s="52" t="n"/>
      <c r="H37" s="54" t="n"/>
      <c r="I37" s="54" t="n"/>
      <c r="J37" s="54" t="n"/>
      <c r="K37" s="55">
        <f>IFERROR(MIN(H37,I37,J37),"")</f>
        <v/>
      </c>
      <c r="L37" s="56">
        <f>IF(OR(K37="",D37=""),"",IF(K37&lt;=IFERROR(VLOOKUP(CONCATENATE(D37,YEAR(TODAY())-YEAR(C37),"lin5m"),_viitearvot!$I$2:$M$205,2,FALSE()),99),5,IF(K37&lt;=IFERROR(VLOOKUP(CONCATENATE(D37,YEAR(TODAY())-YEAR(C37),"lin5m"),_viitearvot!$I$2:$M$205,3,FALSE()),99),4,IF(K37&lt;=IFERROR(VLOOKUP(CONCATENATE(D37,YEAR(TODAY())-YEAR(C37),"lin5m"),_viitearvot!$I$2:$M$205,4,FALSE()),99),3,IF(K37&lt;=IFERROR(VLOOKUP(CONCATENATE(D37,YEAR(TODAY())-YEAR(C37),"lin5m"),_viitearvot!$I$2:$M$205,5,FALSE()),99),2,1)))))</f>
        <v/>
      </c>
      <c r="M37" s="54" t="n"/>
      <c r="N37" s="54" t="n"/>
      <c r="O37" s="54" t="n"/>
      <c r="P37" s="55">
        <f>IFERROR(MIN(M37,N37,O37),"")</f>
        <v/>
      </c>
      <c r="Q37" s="56">
        <f>IF(OR(P37="",D37=""),"",IF(P37&lt;=IFERROR(VLOOKUP(CONCATENATE(D37,YEAR(TODAY())-YEAR(C37),"lin10m"),_viitearvot!$I$2:$M$205,2,FALSE()),99),5,IF(P37&lt;=IFERROR(VLOOKUP(CONCATENATE(D37,YEAR(TODAY())-YEAR(C37),"lin10m"),_viitearvot!$I$2:$M$205,3,FALSE()),99),4,IF(P37&lt;=IFERROR(VLOOKUP(CONCATENATE(D37,YEAR(TODAY())-YEAR(C37),"lin10m"),_viitearvot!$I$2:$M$205,4,FALSE()),99),3,IF(P37&lt;=IFERROR(VLOOKUP(CONCATENATE(D37,YEAR(TODAY())-YEAR(C37),"lin10m"),_viitearvot!$I$2:$M$205,5,FALSE()),99),2,1)))))</f>
        <v/>
      </c>
      <c r="R37" s="54" t="n"/>
      <c r="S37" s="54" t="n"/>
      <c r="T37" s="54" t="n"/>
      <c r="U37" s="55">
        <f>IFERROR(MIN(R37,S37,T37),"")</f>
        <v/>
      </c>
      <c r="V37" s="56">
        <f>IF(OR(U37="",D37=""),"",IF(U37&lt;=IFERROR(VLOOKUP(CONCATENATE(D37,YEAR(TODAY())-YEAR(C37),"lin20m"),_viitearvot!$I$2:$M$205,2,FALSE()),99),5,IF(U37&lt;=IFERROR(VLOOKUP(CONCATENATE(D37,YEAR(TODAY())-YEAR(C37),"lin20m"),_viitearvot!$I$2:$M$205,3,FALSE()),99),4,IF(U37&lt;=IFERROR(VLOOKUP(CONCATENATE(D37,YEAR(TODAY())-YEAR(C37),"lin20m"),_viitearvot!$I$2:$M$205,4,FALSE()),99),3,IF(U37&lt;=IFERROR(VLOOKUP(CONCATENATE(D37,YEAR(TODAY())-YEAR(C37),"lin20m"),_viitearvot!$I$2:$M$205,5,FALSE()),99),2,1)))))</f>
        <v/>
      </c>
      <c r="W37" s="54" t="n"/>
      <c r="X37" s="54" t="n"/>
      <c r="Y37" s="54" t="n"/>
      <c r="Z37" s="55">
        <f>IFERROR(MIN(W37,X37,Y37),"")</f>
        <v/>
      </c>
      <c r="AA37" s="56">
        <f>IF(OR(Z37="",D37=""),"",IF(Z37&lt;=IFERROR(VLOOKUP(CONCATENATE(D37,YEAR(TODAY())-YEAR(C37),"lin30m"),_viitearvot!$I$2:$M$205,2,FALSE()),99),5,IF(Z37&lt;=IFERROR(VLOOKUP(CONCATENATE(D37,YEAR(TODAY())-YEAR(C37),"lin30m"),_viitearvot!$I$2:$M$205,3,FALSE()),99),4,IF(Z37&lt;=IFERROR(VLOOKUP(CONCATENATE(D37,YEAR(TODAY())-YEAR(C37),"lin30m"),_viitearvot!$I$2:$M$205,4,FALSE()),99),3,IF(Z37&lt;=IFERROR(VLOOKUP(CONCATENATE(D37,YEAR(TODAY())-YEAR(C37),"lin30m"),_viitearvot!$I$2:$M$205,5,FALSE()),99),2,1)))))</f>
        <v/>
      </c>
      <c r="AB37" s="54" t="n"/>
      <c r="AC37" s="54" t="n"/>
      <c r="AD37" s="54" t="n"/>
      <c r="AE37" s="55">
        <f>IFERROR(MIN(AB37,AC37,AD37),"")</f>
        <v/>
      </c>
      <c r="AF37" s="56">
        <f>IF(OR(AE37="",D37=""),"",IF(AE37&lt;=IFERROR(VLOOKUP(CONCATENATE(D37,YEAR(TODAY())-YEAR(C37),"kasirata"),_viitearvot!$I$2:$M$205,2,FALSE()),99),5,IF(AE37&lt;=IFERROR(VLOOKUP(CONCATENATE(D37,YEAR(TODAY())-YEAR(C37),"kasirata"),_viitearvot!$I$2:$M$205,3,FALSE()),99),4,IF(AE37&lt;=IFERROR(VLOOKUP(CONCATENATE(D37,YEAR(TODAY())-YEAR(C37),"kasirata"),_viitearvot!$I$2:$M$205,4,FALSE()),99),3,IF(AE37&lt;=IFERROR(VLOOKUP(CONCATENATE(D37,YEAR(TODAY())-YEAR(C37),"kasirata"),_viitearvot!$I$2:$M$205,5,FALSE()),99),2,1)))))</f>
        <v/>
      </c>
      <c r="AG37" s="54" t="n"/>
      <c r="AH37" s="54" t="n"/>
      <c r="AI37" s="54" t="n"/>
      <c r="AJ37" s="55">
        <f>IFERROR(MIN(AG37,AH37,AI37),"")</f>
        <v/>
      </c>
      <c r="AK37" s="56">
        <f>IF(OR(AJ37="",D37=""),"",IF(AJ37&lt;=IFERROR(VLOOKUP(CONCATENATE(D37,YEAR(TODAY())-YEAR(C37),"smjuoksu"),_viitearvot!$I$2:$M$205,2,FALSE()),99),5,IF(AJ37&lt;=IFERROR(VLOOKUP(CONCATENATE(D37,YEAR(TODAY())-YEAR(C37),"smjuoksu"),_viitearvot!$I$2:$M$205,3,FALSE()),99),4,IF(AJ37&lt;=IFERROR(VLOOKUP(CONCATENATE(D37,YEAR(TODAY())-YEAR(C37),"smjuoksu"),_viitearvot!$I$2:$M$205,4,FALSE()),99),3,IF(AJ37&lt;=IFERROR(VLOOKUP(CONCATENATE(D37,YEAR(TODAY())-YEAR(C37),"smjuoksu"),_viitearvot!$I$2:$M$205,5,FALSE()),99),2,1)))))</f>
        <v/>
      </c>
      <c r="AL37" s="54" t="n"/>
      <c r="AM37" s="54" t="n"/>
      <c r="AN37" s="55">
        <f>IFERROR(MIN(AL37,AM37),"")</f>
        <v/>
      </c>
      <c r="AO37" s="56">
        <f>IF(OR(AN37="",D37=""),"",IF(AN37&lt;=IFERROR(VLOOKUP(CONCATENATE(D37,YEAR(TODAY())-YEAR(C37),"smpallo"),_viitearvot!$I$2:$M$205,2,FALSE()),99),5,IF(AN37&lt;=IFERROR(VLOOKUP(CONCATENATE(D37,YEAR(TODAY())-YEAR(C37),"smpallo"),_viitearvot!$I$2:$M$205,3,FALSE()),99),4,IF(AN37&lt;=IFERROR(VLOOKUP(CONCATENATE(D37,YEAR(TODAY())-YEAR(C37),"smpallo"),_viitearvot!$I$2:$M$205,4,FALSE()),99),3,IF(AN37&lt;=IFERROR(VLOOKUP(CONCATENATE(D37,YEAR(TODAY())-YEAR(C37),"smpallo"),_viitearvot!$I$2:$M$205,5,FALSE()),99),2,1)))))</f>
        <v/>
      </c>
      <c r="AP37" s="54" t="n"/>
      <c r="AQ37" s="54" t="n"/>
      <c r="AR37" s="54" t="n"/>
      <c r="AS37" s="55">
        <f>IFERROR(MAX(AP37,AQ37,AR37),"")</f>
        <v/>
      </c>
      <c r="AT37" s="56">
        <f>IF(OR(AS37="",D37=""),"",IF(AS37&gt;=IFERROR(VLOOKUP(CONCATENATE(D37,YEAR(TODAY())-YEAR(C37),"cmj"),_viitearvot!$I$2:$M$205,2,FALSE()),0),5,IF(AS37&gt;=IFERROR(VLOOKUP(CONCATENATE(D37,YEAR(TODAY())-YEAR(C37),"cmj"),_viitearvot!$I$2:$M$205,3,FALSE()),0),4,IF(AS37&gt;=IFERROR(VLOOKUP(CONCATENATE(D37,YEAR(TODAY())-YEAR(C37),"cmj"),_viitearvot!$I$2:$M$205,4,FALSE()),0),3,IF(AS37&gt;=IFERROR(VLOOKUP(CONCATENATE(D37,YEAR(TODAY())-YEAR(C37),"cmj"),_viitearvot!$I$2:$M$205,5,FALSE()),0),2,1)))))</f>
        <v/>
      </c>
      <c r="AU37" s="54" t="n"/>
      <c r="AV37" s="55">
        <f>IFERROR(MAX(AU37),"")</f>
        <v/>
      </c>
      <c r="AW37" s="56">
        <f>IF(OR(AV37="",D37=""),"",IF(AV37&gt;=IFERROR(VLOOKUP(CONCATENATE(D37,YEAR(TODAY())-YEAR(C37),"bronco"),_viitearvot!$I$2:$M$205,2,FALSE()),0),5,IF(AV37&gt;=IFERROR(VLOOKUP(CONCATENATE(D37,YEAR(TODAY())-YEAR(C37),"bronco"),_viitearvot!$I$2:$M$205,3,FALSE()),0),4,IF(AV37&gt;=IFERROR(VLOOKUP(CONCATENATE(D37,YEAR(TODAY())-YEAR(C37),"bronco"),_viitearvot!$I$2:$M$205,4,FALSE()),0),3,IF(AV37&gt;=IFERROR(VLOOKUP(CONCATENATE(D37,YEAR(TODAY())-YEAR(C37),"bronco"),_viitearvot!$I$2:$M$205,5,FALSE()),0),2,1)))))</f>
        <v/>
      </c>
      <c r="AX37" s="54" t="n"/>
      <c r="AY37" s="54" t="n"/>
      <c r="AZ37" s="55">
        <f>IFERROR(MIN(AX37,AY37),"")</f>
        <v/>
      </c>
      <c r="BA37" s="56">
        <f>IF(OR(AZ37="",D37=""),"",IF(AZ37&lt;=IFERROR(VLOOKUP(CONCATENATE(D37,YEAR(TODAY())-YEAR(C37),"pujottelu"),_viitearvot!$I$2:$M$205,2,FALSE()),99),5,IF(AZ37&lt;=IFERROR(VLOOKUP(CONCATENATE(D37,YEAR(TODAY())-YEAR(C37),"pujottelu"),_viitearvot!$I$2:$M$205,3,FALSE()),99),4,IF(AZ37&lt;=IFERROR(VLOOKUP(CONCATENATE(D37,YEAR(TODAY())-YEAR(C37),"pujottelu"),_viitearvot!$I$2:$M$205,4,FALSE()),99),3,IF(AZ37&lt;=IFERROR(VLOOKUP(CONCATENATE(D37,YEAR(TODAY())-YEAR(C37),"pujottelu"),_viitearvot!$I$2:$M$205,5,FALSE()),99),2,1)))))</f>
        <v/>
      </c>
      <c r="BB37" s="54" t="n"/>
      <c r="BC37" s="54" t="n"/>
      <c r="BD37" s="55">
        <f>IFERROR(MIN(BB37,BC37),"")</f>
        <v/>
      </c>
      <c r="BE37" s="56">
        <f>IF(OR(BD37="",D37=""),"",IF(BD37&lt;=IFERROR(VLOOKUP(CONCATENATE(D37,YEAR(TODAY())-YEAR(C37),"syotto"),_viitearvot!$I$2:$M$205,2,FALSE()),99),5,IF(BD37&lt;=IFERROR(VLOOKUP(CONCATENATE(D37,YEAR(TODAY())-YEAR(C37),"syotto"),_viitearvot!$I$2:$M$205,3,FALSE()),99),4,IF(BD37&lt;=IFERROR(VLOOKUP(CONCATENATE(D37,YEAR(TODAY())-YEAR(C37),"syotto"),_viitearvot!$I$2:$M$205,4,FALSE()),99),3,IF(BD37&lt;=IFERROR(VLOOKUP(CONCATENATE(D37,YEAR(TODAY())-YEAR(C37),"syotto"),_viitearvot!$I$2:$M$205,5,FALSE()),99),2,1)))))</f>
        <v/>
      </c>
      <c r="BF37" s="57" t="n"/>
      <c r="BG37" s="58">
        <f>IF(OR(BF37="",K37=""),"",(IF(D37="P",IF(K37&lt;=IFERROR(VLOOKUP(CONCATENATE("P",ROUND(BF37,0),"lin5m"),_viitearvot!$A:$H,4,FALSE()),99),5,IF(K37&lt;=IFERROR(VLOOKUP(CONCATENATE("P",ROUND(BF37,0),"lin5m"),_viitearvot!$A:$H,5,FALSE()),99),4,IF(K37&lt;=IFERROR(VLOOKUP(CONCATENATE("P",ROUND(BF37,0),"lin5m"),_viitearvot!$A:$H,6,FALSE()),99),3,IF(K37&lt;=IFERROR(VLOOKUP(CONCATENATE("P",ROUND(BF37,0),"lin5m"),_viitearvot!$A:$H,7,FALSE()),99),2,1)))),IF(K37&lt;=IFERROR(VLOOKUP(CONCATENATE("T",ROUND(BF37,0),"lin5m"),_viitearvot!$A:$H,4,FALSE()),99),5,IF(K37&lt;=IFERROR(VLOOKUP(CONCATENATE("T",ROUND(BF37,0),"lin5m"),_viitearvot!$A:$H,5,FALSE()),99),4,IF(K37&lt;=IFERROR(VLOOKUP(CONCATENATE("T",ROUND(BF37,0),"lin5m"),_viitearvot!$A:$H,6,FALSE()),99),3,IF(K37&lt;=IFERROR(VLOOKUP(CONCATENATE("T",ROUND(BF37,0),"lin5m"),_viitearvot!$A:$H,7,FALSE()),99),2,1))))))-L37)</f>
        <v/>
      </c>
      <c r="BH37" s="59" t="n"/>
    </row>
    <row r="38" ht="17" customHeight="1" s="22">
      <c r="A38" s="60" t="n"/>
      <c r="B38" s="60" t="n"/>
      <c r="C38" s="61" t="n"/>
      <c r="D38" s="60" t="n"/>
      <c r="E38" s="60" t="n"/>
      <c r="F38" s="60" t="n"/>
      <c r="G38" s="60" t="n"/>
      <c r="H38" s="62" t="n"/>
      <c r="I38" s="62" t="n"/>
      <c r="J38" s="62" t="n"/>
      <c r="K38" s="63">
        <f>IFERROR(MIN(H38,I38,J38),"")</f>
        <v/>
      </c>
      <c r="L38" s="64">
        <f>IF(OR(K38="",D38=""),"",IF(K38&lt;=IFERROR(VLOOKUP(CONCATENATE(D38,YEAR(TODAY())-YEAR(C38),"lin5m"),_viitearvot!$I$2:$M$205,2,FALSE()),99),5,IF(K38&lt;=IFERROR(VLOOKUP(CONCATENATE(D38,YEAR(TODAY())-YEAR(C38),"lin5m"),_viitearvot!$I$2:$M$205,3,FALSE()),99),4,IF(K38&lt;=IFERROR(VLOOKUP(CONCATENATE(D38,YEAR(TODAY())-YEAR(C38),"lin5m"),_viitearvot!$I$2:$M$205,4,FALSE()),99),3,IF(K38&lt;=IFERROR(VLOOKUP(CONCATENATE(D38,YEAR(TODAY())-YEAR(C38),"lin5m"),_viitearvot!$I$2:$M$205,5,FALSE()),99),2,1)))))</f>
        <v/>
      </c>
      <c r="M38" s="62" t="n"/>
      <c r="N38" s="62" t="n"/>
      <c r="O38" s="62" t="n"/>
      <c r="P38" s="63">
        <f>IFERROR(MIN(M38,N38,O38),"")</f>
        <v/>
      </c>
      <c r="Q38" s="64">
        <f>IF(OR(P38="",D38=""),"",IF(P38&lt;=IFERROR(VLOOKUP(CONCATENATE(D38,YEAR(TODAY())-YEAR(C38),"lin10m"),_viitearvot!$I$2:$M$205,2,FALSE()),99),5,IF(P38&lt;=IFERROR(VLOOKUP(CONCATENATE(D38,YEAR(TODAY())-YEAR(C38),"lin10m"),_viitearvot!$I$2:$M$205,3,FALSE()),99),4,IF(P38&lt;=IFERROR(VLOOKUP(CONCATENATE(D38,YEAR(TODAY())-YEAR(C38),"lin10m"),_viitearvot!$I$2:$M$205,4,FALSE()),99),3,IF(P38&lt;=IFERROR(VLOOKUP(CONCATENATE(D38,YEAR(TODAY())-YEAR(C38),"lin10m"),_viitearvot!$I$2:$M$205,5,FALSE()),99),2,1)))))</f>
        <v/>
      </c>
      <c r="R38" s="62" t="n"/>
      <c r="S38" s="62" t="n"/>
      <c r="T38" s="62" t="n"/>
      <c r="U38" s="63">
        <f>IFERROR(MIN(R38,S38,T38),"")</f>
        <v/>
      </c>
      <c r="V38" s="64">
        <f>IF(OR(U38="",D38=""),"",IF(U38&lt;=IFERROR(VLOOKUP(CONCATENATE(D38,YEAR(TODAY())-YEAR(C38),"lin20m"),_viitearvot!$I$2:$M$205,2,FALSE()),99),5,IF(U38&lt;=IFERROR(VLOOKUP(CONCATENATE(D38,YEAR(TODAY())-YEAR(C38),"lin20m"),_viitearvot!$I$2:$M$205,3,FALSE()),99),4,IF(U38&lt;=IFERROR(VLOOKUP(CONCATENATE(D38,YEAR(TODAY())-YEAR(C38),"lin20m"),_viitearvot!$I$2:$M$205,4,FALSE()),99),3,IF(U38&lt;=IFERROR(VLOOKUP(CONCATENATE(D38,YEAR(TODAY())-YEAR(C38),"lin20m"),_viitearvot!$I$2:$M$205,5,FALSE()),99),2,1)))))</f>
        <v/>
      </c>
      <c r="W38" s="62" t="n"/>
      <c r="X38" s="62" t="n"/>
      <c r="Y38" s="62" t="n"/>
      <c r="Z38" s="63">
        <f>IFERROR(MIN(W38,X38,Y38),"")</f>
        <v/>
      </c>
      <c r="AA38" s="64">
        <f>IF(OR(Z38="",D38=""),"",IF(Z38&lt;=IFERROR(VLOOKUP(CONCATENATE(D38,YEAR(TODAY())-YEAR(C38),"lin30m"),_viitearvot!$I$2:$M$205,2,FALSE()),99),5,IF(Z38&lt;=IFERROR(VLOOKUP(CONCATENATE(D38,YEAR(TODAY())-YEAR(C38),"lin30m"),_viitearvot!$I$2:$M$205,3,FALSE()),99),4,IF(Z38&lt;=IFERROR(VLOOKUP(CONCATENATE(D38,YEAR(TODAY())-YEAR(C38),"lin30m"),_viitearvot!$I$2:$M$205,4,FALSE()),99),3,IF(Z38&lt;=IFERROR(VLOOKUP(CONCATENATE(D38,YEAR(TODAY())-YEAR(C38),"lin30m"),_viitearvot!$I$2:$M$205,5,FALSE()),99),2,1)))))</f>
        <v/>
      </c>
      <c r="AB38" s="62" t="n"/>
      <c r="AC38" s="62" t="n"/>
      <c r="AD38" s="62" t="n"/>
      <c r="AE38" s="63">
        <f>IFERROR(MIN(AB38,AC38,AD38),"")</f>
        <v/>
      </c>
      <c r="AF38" s="64">
        <f>IF(OR(AE38="",D38=""),"",IF(AE38&lt;=IFERROR(VLOOKUP(CONCATENATE(D38,YEAR(TODAY())-YEAR(C38),"kasirata"),_viitearvot!$I$2:$M$205,2,FALSE()),99),5,IF(AE38&lt;=IFERROR(VLOOKUP(CONCATENATE(D38,YEAR(TODAY())-YEAR(C38),"kasirata"),_viitearvot!$I$2:$M$205,3,FALSE()),99),4,IF(AE38&lt;=IFERROR(VLOOKUP(CONCATENATE(D38,YEAR(TODAY())-YEAR(C38),"kasirata"),_viitearvot!$I$2:$M$205,4,FALSE()),99),3,IF(AE38&lt;=IFERROR(VLOOKUP(CONCATENATE(D38,YEAR(TODAY())-YEAR(C38),"kasirata"),_viitearvot!$I$2:$M$205,5,FALSE()),99),2,1)))))</f>
        <v/>
      </c>
      <c r="AG38" s="62" t="n"/>
      <c r="AH38" s="62" t="n"/>
      <c r="AI38" s="62" t="n"/>
      <c r="AJ38" s="63">
        <f>IFERROR(MIN(AG38,AH38,AI38),"")</f>
        <v/>
      </c>
      <c r="AK38" s="64">
        <f>IF(OR(AJ38="",D38=""),"",IF(AJ38&lt;=IFERROR(VLOOKUP(CONCATENATE(D38,YEAR(TODAY())-YEAR(C38),"smjuoksu"),_viitearvot!$I$2:$M$205,2,FALSE()),99),5,IF(AJ38&lt;=IFERROR(VLOOKUP(CONCATENATE(D38,YEAR(TODAY())-YEAR(C38),"smjuoksu"),_viitearvot!$I$2:$M$205,3,FALSE()),99),4,IF(AJ38&lt;=IFERROR(VLOOKUP(CONCATENATE(D38,YEAR(TODAY())-YEAR(C38),"smjuoksu"),_viitearvot!$I$2:$M$205,4,FALSE()),99),3,IF(AJ38&lt;=IFERROR(VLOOKUP(CONCATENATE(D38,YEAR(TODAY())-YEAR(C38),"smjuoksu"),_viitearvot!$I$2:$M$205,5,FALSE()),99),2,1)))))</f>
        <v/>
      </c>
      <c r="AL38" s="62" t="n"/>
      <c r="AM38" s="62" t="n"/>
      <c r="AN38" s="63">
        <f>IFERROR(MIN(AL38,AM38),"")</f>
        <v/>
      </c>
      <c r="AO38" s="64">
        <f>IF(OR(AN38="",D38=""),"",IF(AN38&lt;=IFERROR(VLOOKUP(CONCATENATE(D38,YEAR(TODAY())-YEAR(C38),"smpallo"),_viitearvot!$I$2:$M$205,2,FALSE()),99),5,IF(AN38&lt;=IFERROR(VLOOKUP(CONCATENATE(D38,YEAR(TODAY())-YEAR(C38),"smpallo"),_viitearvot!$I$2:$M$205,3,FALSE()),99),4,IF(AN38&lt;=IFERROR(VLOOKUP(CONCATENATE(D38,YEAR(TODAY())-YEAR(C38),"smpallo"),_viitearvot!$I$2:$M$205,4,FALSE()),99),3,IF(AN38&lt;=IFERROR(VLOOKUP(CONCATENATE(D38,YEAR(TODAY())-YEAR(C38),"smpallo"),_viitearvot!$I$2:$M$205,5,FALSE()),99),2,1)))))</f>
        <v/>
      </c>
      <c r="AP38" s="62" t="n"/>
      <c r="AQ38" s="62" t="n"/>
      <c r="AR38" s="62" t="n"/>
      <c r="AS38" s="63">
        <f>IFERROR(MAX(AP38,AQ38,AR38),"")</f>
        <v/>
      </c>
      <c r="AT38" s="64">
        <f>IF(OR(AS38="",D38=""),"",IF(AS38&gt;=IFERROR(VLOOKUP(CONCATENATE(D38,YEAR(TODAY())-YEAR(C38),"cmj"),_viitearvot!$I$2:$M$205,2,FALSE()),0),5,IF(AS38&gt;=IFERROR(VLOOKUP(CONCATENATE(D38,YEAR(TODAY())-YEAR(C38),"cmj"),_viitearvot!$I$2:$M$205,3,FALSE()),0),4,IF(AS38&gt;=IFERROR(VLOOKUP(CONCATENATE(D38,YEAR(TODAY())-YEAR(C38),"cmj"),_viitearvot!$I$2:$M$205,4,FALSE()),0),3,IF(AS38&gt;=IFERROR(VLOOKUP(CONCATENATE(D38,YEAR(TODAY())-YEAR(C38),"cmj"),_viitearvot!$I$2:$M$205,5,FALSE()),0),2,1)))))</f>
        <v/>
      </c>
      <c r="AU38" s="62" t="n"/>
      <c r="AV38" s="63">
        <f>IFERROR(MAX(AU38),"")</f>
        <v/>
      </c>
      <c r="AW38" s="64">
        <f>IF(OR(AV38="",D38=""),"",IF(AV38&gt;=IFERROR(VLOOKUP(CONCATENATE(D38,YEAR(TODAY())-YEAR(C38),"bronco"),_viitearvot!$I$2:$M$205,2,FALSE()),0),5,IF(AV38&gt;=IFERROR(VLOOKUP(CONCATENATE(D38,YEAR(TODAY())-YEAR(C38),"bronco"),_viitearvot!$I$2:$M$205,3,FALSE()),0),4,IF(AV38&gt;=IFERROR(VLOOKUP(CONCATENATE(D38,YEAR(TODAY())-YEAR(C38),"bronco"),_viitearvot!$I$2:$M$205,4,FALSE()),0),3,IF(AV38&gt;=IFERROR(VLOOKUP(CONCATENATE(D38,YEAR(TODAY())-YEAR(C38),"bronco"),_viitearvot!$I$2:$M$205,5,FALSE()),0),2,1)))))</f>
        <v/>
      </c>
      <c r="AX38" s="62" t="n"/>
      <c r="AY38" s="62" t="n"/>
      <c r="AZ38" s="63">
        <f>IFERROR(MIN(AX38,AY38),"")</f>
        <v/>
      </c>
      <c r="BA38" s="64">
        <f>IF(OR(AZ38="",D38=""),"",IF(AZ38&lt;=IFERROR(VLOOKUP(CONCATENATE(D38,YEAR(TODAY())-YEAR(C38),"pujottelu"),_viitearvot!$I$2:$M$205,2,FALSE()),99),5,IF(AZ38&lt;=IFERROR(VLOOKUP(CONCATENATE(D38,YEAR(TODAY())-YEAR(C38),"pujottelu"),_viitearvot!$I$2:$M$205,3,FALSE()),99),4,IF(AZ38&lt;=IFERROR(VLOOKUP(CONCATENATE(D38,YEAR(TODAY())-YEAR(C38),"pujottelu"),_viitearvot!$I$2:$M$205,4,FALSE()),99),3,IF(AZ38&lt;=IFERROR(VLOOKUP(CONCATENATE(D38,YEAR(TODAY())-YEAR(C38),"pujottelu"),_viitearvot!$I$2:$M$205,5,FALSE()),99),2,1)))))</f>
        <v/>
      </c>
      <c r="BB38" s="62" t="n"/>
      <c r="BC38" s="62" t="n"/>
      <c r="BD38" s="63">
        <f>IFERROR(MIN(BB38,BC38),"")</f>
        <v/>
      </c>
      <c r="BE38" s="64">
        <f>IF(OR(BD38="",D38=""),"",IF(BD38&lt;=IFERROR(VLOOKUP(CONCATENATE(D38,YEAR(TODAY())-YEAR(C38),"syotto"),_viitearvot!$I$2:$M$205,2,FALSE()),99),5,IF(BD38&lt;=IFERROR(VLOOKUP(CONCATENATE(D38,YEAR(TODAY())-YEAR(C38),"syotto"),_viitearvot!$I$2:$M$205,3,FALSE()),99),4,IF(BD38&lt;=IFERROR(VLOOKUP(CONCATENATE(D38,YEAR(TODAY())-YEAR(C38),"syotto"),_viitearvot!$I$2:$M$205,4,FALSE()),99),3,IF(BD38&lt;=IFERROR(VLOOKUP(CONCATENATE(D38,YEAR(TODAY())-YEAR(C38),"syotto"),_viitearvot!$I$2:$M$205,5,FALSE()),99),2,1)))))</f>
        <v/>
      </c>
      <c r="BF38" s="65" t="n"/>
      <c r="BG38" s="66">
        <f>IF(OR(BF38="",K38=""),"",(IF(D38="P",IF(K38&lt;=IFERROR(VLOOKUP(CONCATENATE("P",ROUND(BF38,0),"lin5m"),_viitearvot!$A:$H,4,FALSE()),99),5,IF(K38&lt;=IFERROR(VLOOKUP(CONCATENATE("P",ROUND(BF38,0),"lin5m"),_viitearvot!$A:$H,5,FALSE()),99),4,IF(K38&lt;=IFERROR(VLOOKUP(CONCATENATE("P",ROUND(BF38,0),"lin5m"),_viitearvot!$A:$H,6,FALSE()),99),3,IF(K38&lt;=IFERROR(VLOOKUP(CONCATENATE("P",ROUND(BF38,0),"lin5m"),_viitearvot!$A:$H,7,FALSE()),99),2,1)))),IF(K38&lt;=IFERROR(VLOOKUP(CONCATENATE("T",ROUND(BF38,0),"lin5m"),_viitearvot!$A:$H,4,FALSE()),99),5,IF(K38&lt;=IFERROR(VLOOKUP(CONCATENATE("T",ROUND(BF38,0),"lin5m"),_viitearvot!$A:$H,5,FALSE()),99),4,IF(K38&lt;=IFERROR(VLOOKUP(CONCATENATE("T",ROUND(BF38,0),"lin5m"),_viitearvot!$A:$H,6,FALSE()),99),3,IF(K38&lt;=IFERROR(VLOOKUP(CONCATENATE("T",ROUND(BF38,0),"lin5m"),_viitearvot!$A:$H,7,FALSE()),99),2,1))))))-L38)</f>
        <v/>
      </c>
      <c r="BH38" s="67" t="n"/>
    </row>
    <row r="39" ht="17" customHeight="1" s="22">
      <c r="A39" s="52" t="n"/>
      <c r="B39" s="52" t="n"/>
      <c r="C39" s="53" t="n"/>
      <c r="D39" s="52" t="n"/>
      <c r="E39" s="52" t="n"/>
      <c r="F39" s="52" t="n"/>
      <c r="G39" s="52" t="n"/>
      <c r="H39" s="54" t="n"/>
      <c r="I39" s="54" t="n"/>
      <c r="J39" s="54" t="n"/>
      <c r="K39" s="55">
        <f>IFERROR(MIN(H39,I39,J39),"")</f>
        <v/>
      </c>
      <c r="L39" s="56">
        <f>IF(OR(K39="",D39=""),"",IF(K39&lt;=IFERROR(VLOOKUP(CONCATENATE(D39,YEAR(TODAY())-YEAR(C39),"lin5m"),_viitearvot!$I$2:$M$205,2,FALSE()),99),5,IF(K39&lt;=IFERROR(VLOOKUP(CONCATENATE(D39,YEAR(TODAY())-YEAR(C39),"lin5m"),_viitearvot!$I$2:$M$205,3,FALSE()),99),4,IF(K39&lt;=IFERROR(VLOOKUP(CONCATENATE(D39,YEAR(TODAY())-YEAR(C39),"lin5m"),_viitearvot!$I$2:$M$205,4,FALSE()),99),3,IF(K39&lt;=IFERROR(VLOOKUP(CONCATENATE(D39,YEAR(TODAY())-YEAR(C39),"lin5m"),_viitearvot!$I$2:$M$205,5,FALSE()),99),2,1)))))</f>
        <v/>
      </c>
      <c r="M39" s="54" t="n"/>
      <c r="N39" s="54" t="n"/>
      <c r="O39" s="54" t="n"/>
      <c r="P39" s="55">
        <f>IFERROR(MIN(M39,N39,O39),"")</f>
        <v/>
      </c>
      <c r="Q39" s="56">
        <f>IF(OR(P39="",D39=""),"",IF(P39&lt;=IFERROR(VLOOKUP(CONCATENATE(D39,YEAR(TODAY())-YEAR(C39),"lin10m"),_viitearvot!$I$2:$M$205,2,FALSE()),99),5,IF(P39&lt;=IFERROR(VLOOKUP(CONCATENATE(D39,YEAR(TODAY())-YEAR(C39),"lin10m"),_viitearvot!$I$2:$M$205,3,FALSE()),99),4,IF(P39&lt;=IFERROR(VLOOKUP(CONCATENATE(D39,YEAR(TODAY())-YEAR(C39),"lin10m"),_viitearvot!$I$2:$M$205,4,FALSE()),99),3,IF(P39&lt;=IFERROR(VLOOKUP(CONCATENATE(D39,YEAR(TODAY())-YEAR(C39),"lin10m"),_viitearvot!$I$2:$M$205,5,FALSE()),99),2,1)))))</f>
        <v/>
      </c>
      <c r="R39" s="54" t="n"/>
      <c r="S39" s="54" t="n"/>
      <c r="T39" s="54" t="n"/>
      <c r="U39" s="55">
        <f>IFERROR(MIN(R39,S39,T39),"")</f>
        <v/>
      </c>
      <c r="V39" s="56">
        <f>IF(OR(U39="",D39=""),"",IF(U39&lt;=IFERROR(VLOOKUP(CONCATENATE(D39,YEAR(TODAY())-YEAR(C39),"lin20m"),_viitearvot!$I$2:$M$205,2,FALSE()),99),5,IF(U39&lt;=IFERROR(VLOOKUP(CONCATENATE(D39,YEAR(TODAY())-YEAR(C39),"lin20m"),_viitearvot!$I$2:$M$205,3,FALSE()),99),4,IF(U39&lt;=IFERROR(VLOOKUP(CONCATENATE(D39,YEAR(TODAY())-YEAR(C39),"lin20m"),_viitearvot!$I$2:$M$205,4,FALSE()),99),3,IF(U39&lt;=IFERROR(VLOOKUP(CONCATENATE(D39,YEAR(TODAY())-YEAR(C39),"lin20m"),_viitearvot!$I$2:$M$205,5,FALSE()),99),2,1)))))</f>
        <v/>
      </c>
      <c r="W39" s="54" t="n"/>
      <c r="X39" s="54" t="n"/>
      <c r="Y39" s="54" t="n"/>
      <c r="Z39" s="55">
        <f>IFERROR(MIN(W39,X39,Y39),"")</f>
        <v/>
      </c>
      <c r="AA39" s="56">
        <f>IF(OR(Z39="",D39=""),"",IF(Z39&lt;=IFERROR(VLOOKUP(CONCATENATE(D39,YEAR(TODAY())-YEAR(C39),"lin30m"),_viitearvot!$I$2:$M$205,2,FALSE()),99),5,IF(Z39&lt;=IFERROR(VLOOKUP(CONCATENATE(D39,YEAR(TODAY())-YEAR(C39),"lin30m"),_viitearvot!$I$2:$M$205,3,FALSE()),99),4,IF(Z39&lt;=IFERROR(VLOOKUP(CONCATENATE(D39,YEAR(TODAY())-YEAR(C39),"lin30m"),_viitearvot!$I$2:$M$205,4,FALSE()),99),3,IF(Z39&lt;=IFERROR(VLOOKUP(CONCATENATE(D39,YEAR(TODAY())-YEAR(C39),"lin30m"),_viitearvot!$I$2:$M$205,5,FALSE()),99),2,1)))))</f>
        <v/>
      </c>
      <c r="AB39" s="54" t="n"/>
      <c r="AC39" s="54" t="n"/>
      <c r="AD39" s="54" t="n"/>
      <c r="AE39" s="55">
        <f>IFERROR(MIN(AB39,AC39,AD39),"")</f>
        <v/>
      </c>
      <c r="AF39" s="56">
        <f>IF(OR(AE39="",D39=""),"",IF(AE39&lt;=IFERROR(VLOOKUP(CONCATENATE(D39,YEAR(TODAY())-YEAR(C39),"kasirata"),_viitearvot!$I$2:$M$205,2,FALSE()),99),5,IF(AE39&lt;=IFERROR(VLOOKUP(CONCATENATE(D39,YEAR(TODAY())-YEAR(C39),"kasirata"),_viitearvot!$I$2:$M$205,3,FALSE()),99),4,IF(AE39&lt;=IFERROR(VLOOKUP(CONCATENATE(D39,YEAR(TODAY())-YEAR(C39),"kasirata"),_viitearvot!$I$2:$M$205,4,FALSE()),99),3,IF(AE39&lt;=IFERROR(VLOOKUP(CONCATENATE(D39,YEAR(TODAY())-YEAR(C39),"kasirata"),_viitearvot!$I$2:$M$205,5,FALSE()),99),2,1)))))</f>
        <v/>
      </c>
      <c r="AG39" s="54" t="n"/>
      <c r="AH39" s="54" t="n"/>
      <c r="AI39" s="54" t="n"/>
      <c r="AJ39" s="55">
        <f>IFERROR(MIN(AG39,AH39,AI39),"")</f>
        <v/>
      </c>
      <c r="AK39" s="56">
        <f>IF(OR(AJ39="",D39=""),"",IF(AJ39&lt;=IFERROR(VLOOKUP(CONCATENATE(D39,YEAR(TODAY())-YEAR(C39),"smjuoksu"),_viitearvot!$I$2:$M$205,2,FALSE()),99),5,IF(AJ39&lt;=IFERROR(VLOOKUP(CONCATENATE(D39,YEAR(TODAY())-YEAR(C39),"smjuoksu"),_viitearvot!$I$2:$M$205,3,FALSE()),99),4,IF(AJ39&lt;=IFERROR(VLOOKUP(CONCATENATE(D39,YEAR(TODAY())-YEAR(C39),"smjuoksu"),_viitearvot!$I$2:$M$205,4,FALSE()),99),3,IF(AJ39&lt;=IFERROR(VLOOKUP(CONCATENATE(D39,YEAR(TODAY())-YEAR(C39),"smjuoksu"),_viitearvot!$I$2:$M$205,5,FALSE()),99),2,1)))))</f>
        <v/>
      </c>
      <c r="AL39" s="54" t="n"/>
      <c r="AM39" s="54" t="n"/>
      <c r="AN39" s="55">
        <f>IFERROR(MIN(AL39,AM39),"")</f>
        <v/>
      </c>
      <c r="AO39" s="56">
        <f>IF(OR(AN39="",D39=""),"",IF(AN39&lt;=IFERROR(VLOOKUP(CONCATENATE(D39,YEAR(TODAY())-YEAR(C39),"smpallo"),_viitearvot!$I$2:$M$205,2,FALSE()),99),5,IF(AN39&lt;=IFERROR(VLOOKUP(CONCATENATE(D39,YEAR(TODAY())-YEAR(C39),"smpallo"),_viitearvot!$I$2:$M$205,3,FALSE()),99),4,IF(AN39&lt;=IFERROR(VLOOKUP(CONCATENATE(D39,YEAR(TODAY())-YEAR(C39),"smpallo"),_viitearvot!$I$2:$M$205,4,FALSE()),99),3,IF(AN39&lt;=IFERROR(VLOOKUP(CONCATENATE(D39,YEAR(TODAY())-YEAR(C39),"smpallo"),_viitearvot!$I$2:$M$205,5,FALSE()),99),2,1)))))</f>
        <v/>
      </c>
      <c r="AP39" s="54" t="n"/>
      <c r="AQ39" s="54" t="n"/>
      <c r="AR39" s="54" t="n"/>
      <c r="AS39" s="55">
        <f>IFERROR(MAX(AP39,AQ39,AR39),"")</f>
        <v/>
      </c>
      <c r="AT39" s="56">
        <f>IF(OR(AS39="",D39=""),"",IF(AS39&gt;=IFERROR(VLOOKUP(CONCATENATE(D39,YEAR(TODAY())-YEAR(C39),"cmj"),_viitearvot!$I$2:$M$205,2,FALSE()),0),5,IF(AS39&gt;=IFERROR(VLOOKUP(CONCATENATE(D39,YEAR(TODAY())-YEAR(C39),"cmj"),_viitearvot!$I$2:$M$205,3,FALSE()),0),4,IF(AS39&gt;=IFERROR(VLOOKUP(CONCATENATE(D39,YEAR(TODAY())-YEAR(C39),"cmj"),_viitearvot!$I$2:$M$205,4,FALSE()),0),3,IF(AS39&gt;=IFERROR(VLOOKUP(CONCATENATE(D39,YEAR(TODAY())-YEAR(C39),"cmj"),_viitearvot!$I$2:$M$205,5,FALSE()),0),2,1)))))</f>
        <v/>
      </c>
      <c r="AU39" s="54" t="n"/>
      <c r="AV39" s="55">
        <f>IFERROR(MAX(AU39),"")</f>
        <v/>
      </c>
      <c r="AW39" s="56">
        <f>IF(OR(AV39="",D39=""),"",IF(AV39&gt;=IFERROR(VLOOKUP(CONCATENATE(D39,YEAR(TODAY())-YEAR(C39),"bronco"),_viitearvot!$I$2:$M$205,2,FALSE()),0),5,IF(AV39&gt;=IFERROR(VLOOKUP(CONCATENATE(D39,YEAR(TODAY())-YEAR(C39),"bronco"),_viitearvot!$I$2:$M$205,3,FALSE()),0),4,IF(AV39&gt;=IFERROR(VLOOKUP(CONCATENATE(D39,YEAR(TODAY())-YEAR(C39),"bronco"),_viitearvot!$I$2:$M$205,4,FALSE()),0),3,IF(AV39&gt;=IFERROR(VLOOKUP(CONCATENATE(D39,YEAR(TODAY())-YEAR(C39),"bronco"),_viitearvot!$I$2:$M$205,5,FALSE()),0),2,1)))))</f>
        <v/>
      </c>
      <c r="AX39" s="54" t="n"/>
      <c r="AY39" s="54" t="n"/>
      <c r="AZ39" s="55">
        <f>IFERROR(MIN(AX39,AY39),"")</f>
        <v/>
      </c>
      <c r="BA39" s="56">
        <f>IF(OR(AZ39="",D39=""),"",IF(AZ39&lt;=IFERROR(VLOOKUP(CONCATENATE(D39,YEAR(TODAY())-YEAR(C39),"pujottelu"),_viitearvot!$I$2:$M$205,2,FALSE()),99),5,IF(AZ39&lt;=IFERROR(VLOOKUP(CONCATENATE(D39,YEAR(TODAY())-YEAR(C39),"pujottelu"),_viitearvot!$I$2:$M$205,3,FALSE()),99),4,IF(AZ39&lt;=IFERROR(VLOOKUP(CONCATENATE(D39,YEAR(TODAY())-YEAR(C39),"pujottelu"),_viitearvot!$I$2:$M$205,4,FALSE()),99),3,IF(AZ39&lt;=IFERROR(VLOOKUP(CONCATENATE(D39,YEAR(TODAY())-YEAR(C39),"pujottelu"),_viitearvot!$I$2:$M$205,5,FALSE()),99),2,1)))))</f>
        <v/>
      </c>
      <c r="BB39" s="54" t="n"/>
      <c r="BC39" s="54" t="n"/>
      <c r="BD39" s="55">
        <f>IFERROR(MIN(BB39,BC39),"")</f>
        <v/>
      </c>
      <c r="BE39" s="56">
        <f>IF(OR(BD39="",D39=""),"",IF(BD39&lt;=IFERROR(VLOOKUP(CONCATENATE(D39,YEAR(TODAY())-YEAR(C39),"syotto"),_viitearvot!$I$2:$M$205,2,FALSE()),99),5,IF(BD39&lt;=IFERROR(VLOOKUP(CONCATENATE(D39,YEAR(TODAY())-YEAR(C39),"syotto"),_viitearvot!$I$2:$M$205,3,FALSE()),99),4,IF(BD39&lt;=IFERROR(VLOOKUP(CONCATENATE(D39,YEAR(TODAY())-YEAR(C39),"syotto"),_viitearvot!$I$2:$M$205,4,FALSE()),99),3,IF(BD39&lt;=IFERROR(VLOOKUP(CONCATENATE(D39,YEAR(TODAY())-YEAR(C39),"syotto"),_viitearvot!$I$2:$M$205,5,FALSE()),99),2,1)))))</f>
        <v/>
      </c>
      <c r="BF39" s="57" t="n"/>
      <c r="BG39" s="58">
        <f>IF(OR(BF39="",K39=""),"",(IF(D39="P",IF(K39&lt;=IFERROR(VLOOKUP(CONCATENATE("P",ROUND(BF39,0),"lin5m"),_viitearvot!$A:$H,4,FALSE()),99),5,IF(K39&lt;=IFERROR(VLOOKUP(CONCATENATE("P",ROUND(BF39,0),"lin5m"),_viitearvot!$A:$H,5,FALSE()),99),4,IF(K39&lt;=IFERROR(VLOOKUP(CONCATENATE("P",ROUND(BF39,0),"lin5m"),_viitearvot!$A:$H,6,FALSE()),99),3,IF(K39&lt;=IFERROR(VLOOKUP(CONCATENATE("P",ROUND(BF39,0),"lin5m"),_viitearvot!$A:$H,7,FALSE()),99),2,1)))),IF(K39&lt;=IFERROR(VLOOKUP(CONCATENATE("T",ROUND(BF39,0),"lin5m"),_viitearvot!$A:$H,4,FALSE()),99),5,IF(K39&lt;=IFERROR(VLOOKUP(CONCATENATE("T",ROUND(BF39,0),"lin5m"),_viitearvot!$A:$H,5,FALSE()),99),4,IF(K39&lt;=IFERROR(VLOOKUP(CONCATENATE("T",ROUND(BF39,0),"lin5m"),_viitearvot!$A:$H,6,FALSE()),99),3,IF(K39&lt;=IFERROR(VLOOKUP(CONCATENATE("T",ROUND(BF39,0),"lin5m"),_viitearvot!$A:$H,7,FALSE()),99),2,1))))))-L39)</f>
        <v/>
      </c>
      <c r="BH39" s="59" t="n"/>
    </row>
    <row r="40" ht="17" customHeight="1" s="22">
      <c r="A40" s="60" t="n"/>
      <c r="B40" s="60" t="n"/>
      <c r="C40" s="61" t="n"/>
      <c r="D40" s="60" t="n"/>
      <c r="E40" s="60" t="n"/>
      <c r="F40" s="60" t="n"/>
      <c r="G40" s="60" t="n"/>
      <c r="H40" s="62" t="n"/>
      <c r="I40" s="62" t="n"/>
      <c r="J40" s="62" t="n"/>
      <c r="K40" s="63">
        <f>IFERROR(MIN(H40,I40,J40),"")</f>
        <v/>
      </c>
      <c r="L40" s="64">
        <f>IF(OR(K40="",D40=""),"",IF(K40&lt;=IFERROR(VLOOKUP(CONCATENATE(D40,YEAR(TODAY())-YEAR(C40),"lin5m"),_viitearvot!$I$2:$M$205,2,FALSE()),99),5,IF(K40&lt;=IFERROR(VLOOKUP(CONCATENATE(D40,YEAR(TODAY())-YEAR(C40),"lin5m"),_viitearvot!$I$2:$M$205,3,FALSE()),99),4,IF(K40&lt;=IFERROR(VLOOKUP(CONCATENATE(D40,YEAR(TODAY())-YEAR(C40),"lin5m"),_viitearvot!$I$2:$M$205,4,FALSE()),99),3,IF(K40&lt;=IFERROR(VLOOKUP(CONCATENATE(D40,YEAR(TODAY())-YEAR(C40),"lin5m"),_viitearvot!$I$2:$M$205,5,FALSE()),99),2,1)))))</f>
        <v/>
      </c>
      <c r="M40" s="62" t="n"/>
      <c r="N40" s="62" t="n"/>
      <c r="O40" s="62" t="n"/>
      <c r="P40" s="63">
        <f>IFERROR(MIN(M40,N40,O40),"")</f>
        <v/>
      </c>
      <c r="Q40" s="64">
        <f>IF(OR(P40="",D40=""),"",IF(P40&lt;=IFERROR(VLOOKUP(CONCATENATE(D40,YEAR(TODAY())-YEAR(C40),"lin10m"),_viitearvot!$I$2:$M$205,2,FALSE()),99),5,IF(P40&lt;=IFERROR(VLOOKUP(CONCATENATE(D40,YEAR(TODAY())-YEAR(C40),"lin10m"),_viitearvot!$I$2:$M$205,3,FALSE()),99),4,IF(P40&lt;=IFERROR(VLOOKUP(CONCATENATE(D40,YEAR(TODAY())-YEAR(C40),"lin10m"),_viitearvot!$I$2:$M$205,4,FALSE()),99),3,IF(P40&lt;=IFERROR(VLOOKUP(CONCATENATE(D40,YEAR(TODAY())-YEAR(C40),"lin10m"),_viitearvot!$I$2:$M$205,5,FALSE()),99),2,1)))))</f>
        <v/>
      </c>
      <c r="R40" s="62" t="n"/>
      <c r="S40" s="62" t="n"/>
      <c r="T40" s="62" t="n"/>
      <c r="U40" s="63">
        <f>IFERROR(MIN(R40,S40,T40),"")</f>
        <v/>
      </c>
      <c r="V40" s="64">
        <f>IF(OR(U40="",D40=""),"",IF(U40&lt;=IFERROR(VLOOKUP(CONCATENATE(D40,YEAR(TODAY())-YEAR(C40),"lin20m"),_viitearvot!$I$2:$M$205,2,FALSE()),99),5,IF(U40&lt;=IFERROR(VLOOKUP(CONCATENATE(D40,YEAR(TODAY())-YEAR(C40),"lin20m"),_viitearvot!$I$2:$M$205,3,FALSE()),99),4,IF(U40&lt;=IFERROR(VLOOKUP(CONCATENATE(D40,YEAR(TODAY())-YEAR(C40),"lin20m"),_viitearvot!$I$2:$M$205,4,FALSE()),99),3,IF(U40&lt;=IFERROR(VLOOKUP(CONCATENATE(D40,YEAR(TODAY())-YEAR(C40),"lin20m"),_viitearvot!$I$2:$M$205,5,FALSE()),99),2,1)))))</f>
        <v/>
      </c>
      <c r="W40" s="62" t="n"/>
      <c r="X40" s="62" t="n"/>
      <c r="Y40" s="62" t="n"/>
      <c r="Z40" s="63">
        <f>IFERROR(MIN(W40,X40,Y40),"")</f>
        <v/>
      </c>
      <c r="AA40" s="64">
        <f>IF(OR(Z40="",D40=""),"",IF(Z40&lt;=IFERROR(VLOOKUP(CONCATENATE(D40,YEAR(TODAY())-YEAR(C40),"lin30m"),_viitearvot!$I$2:$M$205,2,FALSE()),99),5,IF(Z40&lt;=IFERROR(VLOOKUP(CONCATENATE(D40,YEAR(TODAY())-YEAR(C40),"lin30m"),_viitearvot!$I$2:$M$205,3,FALSE()),99),4,IF(Z40&lt;=IFERROR(VLOOKUP(CONCATENATE(D40,YEAR(TODAY())-YEAR(C40),"lin30m"),_viitearvot!$I$2:$M$205,4,FALSE()),99),3,IF(Z40&lt;=IFERROR(VLOOKUP(CONCATENATE(D40,YEAR(TODAY())-YEAR(C40),"lin30m"),_viitearvot!$I$2:$M$205,5,FALSE()),99),2,1)))))</f>
        <v/>
      </c>
      <c r="AB40" s="62" t="n"/>
      <c r="AC40" s="62" t="n"/>
      <c r="AD40" s="62" t="n"/>
      <c r="AE40" s="63">
        <f>IFERROR(MIN(AB40,AC40,AD40),"")</f>
        <v/>
      </c>
      <c r="AF40" s="64">
        <f>IF(OR(AE40="",D40=""),"",IF(AE40&lt;=IFERROR(VLOOKUP(CONCATENATE(D40,YEAR(TODAY())-YEAR(C40),"kasirata"),_viitearvot!$I$2:$M$205,2,FALSE()),99),5,IF(AE40&lt;=IFERROR(VLOOKUP(CONCATENATE(D40,YEAR(TODAY())-YEAR(C40),"kasirata"),_viitearvot!$I$2:$M$205,3,FALSE()),99),4,IF(AE40&lt;=IFERROR(VLOOKUP(CONCATENATE(D40,YEAR(TODAY())-YEAR(C40),"kasirata"),_viitearvot!$I$2:$M$205,4,FALSE()),99),3,IF(AE40&lt;=IFERROR(VLOOKUP(CONCATENATE(D40,YEAR(TODAY())-YEAR(C40),"kasirata"),_viitearvot!$I$2:$M$205,5,FALSE()),99),2,1)))))</f>
        <v/>
      </c>
      <c r="AG40" s="62" t="n"/>
      <c r="AH40" s="62" t="n"/>
      <c r="AI40" s="62" t="n"/>
      <c r="AJ40" s="63">
        <f>IFERROR(MIN(AG40,AH40,AI40),"")</f>
        <v/>
      </c>
      <c r="AK40" s="64">
        <f>IF(OR(AJ40="",D40=""),"",IF(AJ40&lt;=IFERROR(VLOOKUP(CONCATENATE(D40,YEAR(TODAY())-YEAR(C40),"smjuoksu"),_viitearvot!$I$2:$M$205,2,FALSE()),99),5,IF(AJ40&lt;=IFERROR(VLOOKUP(CONCATENATE(D40,YEAR(TODAY())-YEAR(C40),"smjuoksu"),_viitearvot!$I$2:$M$205,3,FALSE()),99),4,IF(AJ40&lt;=IFERROR(VLOOKUP(CONCATENATE(D40,YEAR(TODAY())-YEAR(C40),"smjuoksu"),_viitearvot!$I$2:$M$205,4,FALSE()),99),3,IF(AJ40&lt;=IFERROR(VLOOKUP(CONCATENATE(D40,YEAR(TODAY())-YEAR(C40),"smjuoksu"),_viitearvot!$I$2:$M$205,5,FALSE()),99),2,1)))))</f>
        <v/>
      </c>
      <c r="AL40" s="62" t="n"/>
      <c r="AM40" s="62" t="n"/>
      <c r="AN40" s="63">
        <f>IFERROR(MIN(AL40,AM40),"")</f>
        <v/>
      </c>
      <c r="AO40" s="64">
        <f>IF(OR(AN40="",D40=""),"",IF(AN40&lt;=IFERROR(VLOOKUP(CONCATENATE(D40,YEAR(TODAY())-YEAR(C40),"smpallo"),_viitearvot!$I$2:$M$205,2,FALSE()),99),5,IF(AN40&lt;=IFERROR(VLOOKUP(CONCATENATE(D40,YEAR(TODAY())-YEAR(C40),"smpallo"),_viitearvot!$I$2:$M$205,3,FALSE()),99),4,IF(AN40&lt;=IFERROR(VLOOKUP(CONCATENATE(D40,YEAR(TODAY())-YEAR(C40),"smpallo"),_viitearvot!$I$2:$M$205,4,FALSE()),99),3,IF(AN40&lt;=IFERROR(VLOOKUP(CONCATENATE(D40,YEAR(TODAY())-YEAR(C40),"smpallo"),_viitearvot!$I$2:$M$205,5,FALSE()),99),2,1)))))</f>
        <v/>
      </c>
      <c r="AP40" s="62" t="n"/>
      <c r="AQ40" s="62" t="n"/>
      <c r="AR40" s="62" t="n"/>
      <c r="AS40" s="63">
        <f>IFERROR(MAX(AP40,AQ40,AR40),"")</f>
        <v/>
      </c>
      <c r="AT40" s="64">
        <f>IF(OR(AS40="",D40=""),"",IF(AS40&gt;=IFERROR(VLOOKUP(CONCATENATE(D40,YEAR(TODAY())-YEAR(C40),"cmj"),_viitearvot!$I$2:$M$205,2,FALSE()),0),5,IF(AS40&gt;=IFERROR(VLOOKUP(CONCATENATE(D40,YEAR(TODAY())-YEAR(C40),"cmj"),_viitearvot!$I$2:$M$205,3,FALSE()),0),4,IF(AS40&gt;=IFERROR(VLOOKUP(CONCATENATE(D40,YEAR(TODAY())-YEAR(C40),"cmj"),_viitearvot!$I$2:$M$205,4,FALSE()),0),3,IF(AS40&gt;=IFERROR(VLOOKUP(CONCATENATE(D40,YEAR(TODAY())-YEAR(C40),"cmj"),_viitearvot!$I$2:$M$205,5,FALSE()),0),2,1)))))</f>
        <v/>
      </c>
      <c r="AU40" s="62" t="n"/>
      <c r="AV40" s="63">
        <f>IFERROR(MAX(AU40),"")</f>
        <v/>
      </c>
      <c r="AW40" s="64">
        <f>IF(OR(AV40="",D40=""),"",IF(AV40&gt;=IFERROR(VLOOKUP(CONCATENATE(D40,YEAR(TODAY())-YEAR(C40),"bronco"),_viitearvot!$I$2:$M$205,2,FALSE()),0),5,IF(AV40&gt;=IFERROR(VLOOKUP(CONCATENATE(D40,YEAR(TODAY())-YEAR(C40),"bronco"),_viitearvot!$I$2:$M$205,3,FALSE()),0),4,IF(AV40&gt;=IFERROR(VLOOKUP(CONCATENATE(D40,YEAR(TODAY())-YEAR(C40),"bronco"),_viitearvot!$I$2:$M$205,4,FALSE()),0),3,IF(AV40&gt;=IFERROR(VLOOKUP(CONCATENATE(D40,YEAR(TODAY())-YEAR(C40),"bronco"),_viitearvot!$I$2:$M$205,5,FALSE()),0),2,1)))))</f>
        <v/>
      </c>
      <c r="AX40" s="62" t="n"/>
      <c r="AY40" s="62" t="n"/>
      <c r="AZ40" s="63">
        <f>IFERROR(MIN(AX40,AY40),"")</f>
        <v/>
      </c>
      <c r="BA40" s="64">
        <f>IF(OR(AZ40="",D40=""),"",IF(AZ40&lt;=IFERROR(VLOOKUP(CONCATENATE(D40,YEAR(TODAY())-YEAR(C40),"pujottelu"),_viitearvot!$I$2:$M$205,2,FALSE()),99),5,IF(AZ40&lt;=IFERROR(VLOOKUP(CONCATENATE(D40,YEAR(TODAY())-YEAR(C40),"pujottelu"),_viitearvot!$I$2:$M$205,3,FALSE()),99),4,IF(AZ40&lt;=IFERROR(VLOOKUP(CONCATENATE(D40,YEAR(TODAY())-YEAR(C40),"pujottelu"),_viitearvot!$I$2:$M$205,4,FALSE()),99),3,IF(AZ40&lt;=IFERROR(VLOOKUP(CONCATENATE(D40,YEAR(TODAY())-YEAR(C40),"pujottelu"),_viitearvot!$I$2:$M$205,5,FALSE()),99),2,1)))))</f>
        <v/>
      </c>
      <c r="BB40" s="62" t="n"/>
      <c r="BC40" s="62" t="n"/>
      <c r="BD40" s="63">
        <f>IFERROR(MIN(BB40,BC40),"")</f>
        <v/>
      </c>
      <c r="BE40" s="64">
        <f>IF(OR(BD40="",D40=""),"",IF(BD40&lt;=IFERROR(VLOOKUP(CONCATENATE(D40,YEAR(TODAY())-YEAR(C40),"syotto"),_viitearvot!$I$2:$M$205,2,FALSE()),99),5,IF(BD40&lt;=IFERROR(VLOOKUP(CONCATENATE(D40,YEAR(TODAY())-YEAR(C40),"syotto"),_viitearvot!$I$2:$M$205,3,FALSE()),99),4,IF(BD40&lt;=IFERROR(VLOOKUP(CONCATENATE(D40,YEAR(TODAY())-YEAR(C40),"syotto"),_viitearvot!$I$2:$M$205,4,FALSE()),99),3,IF(BD40&lt;=IFERROR(VLOOKUP(CONCATENATE(D40,YEAR(TODAY())-YEAR(C40),"syotto"),_viitearvot!$I$2:$M$205,5,FALSE()),99),2,1)))))</f>
        <v/>
      </c>
      <c r="BF40" s="65" t="n"/>
      <c r="BG40" s="66">
        <f>IF(OR(BF40="",K40=""),"",(IF(D40="P",IF(K40&lt;=IFERROR(VLOOKUP(CONCATENATE("P",ROUND(BF40,0),"lin5m"),_viitearvot!$A:$H,4,FALSE()),99),5,IF(K40&lt;=IFERROR(VLOOKUP(CONCATENATE("P",ROUND(BF40,0),"lin5m"),_viitearvot!$A:$H,5,FALSE()),99),4,IF(K40&lt;=IFERROR(VLOOKUP(CONCATENATE("P",ROUND(BF40,0),"lin5m"),_viitearvot!$A:$H,6,FALSE()),99),3,IF(K40&lt;=IFERROR(VLOOKUP(CONCATENATE("P",ROUND(BF40,0),"lin5m"),_viitearvot!$A:$H,7,FALSE()),99),2,1)))),IF(K40&lt;=IFERROR(VLOOKUP(CONCATENATE("T",ROUND(BF40,0),"lin5m"),_viitearvot!$A:$H,4,FALSE()),99),5,IF(K40&lt;=IFERROR(VLOOKUP(CONCATENATE("T",ROUND(BF40,0),"lin5m"),_viitearvot!$A:$H,5,FALSE()),99),4,IF(K40&lt;=IFERROR(VLOOKUP(CONCATENATE("T",ROUND(BF40,0),"lin5m"),_viitearvot!$A:$H,6,FALSE()),99),3,IF(K40&lt;=IFERROR(VLOOKUP(CONCATENATE("T",ROUND(BF40,0),"lin5m"),_viitearvot!$A:$H,7,FALSE()),99),2,1))))))-L40)</f>
        <v/>
      </c>
      <c r="BH40" s="67" t="n"/>
    </row>
    <row r="41" ht="17" customHeight="1" s="22">
      <c r="A41" s="52" t="n"/>
      <c r="B41" s="52" t="n"/>
      <c r="C41" s="53" t="n"/>
      <c r="D41" s="52" t="n"/>
      <c r="E41" s="52" t="n"/>
      <c r="F41" s="52" t="n"/>
      <c r="G41" s="52" t="n"/>
      <c r="H41" s="54" t="n"/>
      <c r="I41" s="54" t="n"/>
      <c r="J41" s="54" t="n"/>
      <c r="K41" s="55">
        <f>IFERROR(MIN(H41,I41,J41),"")</f>
        <v/>
      </c>
      <c r="L41" s="56">
        <f>IF(OR(K41="",D41=""),"",IF(K41&lt;=IFERROR(VLOOKUP(CONCATENATE(D41,YEAR(TODAY())-YEAR(C41),"lin5m"),_viitearvot!$I$2:$M$205,2,FALSE()),99),5,IF(K41&lt;=IFERROR(VLOOKUP(CONCATENATE(D41,YEAR(TODAY())-YEAR(C41),"lin5m"),_viitearvot!$I$2:$M$205,3,FALSE()),99),4,IF(K41&lt;=IFERROR(VLOOKUP(CONCATENATE(D41,YEAR(TODAY())-YEAR(C41),"lin5m"),_viitearvot!$I$2:$M$205,4,FALSE()),99),3,IF(K41&lt;=IFERROR(VLOOKUP(CONCATENATE(D41,YEAR(TODAY())-YEAR(C41),"lin5m"),_viitearvot!$I$2:$M$205,5,FALSE()),99),2,1)))))</f>
        <v/>
      </c>
      <c r="M41" s="54" t="n"/>
      <c r="N41" s="54" t="n"/>
      <c r="O41" s="54" t="n"/>
      <c r="P41" s="55">
        <f>IFERROR(MIN(M41,N41,O41),"")</f>
        <v/>
      </c>
      <c r="Q41" s="56">
        <f>IF(OR(P41="",D41=""),"",IF(P41&lt;=IFERROR(VLOOKUP(CONCATENATE(D41,YEAR(TODAY())-YEAR(C41),"lin10m"),_viitearvot!$I$2:$M$205,2,FALSE()),99),5,IF(P41&lt;=IFERROR(VLOOKUP(CONCATENATE(D41,YEAR(TODAY())-YEAR(C41),"lin10m"),_viitearvot!$I$2:$M$205,3,FALSE()),99),4,IF(P41&lt;=IFERROR(VLOOKUP(CONCATENATE(D41,YEAR(TODAY())-YEAR(C41),"lin10m"),_viitearvot!$I$2:$M$205,4,FALSE()),99),3,IF(P41&lt;=IFERROR(VLOOKUP(CONCATENATE(D41,YEAR(TODAY())-YEAR(C41),"lin10m"),_viitearvot!$I$2:$M$205,5,FALSE()),99),2,1)))))</f>
        <v/>
      </c>
      <c r="R41" s="54" t="n"/>
      <c r="S41" s="54" t="n"/>
      <c r="T41" s="54" t="n"/>
      <c r="U41" s="55">
        <f>IFERROR(MIN(R41,S41,T41),"")</f>
        <v/>
      </c>
      <c r="V41" s="56">
        <f>IF(OR(U41="",D41=""),"",IF(U41&lt;=IFERROR(VLOOKUP(CONCATENATE(D41,YEAR(TODAY())-YEAR(C41),"lin20m"),_viitearvot!$I$2:$M$205,2,FALSE()),99),5,IF(U41&lt;=IFERROR(VLOOKUP(CONCATENATE(D41,YEAR(TODAY())-YEAR(C41),"lin20m"),_viitearvot!$I$2:$M$205,3,FALSE()),99),4,IF(U41&lt;=IFERROR(VLOOKUP(CONCATENATE(D41,YEAR(TODAY())-YEAR(C41),"lin20m"),_viitearvot!$I$2:$M$205,4,FALSE()),99),3,IF(U41&lt;=IFERROR(VLOOKUP(CONCATENATE(D41,YEAR(TODAY())-YEAR(C41),"lin20m"),_viitearvot!$I$2:$M$205,5,FALSE()),99),2,1)))))</f>
        <v/>
      </c>
      <c r="W41" s="54" t="n"/>
      <c r="X41" s="54" t="n"/>
      <c r="Y41" s="54" t="n"/>
      <c r="Z41" s="55">
        <f>IFERROR(MIN(W41,X41,Y41),"")</f>
        <v/>
      </c>
      <c r="AA41" s="56">
        <f>IF(OR(Z41="",D41=""),"",IF(Z41&lt;=IFERROR(VLOOKUP(CONCATENATE(D41,YEAR(TODAY())-YEAR(C41),"lin30m"),_viitearvot!$I$2:$M$205,2,FALSE()),99),5,IF(Z41&lt;=IFERROR(VLOOKUP(CONCATENATE(D41,YEAR(TODAY())-YEAR(C41),"lin30m"),_viitearvot!$I$2:$M$205,3,FALSE()),99),4,IF(Z41&lt;=IFERROR(VLOOKUP(CONCATENATE(D41,YEAR(TODAY())-YEAR(C41),"lin30m"),_viitearvot!$I$2:$M$205,4,FALSE()),99),3,IF(Z41&lt;=IFERROR(VLOOKUP(CONCATENATE(D41,YEAR(TODAY())-YEAR(C41),"lin30m"),_viitearvot!$I$2:$M$205,5,FALSE()),99),2,1)))))</f>
        <v/>
      </c>
      <c r="AB41" s="54" t="n"/>
      <c r="AC41" s="54" t="n"/>
      <c r="AD41" s="54" t="n"/>
      <c r="AE41" s="55">
        <f>IFERROR(MIN(AB41,AC41,AD41),"")</f>
        <v/>
      </c>
      <c r="AF41" s="56">
        <f>IF(OR(AE41="",D41=""),"",IF(AE41&lt;=IFERROR(VLOOKUP(CONCATENATE(D41,YEAR(TODAY())-YEAR(C41),"kasirata"),_viitearvot!$I$2:$M$205,2,FALSE()),99),5,IF(AE41&lt;=IFERROR(VLOOKUP(CONCATENATE(D41,YEAR(TODAY())-YEAR(C41),"kasirata"),_viitearvot!$I$2:$M$205,3,FALSE()),99),4,IF(AE41&lt;=IFERROR(VLOOKUP(CONCATENATE(D41,YEAR(TODAY())-YEAR(C41),"kasirata"),_viitearvot!$I$2:$M$205,4,FALSE()),99),3,IF(AE41&lt;=IFERROR(VLOOKUP(CONCATENATE(D41,YEAR(TODAY())-YEAR(C41),"kasirata"),_viitearvot!$I$2:$M$205,5,FALSE()),99),2,1)))))</f>
        <v/>
      </c>
      <c r="AG41" s="54" t="n"/>
      <c r="AH41" s="54" t="n"/>
      <c r="AI41" s="54" t="n"/>
      <c r="AJ41" s="55">
        <f>IFERROR(MIN(AG41,AH41,AI41),"")</f>
        <v/>
      </c>
      <c r="AK41" s="56">
        <f>IF(OR(AJ41="",D41=""),"",IF(AJ41&lt;=IFERROR(VLOOKUP(CONCATENATE(D41,YEAR(TODAY())-YEAR(C41),"smjuoksu"),_viitearvot!$I$2:$M$205,2,FALSE()),99),5,IF(AJ41&lt;=IFERROR(VLOOKUP(CONCATENATE(D41,YEAR(TODAY())-YEAR(C41),"smjuoksu"),_viitearvot!$I$2:$M$205,3,FALSE()),99),4,IF(AJ41&lt;=IFERROR(VLOOKUP(CONCATENATE(D41,YEAR(TODAY())-YEAR(C41),"smjuoksu"),_viitearvot!$I$2:$M$205,4,FALSE()),99),3,IF(AJ41&lt;=IFERROR(VLOOKUP(CONCATENATE(D41,YEAR(TODAY())-YEAR(C41),"smjuoksu"),_viitearvot!$I$2:$M$205,5,FALSE()),99),2,1)))))</f>
        <v/>
      </c>
      <c r="AL41" s="54" t="n"/>
      <c r="AM41" s="54" t="n"/>
      <c r="AN41" s="55">
        <f>IFERROR(MIN(AL41,AM41),"")</f>
        <v/>
      </c>
      <c r="AO41" s="56">
        <f>IF(OR(AN41="",D41=""),"",IF(AN41&lt;=IFERROR(VLOOKUP(CONCATENATE(D41,YEAR(TODAY())-YEAR(C41),"smpallo"),_viitearvot!$I$2:$M$205,2,FALSE()),99),5,IF(AN41&lt;=IFERROR(VLOOKUP(CONCATENATE(D41,YEAR(TODAY())-YEAR(C41),"smpallo"),_viitearvot!$I$2:$M$205,3,FALSE()),99),4,IF(AN41&lt;=IFERROR(VLOOKUP(CONCATENATE(D41,YEAR(TODAY())-YEAR(C41),"smpallo"),_viitearvot!$I$2:$M$205,4,FALSE()),99),3,IF(AN41&lt;=IFERROR(VLOOKUP(CONCATENATE(D41,YEAR(TODAY())-YEAR(C41),"smpallo"),_viitearvot!$I$2:$M$205,5,FALSE()),99),2,1)))))</f>
        <v/>
      </c>
      <c r="AP41" s="54" t="n"/>
      <c r="AQ41" s="54" t="n"/>
      <c r="AR41" s="54" t="n"/>
      <c r="AS41" s="55">
        <f>IFERROR(MAX(AP41,AQ41,AR41),"")</f>
        <v/>
      </c>
      <c r="AT41" s="56">
        <f>IF(OR(AS41="",D41=""),"",IF(AS41&gt;=IFERROR(VLOOKUP(CONCATENATE(D41,YEAR(TODAY())-YEAR(C41),"cmj"),_viitearvot!$I$2:$M$205,2,FALSE()),0),5,IF(AS41&gt;=IFERROR(VLOOKUP(CONCATENATE(D41,YEAR(TODAY())-YEAR(C41),"cmj"),_viitearvot!$I$2:$M$205,3,FALSE()),0),4,IF(AS41&gt;=IFERROR(VLOOKUP(CONCATENATE(D41,YEAR(TODAY())-YEAR(C41),"cmj"),_viitearvot!$I$2:$M$205,4,FALSE()),0),3,IF(AS41&gt;=IFERROR(VLOOKUP(CONCATENATE(D41,YEAR(TODAY())-YEAR(C41),"cmj"),_viitearvot!$I$2:$M$205,5,FALSE()),0),2,1)))))</f>
        <v/>
      </c>
      <c r="AU41" s="54" t="n"/>
      <c r="AV41" s="55">
        <f>IFERROR(MAX(AU41),"")</f>
        <v/>
      </c>
      <c r="AW41" s="56">
        <f>IF(OR(AV41="",D41=""),"",IF(AV41&gt;=IFERROR(VLOOKUP(CONCATENATE(D41,YEAR(TODAY())-YEAR(C41),"bronco"),_viitearvot!$I$2:$M$205,2,FALSE()),0),5,IF(AV41&gt;=IFERROR(VLOOKUP(CONCATENATE(D41,YEAR(TODAY())-YEAR(C41),"bronco"),_viitearvot!$I$2:$M$205,3,FALSE()),0),4,IF(AV41&gt;=IFERROR(VLOOKUP(CONCATENATE(D41,YEAR(TODAY())-YEAR(C41),"bronco"),_viitearvot!$I$2:$M$205,4,FALSE()),0),3,IF(AV41&gt;=IFERROR(VLOOKUP(CONCATENATE(D41,YEAR(TODAY())-YEAR(C41),"bronco"),_viitearvot!$I$2:$M$205,5,FALSE()),0),2,1)))))</f>
        <v/>
      </c>
      <c r="AX41" s="54" t="n"/>
      <c r="AY41" s="54" t="n"/>
      <c r="AZ41" s="55">
        <f>IFERROR(MIN(AX41,AY41),"")</f>
        <v/>
      </c>
      <c r="BA41" s="56">
        <f>IF(OR(AZ41="",D41=""),"",IF(AZ41&lt;=IFERROR(VLOOKUP(CONCATENATE(D41,YEAR(TODAY())-YEAR(C41),"pujottelu"),_viitearvot!$I$2:$M$205,2,FALSE()),99),5,IF(AZ41&lt;=IFERROR(VLOOKUP(CONCATENATE(D41,YEAR(TODAY())-YEAR(C41),"pujottelu"),_viitearvot!$I$2:$M$205,3,FALSE()),99),4,IF(AZ41&lt;=IFERROR(VLOOKUP(CONCATENATE(D41,YEAR(TODAY())-YEAR(C41),"pujottelu"),_viitearvot!$I$2:$M$205,4,FALSE()),99),3,IF(AZ41&lt;=IFERROR(VLOOKUP(CONCATENATE(D41,YEAR(TODAY())-YEAR(C41),"pujottelu"),_viitearvot!$I$2:$M$205,5,FALSE()),99),2,1)))))</f>
        <v/>
      </c>
      <c r="BB41" s="54" t="n"/>
      <c r="BC41" s="54" t="n"/>
      <c r="BD41" s="55">
        <f>IFERROR(MIN(BB41,BC41),"")</f>
        <v/>
      </c>
      <c r="BE41" s="56">
        <f>IF(OR(BD41="",D41=""),"",IF(BD41&lt;=IFERROR(VLOOKUP(CONCATENATE(D41,YEAR(TODAY())-YEAR(C41),"syotto"),_viitearvot!$I$2:$M$205,2,FALSE()),99),5,IF(BD41&lt;=IFERROR(VLOOKUP(CONCATENATE(D41,YEAR(TODAY())-YEAR(C41),"syotto"),_viitearvot!$I$2:$M$205,3,FALSE()),99),4,IF(BD41&lt;=IFERROR(VLOOKUP(CONCATENATE(D41,YEAR(TODAY())-YEAR(C41),"syotto"),_viitearvot!$I$2:$M$205,4,FALSE()),99),3,IF(BD41&lt;=IFERROR(VLOOKUP(CONCATENATE(D41,YEAR(TODAY())-YEAR(C41),"syotto"),_viitearvot!$I$2:$M$205,5,FALSE()),99),2,1)))))</f>
        <v/>
      </c>
      <c r="BF41" s="57" t="n"/>
      <c r="BG41" s="58">
        <f>IF(OR(BF41="",K41=""),"",(IF(D41="P",IF(K41&lt;=IFERROR(VLOOKUP(CONCATENATE("P",ROUND(BF41,0),"lin5m"),_viitearvot!$A:$H,4,FALSE()),99),5,IF(K41&lt;=IFERROR(VLOOKUP(CONCATENATE("P",ROUND(BF41,0),"lin5m"),_viitearvot!$A:$H,5,FALSE()),99),4,IF(K41&lt;=IFERROR(VLOOKUP(CONCATENATE("P",ROUND(BF41,0),"lin5m"),_viitearvot!$A:$H,6,FALSE()),99),3,IF(K41&lt;=IFERROR(VLOOKUP(CONCATENATE("P",ROUND(BF41,0),"lin5m"),_viitearvot!$A:$H,7,FALSE()),99),2,1)))),IF(K41&lt;=IFERROR(VLOOKUP(CONCATENATE("T",ROUND(BF41,0),"lin5m"),_viitearvot!$A:$H,4,FALSE()),99),5,IF(K41&lt;=IFERROR(VLOOKUP(CONCATENATE("T",ROUND(BF41,0),"lin5m"),_viitearvot!$A:$H,5,FALSE()),99),4,IF(K41&lt;=IFERROR(VLOOKUP(CONCATENATE("T",ROUND(BF41,0),"lin5m"),_viitearvot!$A:$H,6,FALSE()),99),3,IF(K41&lt;=IFERROR(VLOOKUP(CONCATENATE("T",ROUND(BF41,0),"lin5m"),_viitearvot!$A:$H,7,FALSE()),99),2,1))))))-L41)</f>
        <v/>
      </c>
      <c r="BH41" s="59" t="n"/>
    </row>
    <row r="42" ht="17" customHeight="1" s="22">
      <c r="A42" s="60" t="n"/>
      <c r="B42" s="60" t="n"/>
      <c r="C42" s="61" t="n"/>
      <c r="D42" s="60" t="n"/>
      <c r="E42" s="60" t="n"/>
      <c r="F42" s="60" t="n"/>
      <c r="G42" s="60" t="n"/>
      <c r="H42" s="62" t="n"/>
      <c r="I42" s="62" t="n"/>
      <c r="J42" s="62" t="n"/>
      <c r="K42" s="63">
        <f>IFERROR(MIN(H42,I42,J42),"")</f>
        <v/>
      </c>
      <c r="L42" s="64">
        <f>IF(OR(K42="",D42=""),"",IF(K42&lt;=IFERROR(VLOOKUP(CONCATENATE(D42,YEAR(TODAY())-YEAR(C42),"lin5m"),_viitearvot!$I$2:$M$205,2,FALSE()),99),5,IF(K42&lt;=IFERROR(VLOOKUP(CONCATENATE(D42,YEAR(TODAY())-YEAR(C42),"lin5m"),_viitearvot!$I$2:$M$205,3,FALSE()),99),4,IF(K42&lt;=IFERROR(VLOOKUP(CONCATENATE(D42,YEAR(TODAY())-YEAR(C42),"lin5m"),_viitearvot!$I$2:$M$205,4,FALSE()),99),3,IF(K42&lt;=IFERROR(VLOOKUP(CONCATENATE(D42,YEAR(TODAY())-YEAR(C42),"lin5m"),_viitearvot!$I$2:$M$205,5,FALSE()),99),2,1)))))</f>
        <v/>
      </c>
      <c r="M42" s="62" t="n"/>
      <c r="N42" s="62" t="n"/>
      <c r="O42" s="62" t="n"/>
      <c r="P42" s="63">
        <f>IFERROR(MIN(M42,N42,O42),"")</f>
        <v/>
      </c>
      <c r="Q42" s="64">
        <f>IF(OR(P42="",D42=""),"",IF(P42&lt;=IFERROR(VLOOKUP(CONCATENATE(D42,YEAR(TODAY())-YEAR(C42),"lin10m"),_viitearvot!$I$2:$M$205,2,FALSE()),99),5,IF(P42&lt;=IFERROR(VLOOKUP(CONCATENATE(D42,YEAR(TODAY())-YEAR(C42),"lin10m"),_viitearvot!$I$2:$M$205,3,FALSE()),99),4,IF(P42&lt;=IFERROR(VLOOKUP(CONCATENATE(D42,YEAR(TODAY())-YEAR(C42),"lin10m"),_viitearvot!$I$2:$M$205,4,FALSE()),99),3,IF(P42&lt;=IFERROR(VLOOKUP(CONCATENATE(D42,YEAR(TODAY())-YEAR(C42),"lin10m"),_viitearvot!$I$2:$M$205,5,FALSE()),99),2,1)))))</f>
        <v/>
      </c>
      <c r="R42" s="62" t="n"/>
      <c r="S42" s="62" t="n"/>
      <c r="T42" s="62" t="n"/>
      <c r="U42" s="63">
        <f>IFERROR(MIN(R42,S42,T42),"")</f>
        <v/>
      </c>
      <c r="V42" s="64">
        <f>IF(OR(U42="",D42=""),"",IF(U42&lt;=IFERROR(VLOOKUP(CONCATENATE(D42,YEAR(TODAY())-YEAR(C42),"lin20m"),_viitearvot!$I$2:$M$205,2,FALSE()),99),5,IF(U42&lt;=IFERROR(VLOOKUP(CONCATENATE(D42,YEAR(TODAY())-YEAR(C42),"lin20m"),_viitearvot!$I$2:$M$205,3,FALSE()),99),4,IF(U42&lt;=IFERROR(VLOOKUP(CONCATENATE(D42,YEAR(TODAY())-YEAR(C42),"lin20m"),_viitearvot!$I$2:$M$205,4,FALSE()),99),3,IF(U42&lt;=IFERROR(VLOOKUP(CONCATENATE(D42,YEAR(TODAY())-YEAR(C42),"lin20m"),_viitearvot!$I$2:$M$205,5,FALSE()),99),2,1)))))</f>
        <v/>
      </c>
      <c r="W42" s="62" t="n"/>
      <c r="X42" s="62" t="n"/>
      <c r="Y42" s="62" t="n"/>
      <c r="Z42" s="63">
        <f>IFERROR(MIN(W42,X42,Y42),"")</f>
        <v/>
      </c>
      <c r="AA42" s="64">
        <f>IF(OR(Z42="",D42=""),"",IF(Z42&lt;=IFERROR(VLOOKUP(CONCATENATE(D42,YEAR(TODAY())-YEAR(C42),"lin30m"),_viitearvot!$I$2:$M$205,2,FALSE()),99),5,IF(Z42&lt;=IFERROR(VLOOKUP(CONCATENATE(D42,YEAR(TODAY())-YEAR(C42),"lin30m"),_viitearvot!$I$2:$M$205,3,FALSE()),99),4,IF(Z42&lt;=IFERROR(VLOOKUP(CONCATENATE(D42,YEAR(TODAY())-YEAR(C42),"lin30m"),_viitearvot!$I$2:$M$205,4,FALSE()),99),3,IF(Z42&lt;=IFERROR(VLOOKUP(CONCATENATE(D42,YEAR(TODAY())-YEAR(C42),"lin30m"),_viitearvot!$I$2:$M$205,5,FALSE()),99),2,1)))))</f>
        <v/>
      </c>
      <c r="AB42" s="62" t="n"/>
      <c r="AC42" s="62" t="n"/>
      <c r="AD42" s="62" t="n"/>
      <c r="AE42" s="63">
        <f>IFERROR(MIN(AB42,AC42,AD42),"")</f>
        <v/>
      </c>
      <c r="AF42" s="64">
        <f>IF(OR(AE42="",D42=""),"",IF(AE42&lt;=IFERROR(VLOOKUP(CONCATENATE(D42,YEAR(TODAY())-YEAR(C42),"kasirata"),_viitearvot!$I$2:$M$205,2,FALSE()),99),5,IF(AE42&lt;=IFERROR(VLOOKUP(CONCATENATE(D42,YEAR(TODAY())-YEAR(C42),"kasirata"),_viitearvot!$I$2:$M$205,3,FALSE()),99),4,IF(AE42&lt;=IFERROR(VLOOKUP(CONCATENATE(D42,YEAR(TODAY())-YEAR(C42),"kasirata"),_viitearvot!$I$2:$M$205,4,FALSE()),99),3,IF(AE42&lt;=IFERROR(VLOOKUP(CONCATENATE(D42,YEAR(TODAY())-YEAR(C42),"kasirata"),_viitearvot!$I$2:$M$205,5,FALSE()),99),2,1)))))</f>
        <v/>
      </c>
      <c r="AG42" s="62" t="n"/>
      <c r="AH42" s="62" t="n"/>
      <c r="AI42" s="62" t="n"/>
      <c r="AJ42" s="63">
        <f>IFERROR(MIN(AG42,AH42,AI42),"")</f>
        <v/>
      </c>
      <c r="AK42" s="64">
        <f>IF(OR(AJ42="",D42=""),"",IF(AJ42&lt;=IFERROR(VLOOKUP(CONCATENATE(D42,YEAR(TODAY())-YEAR(C42),"smjuoksu"),_viitearvot!$I$2:$M$205,2,FALSE()),99),5,IF(AJ42&lt;=IFERROR(VLOOKUP(CONCATENATE(D42,YEAR(TODAY())-YEAR(C42),"smjuoksu"),_viitearvot!$I$2:$M$205,3,FALSE()),99),4,IF(AJ42&lt;=IFERROR(VLOOKUP(CONCATENATE(D42,YEAR(TODAY())-YEAR(C42),"smjuoksu"),_viitearvot!$I$2:$M$205,4,FALSE()),99),3,IF(AJ42&lt;=IFERROR(VLOOKUP(CONCATENATE(D42,YEAR(TODAY())-YEAR(C42),"smjuoksu"),_viitearvot!$I$2:$M$205,5,FALSE()),99),2,1)))))</f>
        <v/>
      </c>
      <c r="AL42" s="62" t="n"/>
      <c r="AM42" s="62" t="n"/>
      <c r="AN42" s="63">
        <f>IFERROR(MIN(AL42,AM42),"")</f>
        <v/>
      </c>
      <c r="AO42" s="64">
        <f>IF(OR(AN42="",D42=""),"",IF(AN42&lt;=IFERROR(VLOOKUP(CONCATENATE(D42,YEAR(TODAY())-YEAR(C42),"smpallo"),_viitearvot!$I$2:$M$205,2,FALSE()),99),5,IF(AN42&lt;=IFERROR(VLOOKUP(CONCATENATE(D42,YEAR(TODAY())-YEAR(C42),"smpallo"),_viitearvot!$I$2:$M$205,3,FALSE()),99),4,IF(AN42&lt;=IFERROR(VLOOKUP(CONCATENATE(D42,YEAR(TODAY())-YEAR(C42),"smpallo"),_viitearvot!$I$2:$M$205,4,FALSE()),99),3,IF(AN42&lt;=IFERROR(VLOOKUP(CONCATENATE(D42,YEAR(TODAY())-YEAR(C42),"smpallo"),_viitearvot!$I$2:$M$205,5,FALSE()),99),2,1)))))</f>
        <v/>
      </c>
      <c r="AP42" s="62" t="n"/>
      <c r="AQ42" s="62" t="n"/>
      <c r="AR42" s="62" t="n"/>
      <c r="AS42" s="63">
        <f>IFERROR(MAX(AP42,AQ42,AR42),"")</f>
        <v/>
      </c>
      <c r="AT42" s="64">
        <f>IF(OR(AS42="",D42=""),"",IF(AS42&gt;=IFERROR(VLOOKUP(CONCATENATE(D42,YEAR(TODAY())-YEAR(C42),"cmj"),_viitearvot!$I$2:$M$205,2,FALSE()),0),5,IF(AS42&gt;=IFERROR(VLOOKUP(CONCATENATE(D42,YEAR(TODAY())-YEAR(C42),"cmj"),_viitearvot!$I$2:$M$205,3,FALSE()),0),4,IF(AS42&gt;=IFERROR(VLOOKUP(CONCATENATE(D42,YEAR(TODAY())-YEAR(C42),"cmj"),_viitearvot!$I$2:$M$205,4,FALSE()),0),3,IF(AS42&gt;=IFERROR(VLOOKUP(CONCATENATE(D42,YEAR(TODAY())-YEAR(C42),"cmj"),_viitearvot!$I$2:$M$205,5,FALSE()),0),2,1)))))</f>
        <v/>
      </c>
      <c r="AU42" s="62" t="n"/>
      <c r="AV42" s="63">
        <f>IFERROR(MAX(AU42),"")</f>
        <v/>
      </c>
      <c r="AW42" s="64">
        <f>IF(OR(AV42="",D42=""),"",IF(AV42&gt;=IFERROR(VLOOKUP(CONCATENATE(D42,YEAR(TODAY())-YEAR(C42),"bronco"),_viitearvot!$I$2:$M$205,2,FALSE()),0),5,IF(AV42&gt;=IFERROR(VLOOKUP(CONCATENATE(D42,YEAR(TODAY())-YEAR(C42),"bronco"),_viitearvot!$I$2:$M$205,3,FALSE()),0),4,IF(AV42&gt;=IFERROR(VLOOKUP(CONCATENATE(D42,YEAR(TODAY())-YEAR(C42),"bronco"),_viitearvot!$I$2:$M$205,4,FALSE()),0),3,IF(AV42&gt;=IFERROR(VLOOKUP(CONCATENATE(D42,YEAR(TODAY())-YEAR(C42),"bronco"),_viitearvot!$I$2:$M$205,5,FALSE()),0),2,1)))))</f>
        <v/>
      </c>
      <c r="AX42" s="62" t="n"/>
      <c r="AY42" s="62" t="n"/>
      <c r="AZ42" s="63">
        <f>IFERROR(MIN(AX42,AY42),"")</f>
        <v/>
      </c>
      <c r="BA42" s="64">
        <f>IF(OR(AZ42="",D42=""),"",IF(AZ42&lt;=IFERROR(VLOOKUP(CONCATENATE(D42,YEAR(TODAY())-YEAR(C42),"pujottelu"),_viitearvot!$I$2:$M$205,2,FALSE()),99),5,IF(AZ42&lt;=IFERROR(VLOOKUP(CONCATENATE(D42,YEAR(TODAY())-YEAR(C42),"pujottelu"),_viitearvot!$I$2:$M$205,3,FALSE()),99),4,IF(AZ42&lt;=IFERROR(VLOOKUP(CONCATENATE(D42,YEAR(TODAY())-YEAR(C42),"pujottelu"),_viitearvot!$I$2:$M$205,4,FALSE()),99),3,IF(AZ42&lt;=IFERROR(VLOOKUP(CONCATENATE(D42,YEAR(TODAY())-YEAR(C42),"pujottelu"),_viitearvot!$I$2:$M$205,5,FALSE()),99),2,1)))))</f>
        <v/>
      </c>
      <c r="BB42" s="62" t="n"/>
      <c r="BC42" s="62" t="n"/>
      <c r="BD42" s="63">
        <f>IFERROR(MIN(BB42,BC42),"")</f>
        <v/>
      </c>
      <c r="BE42" s="64">
        <f>IF(OR(BD42="",D42=""),"",IF(BD42&lt;=IFERROR(VLOOKUP(CONCATENATE(D42,YEAR(TODAY())-YEAR(C42),"syotto"),_viitearvot!$I$2:$M$205,2,FALSE()),99),5,IF(BD42&lt;=IFERROR(VLOOKUP(CONCATENATE(D42,YEAR(TODAY())-YEAR(C42),"syotto"),_viitearvot!$I$2:$M$205,3,FALSE()),99),4,IF(BD42&lt;=IFERROR(VLOOKUP(CONCATENATE(D42,YEAR(TODAY())-YEAR(C42),"syotto"),_viitearvot!$I$2:$M$205,4,FALSE()),99),3,IF(BD42&lt;=IFERROR(VLOOKUP(CONCATENATE(D42,YEAR(TODAY())-YEAR(C42),"syotto"),_viitearvot!$I$2:$M$205,5,FALSE()),99),2,1)))))</f>
        <v/>
      </c>
      <c r="BF42" s="65" t="n"/>
      <c r="BG42" s="66">
        <f>IF(OR(BF42="",K42=""),"",(IF(D42="P",IF(K42&lt;=IFERROR(VLOOKUP(CONCATENATE("P",ROUND(BF42,0),"lin5m"),_viitearvot!$A:$H,4,FALSE()),99),5,IF(K42&lt;=IFERROR(VLOOKUP(CONCATENATE("P",ROUND(BF42,0),"lin5m"),_viitearvot!$A:$H,5,FALSE()),99),4,IF(K42&lt;=IFERROR(VLOOKUP(CONCATENATE("P",ROUND(BF42,0),"lin5m"),_viitearvot!$A:$H,6,FALSE()),99),3,IF(K42&lt;=IFERROR(VLOOKUP(CONCATENATE("P",ROUND(BF42,0),"lin5m"),_viitearvot!$A:$H,7,FALSE()),99),2,1)))),IF(K42&lt;=IFERROR(VLOOKUP(CONCATENATE("T",ROUND(BF42,0),"lin5m"),_viitearvot!$A:$H,4,FALSE()),99),5,IF(K42&lt;=IFERROR(VLOOKUP(CONCATENATE("T",ROUND(BF42,0),"lin5m"),_viitearvot!$A:$H,5,FALSE()),99),4,IF(K42&lt;=IFERROR(VLOOKUP(CONCATENATE("T",ROUND(BF42,0),"lin5m"),_viitearvot!$A:$H,6,FALSE()),99),3,IF(K42&lt;=IFERROR(VLOOKUP(CONCATENATE("T",ROUND(BF42,0),"lin5m"),_viitearvot!$A:$H,7,FALSE()),99),2,1))))))-L42)</f>
        <v/>
      </c>
      <c r="BH42" s="67" t="n"/>
    </row>
    <row r="43" ht="17" customHeight="1" s="22">
      <c r="A43" s="52" t="n"/>
      <c r="B43" s="52" t="n"/>
      <c r="C43" s="53" t="n"/>
      <c r="D43" s="52" t="n"/>
      <c r="E43" s="52" t="n"/>
      <c r="F43" s="52" t="n"/>
      <c r="G43" s="52" t="n"/>
      <c r="H43" s="54" t="n"/>
      <c r="I43" s="54" t="n"/>
      <c r="J43" s="54" t="n"/>
      <c r="K43" s="55">
        <f>IFERROR(MIN(H43,I43,J43),"")</f>
        <v/>
      </c>
      <c r="L43" s="56">
        <f>IF(OR(K43="",D43=""),"",IF(K43&lt;=IFERROR(VLOOKUP(CONCATENATE(D43,YEAR(TODAY())-YEAR(C43),"lin5m"),_viitearvot!$I$2:$M$205,2,FALSE()),99),5,IF(K43&lt;=IFERROR(VLOOKUP(CONCATENATE(D43,YEAR(TODAY())-YEAR(C43),"lin5m"),_viitearvot!$I$2:$M$205,3,FALSE()),99),4,IF(K43&lt;=IFERROR(VLOOKUP(CONCATENATE(D43,YEAR(TODAY())-YEAR(C43),"lin5m"),_viitearvot!$I$2:$M$205,4,FALSE()),99),3,IF(K43&lt;=IFERROR(VLOOKUP(CONCATENATE(D43,YEAR(TODAY())-YEAR(C43),"lin5m"),_viitearvot!$I$2:$M$205,5,FALSE()),99),2,1)))))</f>
        <v/>
      </c>
      <c r="M43" s="54" t="n"/>
      <c r="N43" s="54" t="n"/>
      <c r="O43" s="54" t="n"/>
      <c r="P43" s="55">
        <f>IFERROR(MIN(M43,N43,O43),"")</f>
        <v/>
      </c>
      <c r="Q43" s="56">
        <f>IF(OR(P43="",D43=""),"",IF(P43&lt;=IFERROR(VLOOKUP(CONCATENATE(D43,YEAR(TODAY())-YEAR(C43),"lin10m"),_viitearvot!$I$2:$M$205,2,FALSE()),99),5,IF(P43&lt;=IFERROR(VLOOKUP(CONCATENATE(D43,YEAR(TODAY())-YEAR(C43),"lin10m"),_viitearvot!$I$2:$M$205,3,FALSE()),99),4,IF(P43&lt;=IFERROR(VLOOKUP(CONCATENATE(D43,YEAR(TODAY())-YEAR(C43),"lin10m"),_viitearvot!$I$2:$M$205,4,FALSE()),99),3,IF(P43&lt;=IFERROR(VLOOKUP(CONCATENATE(D43,YEAR(TODAY())-YEAR(C43),"lin10m"),_viitearvot!$I$2:$M$205,5,FALSE()),99),2,1)))))</f>
        <v/>
      </c>
      <c r="R43" s="54" t="n"/>
      <c r="S43" s="54" t="n"/>
      <c r="T43" s="54" t="n"/>
      <c r="U43" s="55">
        <f>IFERROR(MIN(R43,S43,T43),"")</f>
        <v/>
      </c>
      <c r="V43" s="56">
        <f>IF(OR(U43="",D43=""),"",IF(U43&lt;=IFERROR(VLOOKUP(CONCATENATE(D43,YEAR(TODAY())-YEAR(C43),"lin20m"),_viitearvot!$I$2:$M$205,2,FALSE()),99),5,IF(U43&lt;=IFERROR(VLOOKUP(CONCATENATE(D43,YEAR(TODAY())-YEAR(C43),"lin20m"),_viitearvot!$I$2:$M$205,3,FALSE()),99),4,IF(U43&lt;=IFERROR(VLOOKUP(CONCATENATE(D43,YEAR(TODAY())-YEAR(C43),"lin20m"),_viitearvot!$I$2:$M$205,4,FALSE()),99),3,IF(U43&lt;=IFERROR(VLOOKUP(CONCATENATE(D43,YEAR(TODAY())-YEAR(C43),"lin20m"),_viitearvot!$I$2:$M$205,5,FALSE()),99),2,1)))))</f>
        <v/>
      </c>
      <c r="W43" s="54" t="n"/>
      <c r="X43" s="54" t="n"/>
      <c r="Y43" s="54" t="n"/>
      <c r="Z43" s="55">
        <f>IFERROR(MIN(W43,X43,Y43),"")</f>
        <v/>
      </c>
      <c r="AA43" s="56">
        <f>IF(OR(Z43="",D43=""),"",IF(Z43&lt;=IFERROR(VLOOKUP(CONCATENATE(D43,YEAR(TODAY())-YEAR(C43),"lin30m"),_viitearvot!$I$2:$M$205,2,FALSE()),99),5,IF(Z43&lt;=IFERROR(VLOOKUP(CONCATENATE(D43,YEAR(TODAY())-YEAR(C43),"lin30m"),_viitearvot!$I$2:$M$205,3,FALSE()),99),4,IF(Z43&lt;=IFERROR(VLOOKUP(CONCATENATE(D43,YEAR(TODAY())-YEAR(C43),"lin30m"),_viitearvot!$I$2:$M$205,4,FALSE()),99),3,IF(Z43&lt;=IFERROR(VLOOKUP(CONCATENATE(D43,YEAR(TODAY())-YEAR(C43),"lin30m"),_viitearvot!$I$2:$M$205,5,FALSE()),99),2,1)))))</f>
        <v/>
      </c>
      <c r="AB43" s="54" t="n"/>
      <c r="AC43" s="54" t="n"/>
      <c r="AD43" s="54" t="n"/>
      <c r="AE43" s="55">
        <f>IFERROR(MIN(AB43,AC43,AD43),"")</f>
        <v/>
      </c>
      <c r="AF43" s="56">
        <f>IF(OR(AE43="",D43=""),"",IF(AE43&lt;=IFERROR(VLOOKUP(CONCATENATE(D43,YEAR(TODAY())-YEAR(C43),"kasirata"),_viitearvot!$I$2:$M$205,2,FALSE()),99),5,IF(AE43&lt;=IFERROR(VLOOKUP(CONCATENATE(D43,YEAR(TODAY())-YEAR(C43),"kasirata"),_viitearvot!$I$2:$M$205,3,FALSE()),99),4,IF(AE43&lt;=IFERROR(VLOOKUP(CONCATENATE(D43,YEAR(TODAY())-YEAR(C43),"kasirata"),_viitearvot!$I$2:$M$205,4,FALSE()),99),3,IF(AE43&lt;=IFERROR(VLOOKUP(CONCATENATE(D43,YEAR(TODAY())-YEAR(C43),"kasirata"),_viitearvot!$I$2:$M$205,5,FALSE()),99),2,1)))))</f>
        <v/>
      </c>
      <c r="AG43" s="54" t="n"/>
      <c r="AH43" s="54" t="n"/>
      <c r="AI43" s="54" t="n"/>
      <c r="AJ43" s="55">
        <f>IFERROR(MIN(AG43,AH43,AI43),"")</f>
        <v/>
      </c>
      <c r="AK43" s="56">
        <f>IF(OR(AJ43="",D43=""),"",IF(AJ43&lt;=IFERROR(VLOOKUP(CONCATENATE(D43,YEAR(TODAY())-YEAR(C43),"smjuoksu"),_viitearvot!$I$2:$M$205,2,FALSE()),99),5,IF(AJ43&lt;=IFERROR(VLOOKUP(CONCATENATE(D43,YEAR(TODAY())-YEAR(C43),"smjuoksu"),_viitearvot!$I$2:$M$205,3,FALSE()),99),4,IF(AJ43&lt;=IFERROR(VLOOKUP(CONCATENATE(D43,YEAR(TODAY())-YEAR(C43),"smjuoksu"),_viitearvot!$I$2:$M$205,4,FALSE()),99),3,IF(AJ43&lt;=IFERROR(VLOOKUP(CONCATENATE(D43,YEAR(TODAY())-YEAR(C43),"smjuoksu"),_viitearvot!$I$2:$M$205,5,FALSE()),99),2,1)))))</f>
        <v/>
      </c>
      <c r="AL43" s="54" t="n"/>
      <c r="AM43" s="54" t="n"/>
      <c r="AN43" s="55">
        <f>IFERROR(MIN(AL43,AM43),"")</f>
        <v/>
      </c>
      <c r="AO43" s="56">
        <f>IF(OR(AN43="",D43=""),"",IF(AN43&lt;=IFERROR(VLOOKUP(CONCATENATE(D43,YEAR(TODAY())-YEAR(C43),"smpallo"),_viitearvot!$I$2:$M$205,2,FALSE()),99),5,IF(AN43&lt;=IFERROR(VLOOKUP(CONCATENATE(D43,YEAR(TODAY())-YEAR(C43),"smpallo"),_viitearvot!$I$2:$M$205,3,FALSE()),99),4,IF(AN43&lt;=IFERROR(VLOOKUP(CONCATENATE(D43,YEAR(TODAY())-YEAR(C43),"smpallo"),_viitearvot!$I$2:$M$205,4,FALSE()),99),3,IF(AN43&lt;=IFERROR(VLOOKUP(CONCATENATE(D43,YEAR(TODAY())-YEAR(C43),"smpallo"),_viitearvot!$I$2:$M$205,5,FALSE()),99),2,1)))))</f>
        <v/>
      </c>
      <c r="AP43" s="54" t="n"/>
      <c r="AQ43" s="54" t="n"/>
      <c r="AR43" s="54" t="n"/>
      <c r="AS43" s="55">
        <f>IFERROR(MAX(AP43,AQ43,AR43),"")</f>
        <v/>
      </c>
      <c r="AT43" s="56">
        <f>IF(OR(AS43="",D43=""),"",IF(AS43&gt;=IFERROR(VLOOKUP(CONCATENATE(D43,YEAR(TODAY())-YEAR(C43),"cmj"),_viitearvot!$I$2:$M$205,2,FALSE()),0),5,IF(AS43&gt;=IFERROR(VLOOKUP(CONCATENATE(D43,YEAR(TODAY())-YEAR(C43),"cmj"),_viitearvot!$I$2:$M$205,3,FALSE()),0),4,IF(AS43&gt;=IFERROR(VLOOKUP(CONCATENATE(D43,YEAR(TODAY())-YEAR(C43),"cmj"),_viitearvot!$I$2:$M$205,4,FALSE()),0),3,IF(AS43&gt;=IFERROR(VLOOKUP(CONCATENATE(D43,YEAR(TODAY())-YEAR(C43),"cmj"),_viitearvot!$I$2:$M$205,5,FALSE()),0),2,1)))))</f>
        <v/>
      </c>
      <c r="AU43" s="54" t="n"/>
      <c r="AV43" s="55">
        <f>IFERROR(MAX(AU43),"")</f>
        <v/>
      </c>
      <c r="AW43" s="56">
        <f>IF(OR(AV43="",D43=""),"",IF(AV43&gt;=IFERROR(VLOOKUP(CONCATENATE(D43,YEAR(TODAY())-YEAR(C43),"bronco"),_viitearvot!$I$2:$M$205,2,FALSE()),0),5,IF(AV43&gt;=IFERROR(VLOOKUP(CONCATENATE(D43,YEAR(TODAY())-YEAR(C43),"bronco"),_viitearvot!$I$2:$M$205,3,FALSE()),0),4,IF(AV43&gt;=IFERROR(VLOOKUP(CONCATENATE(D43,YEAR(TODAY())-YEAR(C43),"bronco"),_viitearvot!$I$2:$M$205,4,FALSE()),0),3,IF(AV43&gt;=IFERROR(VLOOKUP(CONCATENATE(D43,YEAR(TODAY())-YEAR(C43),"bronco"),_viitearvot!$I$2:$M$205,5,FALSE()),0),2,1)))))</f>
        <v/>
      </c>
      <c r="AX43" s="54" t="n"/>
      <c r="AY43" s="54" t="n"/>
      <c r="AZ43" s="55">
        <f>IFERROR(MIN(AX43,AY43),"")</f>
        <v/>
      </c>
      <c r="BA43" s="56">
        <f>IF(OR(AZ43="",D43=""),"",IF(AZ43&lt;=IFERROR(VLOOKUP(CONCATENATE(D43,YEAR(TODAY())-YEAR(C43),"pujottelu"),_viitearvot!$I$2:$M$205,2,FALSE()),99),5,IF(AZ43&lt;=IFERROR(VLOOKUP(CONCATENATE(D43,YEAR(TODAY())-YEAR(C43),"pujottelu"),_viitearvot!$I$2:$M$205,3,FALSE()),99),4,IF(AZ43&lt;=IFERROR(VLOOKUP(CONCATENATE(D43,YEAR(TODAY())-YEAR(C43),"pujottelu"),_viitearvot!$I$2:$M$205,4,FALSE()),99),3,IF(AZ43&lt;=IFERROR(VLOOKUP(CONCATENATE(D43,YEAR(TODAY())-YEAR(C43),"pujottelu"),_viitearvot!$I$2:$M$205,5,FALSE()),99),2,1)))))</f>
        <v/>
      </c>
      <c r="BB43" s="54" t="n"/>
      <c r="BC43" s="54" t="n"/>
      <c r="BD43" s="55">
        <f>IFERROR(MIN(BB43,BC43),"")</f>
        <v/>
      </c>
      <c r="BE43" s="56">
        <f>IF(OR(BD43="",D43=""),"",IF(BD43&lt;=IFERROR(VLOOKUP(CONCATENATE(D43,YEAR(TODAY())-YEAR(C43),"syotto"),_viitearvot!$I$2:$M$205,2,FALSE()),99),5,IF(BD43&lt;=IFERROR(VLOOKUP(CONCATENATE(D43,YEAR(TODAY())-YEAR(C43),"syotto"),_viitearvot!$I$2:$M$205,3,FALSE()),99),4,IF(BD43&lt;=IFERROR(VLOOKUP(CONCATENATE(D43,YEAR(TODAY())-YEAR(C43),"syotto"),_viitearvot!$I$2:$M$205,4,FALSE()),99),3,IF(BD43&lt;=IFERROR(VLOOKUP(CONCATENATE(D43,YEAR(TODAY())-YEAR(C43),"syotto"),_viitearvot!$I$2:$M$205,5,FALSE()),99),2,1)))))</f>
        <v/>
      </c>
      <c r="BF43" s="57" t="n"/>
      <c r="BG43" s="58">
        <f>IF(OR(BF43="",K43=""),"",(IF(D43="P",IF(K43&lt;=IFERROR(VLOOKUP(CONCATENATE("P",ROUND(BF43,0),"lin5m"),_viitearvot!$A:$H,4,FALSE()),99),5,IF(K43&lt;=IFERROR(VLOOKUP(CONCATENATE("P",ROUND(BF43,0),"lin5m"),_viitearvot!$A:$H,5,FALSE()),99),4,IF(K43&lt;=IFERROR(VLOOKUP(CONCATENATE("P",ROUND(BF43,0),"lin5m"),_viitearvot!$A:$H,6,FALSE()),99),3,IF(K43&lt;=IFERROR(VLOOKUP(CONCATENATE("P",ROUND(BF43,0),"lin5m"),_viitearvot!$A:$H,7,FALSE()),99),2,1)))),IF(K43&lt;=IFERROR(VLOOKUP(CONCATENATE("T",ROUND(BF43,0),"lin5m"),_viitearvot!$A:$H,4,FALSE()),99),5,IF(K43&lt;=IFERROR(VLOOKUP(CONCATENATE("T",ROUND(BF43,0),"lin5m"),_viitearvot!$A:$H,5,FALSE()),99),4,IF(K43&lt;=IFERROR(VLOOKUP(CONCATENATE("T",ROUND(BF43,0),"lin5m"),_viitearvot!$A:$H,6,FALSE()),99),3,IF(K43&lt;=IFERROR(VLOOKUP(CONCATENATE("T",ROUND(BF43,0),"lin5m"),_viitearvot!$A:$H,7,FALSE()),99),2,1))))))-L43)</f>
        <v/>
      </c>
      <c r="BH43" s="59" t="n"/>
    </row>
    <row r="44" ht="17" customHeight="1" s="22">
      <c r="A44" s="60" t="n"/>
      <c r="B44" s="60" t="n"/>
      <c r="C44" s="61" t="n"/>
      <c r="D44" s="60" t="n"/>
      <c r="E44" s="60" t="n"/>
      <c r="F44" s="60" t="n"/>
      <c r="G44" s="60" t="n"/>
      <c r="H44" s="62" t="n"/>
      <c r="I44" s="62" t="n"/>
      <c r="J44" s="62" t="n"/>
      <c r="K44" s="63">
        <f>IFERROR(MIN(H44,I44,J44),"")</f>
        <v/>
      </c>
      <c r="L44" s="64">
        <f>IF(OR(K44="",D44=""),"",IF(K44&lt;=IFERROR(VLOOKUP(CONCATENATE(D44,YEAR(TODAY())-YEAR(C44),"lin5m"),_viitearvot!$I$2:$M$205,2,FALSE()),99),5,IF(K44&lt;=IFERROR(VLOOKUP(CONCATENATE(D44,YEAR(TODAY())-YEAR(C44),"lin5m"),_viitearvot!$I$2:$M$205,3,FALSE()),99),4,IF(K44&lt;=IFERROR(VLOOKUP(CONCATENATE(D44,YEAR(TODAY())-YEAR(C44),"lin5m"),_viitearvot!$I$2:$M$205,4,FALSE()),99),3,IF(K44&lt;=IFERROR(VLOOKUP(CONCATENATE(D44,YEAR(TODAY())-YEAR(C44),"lin5m"),_viitearvot!$I$2:$M$205,5,FALSE()),99),2,1)))))</f>
        <v/>
      </c>
      <c r="M44" s="62" t="n"/>
      <c r="N44" s="62" t="n"/>
      <c r="O44" s="62" t="n"/>
      <c r="P44" s="63">
        <f>IFERROR(MIN(M44,N44,O44),"")</f>
        <v/>
      </c>
      <c r="Q44" s="64">
        <f>IF(OR(P44="",D44=""),"",IF(P44&lt;=IFERROR(VLOOKUP(CONCATENATE(D44,YEAR(TODAY())-YEAR(C44),"lin10m"),_viitearvot!$I$2:$M$205,2,FALSE()),99),5,IF(P44&lt;=IFERROR(VLOOKUP(CONCATENATE(D44,YEAR(TODAY())-YEAR(C44),"lin10m"),_viitearvot!$I$2:$M$205,3,FALSE()),99),4,IF(P44&lt;=IFERROR(VLOOKUP(CONCATENATE(D44,YEAR(TODAY())-YEAR(C44),"lin10m"),_viitearvot!$I$2:$M$205,4,FALSE()),99),3,IF(P44&lt;=IFERROR(VLOOKUP(CONCATENATE(D44,YEAR(TODAY())-YEAR(C44),"lin10m"),_viitearvot!$I$2:$M$205,5,FALSE()),99),2,1)))))</f>
        <v/>
      </c>
      <c r="R44" s="62" t="n"/>
      <c r="S44" s="62" t="n"/>
      <c r="T44" s="62" t="n"/>
      <c r="U44" s="63">
        <f>IFERROR(MIN(R44,S44,T44),"")</f>
        <v/>
      </c>
      <c r="V44" s="64">
        <f>IF(OR(U44="",D44=""),"",IF(U44&lt;=IFERROR(VLOOKUP(CONCATENATE(D44,YEAR(TODAY())-YEAR(C44),"lin20m"),_viitearvot!$I$2:$M$205,2,FALSE()),99),5,IF(U44&lt;=IFERROR(VLOOKUP(CONCATENATE(D44,YEAR(TODAY())-YEAR(C44),"lin20m"),_viitearvot!$I$2:$M$205,3,FALSE()),99),4,IF(U44&lt;=IFERROR(VLOOKUP(CONCATENATE(D44,YEAR(TODAY())-YEAR(C44),"lin20m"),_viitearvot!$I$2:$M$205,4,FALSE()),99),3,IF(U44&lt;=IFERROR(VLOOKUP(CONCATENATE(D44,YEAR(TODAY())-YEAR(C44),"lin20m"),_viitearvot!$I$2:$M$205,5,FALSE()),99),2,1)))))</f>
        <v/>
      </c>
      <c r="W44" s="62" t="n"/>
      <c r="X44" s="62" t="n"/>
      <c r="Y44" s="62" t="n"/>
      <c r="Z44" s="63">
        <f>IFERROR(MIN(W44,X44,Y44),"")</f>
        <v/>
      </c>
      <c r="AA44" s="64">
        <f>IF(OR(Z44="",D44=""),"",IF(Z44&lt;=IFERROR(VLOOKUP(CONCATENATE(D44,YEAR(TODAY())-YEAR(C44),"lin30m"),_viitearvot!$I$2:$M$205,2,FALSE()),99),5,IF(Z44&lt;=IFERROR(VLOOKUP(CONCATENATE(D44,YEAR(TODAY())-YEAR(C44),"lin30m"),_viitearvot!$I$2:$M$205,3,FALSE()),99),4,IF(Z44&lt;=IFERROR(VLOOKUP(CONCATENATE(D44,YEAR(TODAY())-YEAR(C44),"lin30m"),_viitearvot!$I$2:$M$205,4,FALSE()),99),3,IF(Z44&lt;=IFERROR(VLOOKUP(CONCATENATE(D44,YEAR(TODAY())-YEAR(C44),"lin30m"),_viitearvot!$I$2:$M$205,5,FALSE()),99),2,1)))))</f>
        <v/>
      </c>
      <c r="AB44" s="62" t="n"/>
      <c r="AC44" s="62" t="n"/>
      <c r="AD44" s="62" t="n"/>
      <c r="AE44" s="63">
        <f>IFERROR(MIN(AB44,AC44,AD44),"")</f>
        <v/>
      </c>
      <c r="AF44" s="64">
        <f>IF(OR(AE44="",D44=""),"",IF(AE44&lt;=IFERROR(VLOOKUP(CONCATENATE(D44,YEAR(TODAY())-YEAR(C44),"kasirata"),_viitearvot!$I$2:$M$205,2,FALSE()),99),5,IF(AE44&lt;=IFERROR(VLOOKUP(CONCATENATE(D44,YEAR(TODAY())-YEAR(C44),"kasirata"),_viitearvot!$I$2:$M$205,3,FALSE()),99),4,IF(AE44&lt;=IFERROR(VLOOKUP(CONCATENATE(D44,YEAR(TODAY())-YEAR(C44),"kasirata"),_viitearvot!$I$2:$M$205,4,FALSE()),99),3,IF(AE44&lt;=IFERROR(VLOOKUP(CONCATENATE(D44,YEAR(TODAY())-YEAR(C44),"kasirata"),_viitearvot!$I$2:$M$205,5,FALSE()),99),2,1)))))</f>
        <v/>
      </c>
      <c r="AG44" s="62" t="n"/>
      <c r="AH44" s="62" t="n"/>
      <c r="AI44" s="62" t="n"/>
      <c r="AJ44" s="63">
        <f>IFERROR(MIN(AG44,AH44,AI44),"")</f>
        <v/>
      </c>
      <c r="AK44" s="64">
        <f>IF(OR(AJ44="",D44=""),"",IF(AJ44&lt;=IFERROR(VLOOKUP(CONCATENATE(D44,YEAR(TODAY())-YEAR(C44),"smjuoksu"),_viitearvot!$I$2:$M$205,2,FALSE()),99),5,IF(AJ44&lt;=IFERROR(VLOOKUP(CONCATENATE(D44,YEAR(TODAY())-YEAR(C44),"smjuoksu"),_viitearvot!$I$2:$M$205,3,FALSE()),99),4,IF(AJ44&lt;=IFERROR(VLOOKUP(CONCATENATE(D44,YEAR(TODAY())-YEAR(C44),"smjuoksu"),_viitearvot!$I$2:$M$205,4,FALSE()),99),3,IF(AJ44&lt;=IFERROR(VLOOKUP(CONCATENATE(D44,YEAR(TODAY())-YEAR(C44),"smjuoksu"),_viitearvot!$I$2:$M$205,5,FALSE()),99),2,1)))))</f>
        <v/>
      </c>
      <c r="AL44" s="62" t="n"/>
      <c r="AM44" s="62" t="n"/>
      <c r="AN44" s="63">
        <f>IFERROR(MIN(AL44,AM44),"")</f>
        <v/>
      </c>
      <c r="AO44" s="64">
        <f>IF(OR(AN44="",D44=""),"",IF(AN44&lt;=IFERROR(VLOOKUP(CONCATENATE(D44,YEAR(TODAY())-YEAR(C44),"smpallo"),_viitearvot!$I$2:$M$205,2,FALSE()),99),5,IF(AN44&lt;=IFERROR(VLOOKUP(CONCATENATE(D44,YEAR(TODAY())-YEAR(C44),"smpallo"),_viitearvot!$I$2:$M$205,3,FALSE()),99),4,IF(AN44&lt;=IFERROR(VLOOKUP(CONCATENATE(D44,YEAR(TODAY())-YEAR(C44),"smpallo"),_viitearvot!$I$2:$M$205,4,FALSE()),99),3,IF(AN44&lt;=IFERROR(VLOOKUP(CONCATENATE(D44,YEAR(TODAY())-YEAR(C44),"smpallo"),_viitearvot!$I$2:$M$205,5,FALSE()),99),2,1)))))</f>
        <v/>
      </c>
      <c r="AP44" s="62" t="n"/>
      <c r="AQ44" s="62" t="n"/>
      <c r="AR44" s="62" t="n"/>
      <c r="AS44" s="63">
        <f>IFERROR(MAX(AP44,AQ44,AR44),"")</f>
        <v/>
      </c>
      <c r="AT44" s="64">
        <f>IF(OR(AS44="",D44=""),"",IF(AS44&gt;=IFERROR(VLOOKUP(CONCATENATE(D44,YEAR(TODAY())-YEAR(C44),"cmj"),_viitearvot!$I$2:$M$205,2,FALSE()),0),5,IF(AS44&gt;=IFERROR(VLOOKUP(CONCATENATE(D44,YEAR(TODAY())-YEAR(C44),"cmj"),_viitearvot!$I$2:$M$205,3,FALSE()),0),4,IF(AS44&gt;=IFERROR(VLOOKUP(CONCATENATE(D44,YEAR(TODAY())-YEAR(C44),"cmj"),_viitearvot!$I$2:$M$205,4,FALSE()),0),3,IF(AS44&gt;=IFERROR(VLOOKUP(CONCATENATE(D44,YEAR(TODAY())-YEAR(C44),"cmj"),_viitearvot!$I$2:$M$205,5,FALSE()),0),2,1)))))</f>
        <v/>
      </c>
      <c r="AU44" s="62" t="n"/>
      <c r="AV44" s="63">
        <f>IFERROR(MAX(AU44),"")</f>
        <v/>
      </c>
      <c r="AW44" s="64">
        <f>IF(OR(AV44="",D44=""),"",IF(AV44&gt;=IFERROR(VLOOKUP(CONCATENATE(D44,YEAR(TODAY())-YEAR(C44),"bronco"),_viitearvot!$I$2:$M$205,2,FALSE()),0),5,IF(AV44&gt;=IFERROR(VLOOKUP(CONCATENATE(D44,YEAR(TODAY())-YEAR(C44),"bronco"),_viitearvot!$I$2:$M$205,3,FALSE()),0),4,IF(AV44&gt;=IFERROR(VLOOKUP(CONCATENATE(D44,YEAR(TODAY())-YEAR(C44),"bronco"),_viitearvot!$I$2:$M$205,4,FALSE()),0),3,IF(AV44&gt;=IFERROR(VLOOKUP(CONCATENATE(D44,YEAR(TODAY())-YEAR(C44),"bronco"),_viitearvot!$I$2:$M$205,5,FALSE()),0),2,1)))))</f>
        <v/>
      </c>
      <c r="AX44" s="62" t="n"/>
      <c r="AY44" s="62" t="n"/>
      <c r="AZ44" s="63">
        <f>IFERROR(MIN(AX44,AY44),"")</f>
        <v/>
      </c>
      <c r="BA44" s="64">
        <f>IF(OR(AZ44="",D44=""),"",IF(AZ44&lt;=IFERROR(VLOOKUP(CONCATENATE(D44,YEAR(TODAY())-YEAR(C44),"pujottelu"),_viitearvot!$I$2:$M$205,2,FALSE()),99),5,IF(AZ44&lt;=IFERROR(VLOOKUP(CONCATENATE(D44,YEAR(TODAY())-YEAR(C44),"pujottelu"),_viitearvot!$I$2:$M$205,3,FALSE()),99),4,IF(AZ44&lt;=IFERROR(VLOOKUP(CONCATENATE(D44,YEAR(TODAY())-YEAR(C44),"pujottelu"),_viitearvot!$I$2:$M$205,4,FALSE()),99),3,IF(AZ44&lt;=IFERROR(VLOOKUP(CONCATENATE(D44,YEAR(TODAY())-YEAR(C44),"pujottelu"),_viitearvot!$I$2:$M$205,5,FALSE()),99),2,1)))))</f>
        <v/>
      </c>
      <c r="BB44" s="62" t="n"/>
      <c r="BC44" s="62" t="n"/>
      <c r="BD44" s="63">
        <f>IFERROR(MIN(BB44,BC44),"")</f>
        <v/>
      </c>
      <c r="BE44" s="64">
        <f>IF(OR(BD44="",D44=""),"",IF(BD44&lt;=IFERROR(VLOOKUP(CONCATENATE(D44,YEAR(TODAY())-YEAR(C44),"syotto"),_viitearvot!$I$2:$M$205,2,FALSE()),99),5,IF(BD44&lt;=IFERROR(VLOOKUP(CONCATENATE(D44,YEAR(TODAY())-YEAR(C44),"syotto"),_viitearvot!$I$2:$M$205,3,FALSE()),99),4,IF(BD44&lt;=IFERROR(VLOOKUP(CONCATENATE(D44,YEAR(TODAY())-YEAR(C44),"syotto"),_viitearvot!$I$2:$M$205,4,FALSE()),99),3,IF(BD44&lt;=IFERROR(VLOOKUP(CONCATENATE(D44,YEAR(TODAY())-YEAR(C44),"syotto"),_viitearvot!$I$2:$M$205,5,FALSE()),99),2,1)))))</f>
        <v/>
      </c>
      <c r="BF44" s="65" t="n"/>
      <c r="BG44" s="66">
        <f>IF(OR(BF44="",K44=""),"",(IF(D44="P",IF(K44&lt;=IFERROR(VLOOKUP(CONCATENATE("P",ROUND(BF44,0),"lin5m"),_viitearvot!$A:$H,4,FALSE()),99),5,IF(K44&lt;=IFERROR(VLOOKUP(CONCATENATE("P",ROUND(BF44,0),"lin5m"),_viitearvot!$A:$H,5,FALSE()),99),4,IF(K44&lt;=IFERROR(VLOOKUP(CONCATENATE("P",ROUND(BF44,0),"lin5m"),_viitearvot!$A:$H,6,FALSE()),99),3,IF(K44&lt;=IFERROR(VLOOKUP(CONCATENATE("P",ROUND(BF44,0),"lin5m"),_viitearvot!$A:$H,7,FALSE()),99),2,1)))),IF(K44&lt;=IFERROR(VLOOKUP(CONCATENATE("T",ROUND(BF44,0),"lin5m"),_viitearvot!$A:$H,4,FALSE()),99),5,IF(K44&lt;=IFERROR(VLOOKUP(CONCATENATE("T",ROUND(BF44,0),"lin5m"),_viitearvot!$A:$H,5,FALSE()),99),4,IF(K44&lt;=IFERROR(VLOOKUP(CONCATENATE("T",ROUND(BF44,0),"lin5m"),_viitearvot!$A:$H,6,FALSE()),99),3,IF(K44&lt;=IFERROR(VLOOKUP(CONCATENATE("T",ROUND(BF44,0),"lin5m"),_viitearvot!$A:$H,7,FALSE()),99),2,1))))))-L44)</f>
        <v/>
      </c>
      <c r="BH44" s="67" t="n"/>
    </row>
    <row r="45" ht="17" customHeight="1" s="22">
      <c r="A45" s="52" t="n"/>
      <c r="B45" s="52" t="n"/>
      <c r="C45" s="53" t="n"/>
      <c r="D45" s="52" t="n"/>
      <c r="E45" s="52" t="n"/>
      <c r="F45" s="52" t="n"/>
      <c r="G45" s="52" t="n"/>
      <c r="H45" s="54" t="n"/>
      <c r="I45" s="54" t="n"/>
      <c r="J45" s="54" t="n"/>
      <c r="K45" s="55">
        <f>IFERROR(MIN(H45,I45,J45),"")</f>
        <v/>
      </c>
      <c r="L45" s="56">
        <f>IF(OR(K45="",D45=""),"",IF(K45&lt;=IFERROR(VLOOKUP(CONCATENATE(D45,YEAR(TODAY())-YEAR(C45),"lin5m"),_viitearvot!$I$2:$M$205,2,FALSE()),99),5,IF(K45&lt;=IFERROR(VLOOKUP(CONCATENATE(D45,YEAR(TODAY())-YEAR(C45),"lin5m"),_viitearvot!$I$2:$M$205,3,FALSE()),99),4,IF(K45&lt;=IFERROR(VLOOKUP(CONCATENATE(D45,YEAR(TODAY())-YEAR(C45),"lin5m"),_viitearvot!$I$2:$M$205,4,FALSE()),99),3,IF(K45&lt;=IFERROR(VLOOKUP(CONCATENATE(D45,YEAR(TODAY())-YEAR(C45),"lin5m"),_viitearvot!$I$2:$M$205,5,FALSE()),99),2,1)))))</f>
        <v/>
      </c>
      <c r="M45" s="54" t="n"/>
      <c r="N45" s="54" t="n"/>
      <c r="O45" s="54" t="n"/>
      <c r="P45" s="55">
        <f>IFERROR(MIN(M45,N45,O45),"")</f>
        <v/>
      </c>
      <c r="Q45" s="56">
        <f>IF(OR(P45="",D45=""),"",IF(P45&lt;=IFERROR(VLOOKUP(CONCATENATE(D45,YEAR(TODAY())-YEAR(C45),"lin10m"),_viitearvot!$I$2:$M$205,2,FALSE()),99),5,IF(P45&lt;=IFERROR(VLOOKUP(CONCATENATE(D45,YEAR(TODAY())-YEAR(C45),"lin10m"),_viitearvot!$I$2:$M$205,3,FALSE()),99),4,IF(P45&lt;=IFERROR(VLOOKUP(CONCATENATE(D45,YEAR(TODAY())-YEAR(C45),"lin10m"),_viitearvot!$I$2:$M$205,4,FALSE()),99),3,IF(P45&lt;=IFERROR(VLOOKUP(CONCATENATE(D45,YEAR(TODAY())-YEAR(C45),"lin10m"),_viitearvot!$I$2:$M$205,5,FALSE()),99),2,1)))))</f>
        <v/>
      </c>
      <c r="R45" s="54" t="n"/>
      <c r="S45" s="54" t="n"/>
      <c r="T45" s="54" t="n"/>
      <c r="U45" s="55">
        <f>IFERROR(MIN(R45,S45,T45),"")</f>
        <v/>
      </c>
      <c r="V45" s="56">
        <f>IF(OR(U45="",D45=""),"",IF(U45&lt;=IFERROR(VLOOKUP(CONCATENATE(D45,YEAR(TODAY())-YEAR(C45),"lin20m"),_viitearvot!$I$2:$M$205,2,FALSE()),99),5,IF(U45&lt;=IFERROR(VLOOKUP(CONCATENATE(D45,YEAR(TODAY())-YEAR(C45),"lin20m"),_viitearvot!$I$2:$M$205,3,FALSE()),99),4,IF(U45&lt;=IFERROR(VLOOKUP(CONCATENATE(D45,YEAR(TODAY())-YEAR(C45),"lin20m"),_viitearvot!$I$2:$M$205,4,FALSE()),99),3,IF(U45&lt;=IFERROR(VLOOKUP(CONCATENATE(D45,YEAR(TODAY())-YEAR(C45),"lin20m"),_viitearvot!$I$2:$M$205,5,FALSE()),99),2,1)))))</f>
        <v/>
      </c>
      <c r="W45" s="54" t="n"/>
      <c r="X45" s="54" t="n"/>
      <c r="Y45" s="54" t="n"/>
      <c r="Z45" s="55">
        <f>IFERROR(MIN(W45,X45,Y45),"")</f>
        <v/>
      </c>
      <c r="AA45" s="56">
        <f>IF(OR(Z45="",D45=""),"",IF(Z45&lt;=IFERROR(VLOOKUP(CONCATENATE(D45,YEAR(TODAY())-YEAR(C45),"lin30m"),_viitearvot!$I$2:$M$205,2,FALSE()),99),5,IF(Z45&lt;=IFERROR(VLOOKUP(CONCATENATE(D45,YEAR(TODAY())-YEAR(C45),"lin30m"),_viitearvot!$I$2:$M$205,3,FALSE()),99),4,IF(Z45&lt;=IFERROR(VLOOKUP(CONCATENATE(D45,YEAR(TODAY())-YEAR(C45),"lin30m"),_viitearvot!$I$2:$M$205,4,FALSE()),99),3,IF(Z45&lt;=IFERROR(VLOOKUP(CONCATENATE(D45,YEAR(TODAY())-YEAR(C45),"lin30m"),_viitearvot!$I$2:$M$205,5,FALSE()),99),2,1)))))</f>
        <v/>
      </c>
      <c r="AB45" s="54" t="n"/>
      <c r="AC45" s="54" t="n"/>
      <c r="AD45" s="54" t="n"/>
      <c r="AE45" s="55">
        <f>IFERROR(MIN(AB45,AC45,AD45),"")</f>
        <v/>
      </c>
      <c r="AF45" s="56">
        <f>IF(OR(AE45="",D45=""),"",IF(AE45&lt;=IFERROR(VLOOKUP(CONCATENATE(D45,YEAR(TODAY())-YEAR(C45),"kasirata"),_viitearvot!$I$2:$M$205,2,FALSE()),99),5,IF(AE45&lt;=IFERROR(VLOOKUP(CONCATENATE(D45,YEAR(TODAY())-YEAR(C45),"kasirata"),_viitearvot!$I$2:$M$205,3,FALSE()),99),4,IF(AE45&lt;=IFERROR(VLOOKUP(CONCATENATE(D45,YEAR(TODAY())-YEAR(C45),"kasirata"),_viitearvot!$I$2:$M$205,4,FALSE()),99),3,IF(AE45&lt;=IFERROR(VLOOKUP(CONCATENATE(D45,YEAR(TODAY())-YEAR(C45),"kasirata"),_viitearvot!$I$2:$M$205,5,FALSE()),99),2,1)))))</f>
        <v/>
      </c>
      <c r="AG45" s="54" t="n"/>
      <c r="AH45" s="54" t="n"/>
      <c r="AI45" s="54" t="n"/>
      <c r="AJ45" s="55">
        <f>IFERROR(MIN(AG45,AH45,AI45),"")</f>
        <v/>
      </c>
      <c r="AK45" s="56">
        <f>IF(OR(AJ45="",D45=""),"",IF(AJ45&lt;=IFERROR(VLOOKUP(CONCATENATE(D45,YEAR(TODAY())-YEAR(C45),"smjuoksu"),_viitearvot!$I$2:$M$205,2,FALSE()),99),5,IF(AJ45&lt;=IFERROR(VLOOKUP(CONCATENATE(D45,YEAR(TODAY())-YEAR(C45),"smjuoksu"),_viitearvot!$I$2:$M$205,3,FALSE()),99),4,IF(AJ45&lt;=IFERROR(VLOOKUP(CONCATENATE(D45,YEAR(TODAY())-YEAR(C45),"smjuoksu"),_viitearvot!$I$2:$M$205,4,FALSE()),99),3,IF(AJ45&lt;=IFERROR(VLOOKUP(CONCATENATE(D45,YEAR(TODAY())-YEAR(C45),"smjuoksu"),_viitearvot!$I$2:$M$205,5,FALSE()),99),2,1)))))</f>
        <v/>
      </c>
      <c r="AL45" s="54" t="n"/>
      <c r="AM45" s="54" t="n"/>
      <c r="AN45" s="55">
        <f>IFERROR(MIN(AL45,AM45),"")</f>
        <v/>
      </c>
      <c r="AO45" s="56">
        <f>IF(OR(AN45="",D45=""),"",IF(AN45&lt;=IFERROR(VLOOKUP(CONCATENATE(D45,YEAR(TODAY())-YEAR(C45),"smpallo"),_viitearvot!$I$2:$M$205,2,FALSE()),99),5,IF(AN45&lt;=IFERROR(VLOOKUP(CONCATENATE(D45,YEAR(TODAY())-YEAR(C45),"smpallo"),_viitearvot!$I$2:$M$205,3,FALSE()),99),4,IF(AN45&lt;=IFERROR(VLOOKUP(CONCATENATE(D45,YEAR(TODAY())-YEAR(C45),"smpallo"),_viitearvot!$I$2:$M$205,4,FALSE()),99),3,IF(AN45&lt;=IFERROR(VLOOKUP(CONCATENATE(D45,YEAR(TODAY())-YEAR(C45),"smpallo"),_viitearvot!$I$2:$M$205,5,FALSE()),99),2,1)))))</f>
        <v/>
      </c>
      <c r="AP45" s="54" t="n"/>
      <c r="AQ45" s="54" t="n"/>
      <c r="AR45" s="54" t="n"/>
      <c r="AS45" s="55">
        <f>IFERROR(MAX(AP45,AQ45,AR45),"")</f>
        <v/>
      </c>
      <c r="AT45" s="56">
        <f>IF(OR(AS45="",D45=""),"",IF(AS45&gt;=IFERROR(VLOOKUP(CONCATENATE(D45,YEAR(TODAY())-YEAR(C45),"cmj"),_viitearvot!$I$2:$M$205,2,FALSE()),0),5,IF(AS45&gt;=IFERROR(VLOOKUP(CONCATENATE(D45,YEAR(TODAY())-YEAR(C45),"cmj"),_viitearvot!$I$2:$M$205,3,FALSE()),0),4,IF(AS45&gt;=IFERROR(VLOOKUP(CONCATENATE(D45,YEAR(TODAY())-YEAR(C45),"cmj"),_viitearvot!$I$2:$M$205,4,FALSE()),0),3,IF(AS45&gt;=IFERROR(VLOOKUP(CONCATENATE(D45,YEAR(TODAY())-YEAR(C45),"cmj"),_viitearvot!$I$2:$M$205,5,FALSE()),0),2,1)))))</f>
        <v/>
      </c>
      <c r="AU45" s="54" t="n"/>
      <c r="AV45" s="55">
        <f>IFERROR(MAX(AU45),"")</f>
        <v/>
      </c>
      <c r="AW45" s="56">
        <f>IF(OR(AV45="",D45=""),"",IF(AV45&gt;=IFERROR(VLOOKUP(CONCATENATE(D45,YEAR(TODAY())-YEAR(C45),"bronco"),_viitearvot!$I$2:$M$205,2,FALSE()),0),5,IF(AV45&gt;=IFERROR(VLOOKUP(CONCATENATE(D45,YEAR(TODAY())-YEAR(C45),"bronco"),_viitearvot!$I$2:$M$205,3,FALSE()),0),4,IF(AV45&gt;=IFERROR(VLOOKUP(CONCATENATE(D45,YEAR(TODAY())-YEAR(C45),"bronco"),_viitearvot!$I$2:$M$205,4,FALSE()),0),3,IF(AV45&gt;=IFERROR(VLOOKUP(CONCATENATE(D45,YEAR(TODAY())-YEAR(C45),"bronco"),_viitearvot!$I$2:$M$205,5,FALSE()),0),2,1)))))</f>
        <v/>
      </c>
      <c r="AX45" s="54" t="n"/>
      <c r="AY45" s="54" t="n"/>
      <c r="AZ45" s="55">
        <f>IFERROR(MIN(AX45,AY45),"")</f>
        <v/>
      </c>
      <c r="BA45" s="56">
        <f>IF(OR(AZ45="",D45=""),"",IF(AZ45&lt;=IFERROR(VLOOKUP(CONCATENATE(D45,YEAR(TODAY())-YEAR(C45),"pujottelu"),_viitearvot!$I$2:$M$205,2,FALSE()),99),5,IF(AZ45&lt;=IFERROR(VLOOKUP(CONCATENATE(D45,YEAR(TODAY())-YEAR(C45),"pujottelu"),_viitearvot!$I$2:$M$205,3,FALSE()),99),4,IF(AZ45&lt;=IFERROR(VLOOKUP(CONCATENATE(D45,YEAR(TODAY())-YEAR(C45),"pujottelu"),_viitearvot!$I$2:$M$205,4,FALSE()),99),3,IF(AZ45&lt;=IFERROR(VLOOKUP(CONCATENATE(D45,YEAR(TODAY())-YEAR(C45),"pujottelu"),_viitearvot!$I$2:$M$205,5,FALSE()),99),2,1)))))</f>
        <v/>
      </c>
      <c r="BB45" s="54" t="n"/>
      <c r="BC45" s="54" t="n"/>
      <c r="BD45" s="55">
        <f>IFERROR(MIN(BB45,BC45),"")</f>
        <v/>
      </c>
      <c r="BE45" s="56">
        <f>IF(OR(BD45="",D45=""),"",IF(BD45&lt;=IFERROR(VLOOKUP(CONCATENATE(D45,YEAR(TODAY())-YEAR(C45),"syotto"),_viitearvot!$I$2:$M$205,2,FALSE()),99),5,IF(BD45&lt;=IFERROR(VLOOKUP(CONCATENATE(D45,YEAR(TODAY())-YEAR(C45),"syotto"),_viitearvot!$I$2:$M$205,3,FALSE()),99),4,IF(BD45&lt;=IFERROR(VLOOKUP(CONCATENATE(D45,YEAR(TODAY())-YEAR(C45),"syotto"),_viitearvot!$I$2:$M$205,4,FALSE()),99),3,IF(BD45&lt;=IFERROR(VLOOKUP(CONCATENATE(D45,YEAR(TODAY())-YEAR(C45),"syotto"),_viitearvot!$I$2:$M$205,5,FALSE()),99),2,1)))))</f>
        <v/>
      </c>
      <c r="BF45" s="57" t="n"/>
      <c r="BG45" s="58">
        <f>IF(OR(BF45="",K45=""),"",(IF(D45="P",IF(K45&lt;=IFERROR(VLOOKUP(CONCATENATE("P",ROUND(BF45,0),"lin5m"),_viitearvot!$A:$H,4,FALSE()),99),5,IF(K45&lt;=IFERROR(VLOOKUP(CONCATENATE("P",ROUND(BF45,0),"lin5m"),_viitearvot!$A:$H,5,FALSE()),99),4,IF(K45&lt;=IFERROR(VLOOKUP(CONCATENATE("P",ROUND(BF45,0),"lin5m"),_viitearvot!$A:$H,6,FALSE()),99),3,IF(K45&lt;=IFERROR(VLOOKUP(CONCATENATE("P",ROUND(BF45,0),"lin5m"),_viitearvot!$A:$H,7,FALSE()),99),2,1)))),IF(K45&lt;=IFERROR(VLOOKUP(CONCATENATE("T",ROUND(BF45,0),"lin5m"),_viitearvot!$A:$H,4,FALSE()),99),5,IF(K45&lt;=IFERROR(VLOOKUP(CONCATENATE("T",ROUND(BF45,0),"lin5m"),_viitearvot!$A:$H,5,FALSE()),99),4,IF(K45&lt;=IFERROR(VLOOKUP(CONCATENATE("T",ROUND(BF45,0),"lin5m"),_viitearvot!$A:$H,6,FALSE()),99),3,IF(K45&lt;=IFERROR(VLOOKUP(CONCATENATE("T",ROUND(BF45,0),"lin5m"),_viitearvot!$A:$H,7,FALSE()),99),2,1))))))-L45)</f>
        <v/>
      </c>
      <c r="BH45" s="59" t="n"/>
    </row>
    <row r="46" ht="17" customHeight="1" s="22">
      <c r="A46" s="60" t="n"/>
      <c r="B46" s="60" t="n"/>
      <c r="C46" s="61" t="n"/>
      <c r="D46" s="60" t="n"/>
      <c r="E46" s="60" t="n"/>
      <c r="F46" s="60" t="n"/>
      <c r="G46" s="60" t="n"/>
      <c r="H46" s="62" t="n"/>
      <c r="I46" s="62" t="n"/>
      <c r="J46" s="62" t="n"/>
      <c r="K46" s="63">
        <f>IFERROR(MIN(H46,I46,J46),"")</f>
        <v/>
      </c>
      <c r="L46" s="64">
        <f>IF(OR(K46="",D46=""),"",IF(K46&lt;=IFERROR(VLOOKUP(CONCATENATE(D46,YEAR(TODAY())-YEAR(C46),"lin5m"),_viitearvot!$I$2:$M$205,2,FALSE()),99),5,IF(K46&lt;=IFERROR(VLOOKUP(CONCATENATE(D46,YEAR(TODAY())-YEAR(C46),"lin5m"),_viitearvot!$I$2:$M$205,3,FALSE()),99),4,IF(K46&lt;=IFERROR(VLOOKUP(CONCATENATE(D46,YEAR(TODAY())-YEAR(C46),"lin5m"),_viitearvot!$I$2:$M$205,4,FALSE()),99),3,IF(K46&lt;=IFERROR(VLOOKUP(CONCATENATE(D46,YEAR(TODAY())-YEAR(C46),"lin5m"),_viitearvot!$I$2:$M$205,5,FALSE()),99),2,1)))))</f>
        <v/>
      </c>
      <c r="M46" s="62" t="n"/>
      <c r="N46" s="62" t="n"/>
      <c r="O46" s="62" t="n"/>
      <c r="P46" s="63">
        <f>IFERROR(MIN(M46,N46,O46),"")</f>
        <v/>
      </c>
      <c r="Q46" s="64">
        <f>IF(OR(P46="",D46=""),"",IF(P46&lt;=IFERROR(VLOOKUP(CONCATENATE(D46,YEAR(TODAY())-YEAR(C46),"lin10m"),_viitearvot!$I$2:$M$205,2,FALSE()),99),5,IF(P46&lt;=IFERROR(VLOOKUP(CONCATENATE(D46,YEAR(TODAY())-YEAR(C46),"lin10m"),_viitearvot!$I$2:$M$205,3,FALSE()),99),4,IF(P46&lt;=IFERROR(VLOOKUP(CONCATENATE(D46,YEAR(TODAY())-YEAR(C46),"lin10m"),_viitearvot!$I$2:$M$205,4,FALSE()),99),3,IF(P46&lt;=IFERROR(VLOOKUP(CONCATENATE(D46,YEAR(TODAY())-YEAR(C46),"lin10m"),_viitearvot!$I$2:$M$205,5,FALSE()),99),2,1)))))</f>
        <v/>
      </c>
      <c r="R46" s="62" t="n"/>
      <c r="S46" s="62" t="n"/>
      <c r="T46" s="62" t="n"/>
      <c r="U46" s="63">
        <f>IFERROR(MIN(R46,S46,T46),"")</f>
        <v/>
      </c>
      <c r="V46" s="64">
        <f>IF(OR(U46="",D46=""),"",IF(U46&lt;=IFERROR(VLOOKUP(CONCATENATE(D46,YEAR(TODAY())-YEAR(C46),"lin20m"),_viitearvot!$I$2:$M$205,2,FALSE()),99),5,IF(U46&lt;=IFERROR(VLOOKUP(CONCATENATE(D46,YEAR(TODAY())-YEAR(C46),"lin20m"),_viitearvot!$I$2:$M$205,3,FALSE()),99),4,IF(U46&lt;=IFERROR(VLOOKUP(CONCATENATE(D46,YEAR(TODAY())-YEAR(C46),"lin20m"),_viitearvot!$I$2:$M$205,4,FALSE()),99),3,IF(U46&lt;=IFERROR(VLOOKUP(CONCATENATE(D46,YEAR(TODAY())-YEAR(C46),"lin20m"),_viitearvot!$I$2:$M$205,5,FALSE()),99),2,1)))))</f>
        <v/>
      </c>
      <c r="W46" s="62" t="n"/>
      <c r="X46" s="62" t="n"/>
      <c r="Y46" s="62" t="n"/>
      <c r="Z46" s="63">
        <f>IFERROR(MIN(W46,X46,Y46),"")</f>
        <v/>
      </c>
      <c r="AA46" s="64">
        <f>IF(OR(Z46="",D46=""),"",IF(Z46&lt;=IFERROR(VLOOKUP(CONCATENATE(D46,YEAR(TODAY())-YEAR(C46),"lin30m"),_viitearvot!$I$2:$M$205,2,FALSE()),99),5,IF(Z46&lt;=IFERROR(VLOOKUP(CONCATENATE(D46,YEAR(TODAY())-YEAR(C46),"lin30m"),_viitearvot!$I$2:$M$205,3,FALSE()),99),4,IF(Z46&lt;=IFERROR(VLOOKUP(CONCATENATE(D46,YEAR(TODAY())-YEAR(C46),"lin30m"),_viitearvot!$I$2:$M$205,4,FALSE()),99),3,IF(Z46&lt;=IFERROR(VLOOKUP(CONCATENATE(D46,YEAR(TODAY())-YEAR(C46),"lin30m"),_viitearvot!$I$2:$M$205,5,FALSE()),99),2,1)))))</f>
        <v/>
      </c>
      <c r="AB46" s="62" t="n"/>
      <c r="AC46" s="62" t="n"/>
      <c r="AD46" s="62" t="n"/>
      <c r="AE46" s="63">
        <f>IFERROR(MIN(AB46,AC46,AD46),"")</f>
        <v/>
      </c>
      <c r="AF46" s="64">
        <f>IF(OR(AE46="",D46=""),"",IF(AE46&lt;=IFERROR(VLOOKUP(CONCATENATE(D46,YEAR(TODAY())-YEAR(C46),"kasirata"),_viitearvot!$I$2:$M$205,2,FALSE()),99),5,IF(AE46&lt;=IFERROR(VLOOKUP(CONCATENATE(D46,YEAR(TODAY())-YEAR(C46),"kasirata"),_viitearvot!$I$2:$M$205,3,FALSE()),99),4,IF(AE46&lt;=IFERROR(VLOOKUP(CONCATENATE(D46,YEAR(TODAY())-YEAR(C46),"kasirata"),_viitearvot!$I$2:$M$205,4,FALSE()),99),3,IF(AE46&lt;=IFERROR(VLOOKUP(CONCATENATE(D46,YEAR(TODAY())-YEAR(C46),"kasirata"),_viitearvot!$I$2:$M$205,5,FALSE()),99),2,1)))))</f>
        <v/>
      </c>
      <c r="AG46" s="62" t="n"/>
      <c r="AH46" s="62" t="n"/>
      <c r="AI46" s="62" t="n"/>
      <c r="AJ46" s="63">
        <f>IFERROR(MIN(AG46,AH46,AI46),"")</f>
        <v/>
      </c>
      <c r="AK46" s="64">
        <f>IF(OR(AJ46="",D46=""),"",IF(AJ46&lt;=IFERROR(VLOOKUP(CONCATENATE(D46,YEAR(TODAY())-YEAR(C46),"smjuoksu"),_viitearvot!$I$2:$M$205,2,FALSE()),99),5,IF(AJ46&lt;=IFERROR(VLOOKUP(CONCATENATE(D46,YEAR(TODAY())-YEAR(C46),"smjuoksu"),_viitearvot!$I$2:$M$205,3,FALSE()),99),4,IF(AJ46&lt;=IFERROR(VLOOKUP(CONCATENATE(D46,YEAR(TODAY())-YEAR(C46),"smjuoksu"),_viitearvot!$I$2:$M$205,4,FALSE()),99),3,IF(AJ46&lt;=IFERROR(VLOOKUP(CONCATENATE(D46,YEAR(TODAY())-YEAR(C46),"smjuoksu"),_viitearvot!$I$2:$M$205,5,FALSE()),99),2,1)))))</f>
        <v/>
      </c>
      <c r="AL46" s="62" t="n"/>
      <c r="AM46" s="62" t="n"/>
      <c r="AN46" s="63">
        <f>IFERROR(MIN(AL46,AM46),"")</f>
        <v/>
      </c>
      <c r="AO46" s="64">
        <f>IF(OR(AN46="",D46=""),"",IF(AN46&lt;=IFERROR(VLOOKUP(CONCATENATE(D46,YEAR(TODAY())-YEAR(C46),"smpallo"),_viitearvot!$I$2:$M$205,2,FALSE()),99),5,IF(AN46&lt;=IFERROR(VLOOKUP(CONCATENATE(D46,YEAR(TODAY())-YEAR(C46),"smpallo"),_viitearvot!$I$2:$M$205,3,FALSE()),99),4,IF(AN46&lt;=IFERROR(VLOOKUP(CONCATENATE(D46,YEAR(TODAY())-YEAR(C46),"smpallo"),_viitearvot!$I$2:$M$205,4,FALSE()),99),3,IF(AN46&lt;=IFERROR(VLOOKUP(CONCATENATE(D46,YEAR(TODAY())-YEAR(C46),"smpallo"),_viitearvot!$I$2:$M$205,5,FALSE()),99),2,1)))))</f>
        <v/>
      </c>
      <c r="AP46" s="62" t="n"/>
      <c r="AQ46" s="62" t="n"/>
      <c r="AR46" s="62" t="n"/>
      <c r="AS46" s="63">
        <f>IFERROR(MAX(AP46,AQ46,AR46),"")</f>
        <v/>
      </c>
      <c r="AT46" s="64">
        <f>IF(OR(AS46="",D46=""),"",IF(AS46&gt;=IFERROR(VLOOKUP(CONCATENATE(D46,YEAR(TODAY())-YEAR(C46),"cmj"),_viitearvot!$I$2:$M$205,2,FALSE()),0),5,IF(AS46&gt;=IFERROR(VLOOKUP(CONCATENATE(D46,YEAR(TODAY())-YEAR(C46),"cmj"),_viitearvot!$I$2:$M$205,3,FALSE()),0),4,IF(AS46&gt;=IFERROR(VLOOKUP(CONCATENATE(D46,YEAR(TODAY())-YEAR(C46),"cmj"),_viitearvot!$I$2:$M$205,4,FALSE()),0),3,IF(AS46&gt;=IFERROR(VLOOKUP(CONCATENATE(D46,YEAR(TODAY())-YEAR(C46),"cmj"),_viitearvot!$I$2:$M$205,5,FALSE()),0),2,1)))))</f>
        <v/>
      </c>
      <c r="AU46" s="62" t="n"/>
      <c r="AV46" s="63">
        <f>IFERROR(MAX(AU46),"")</f>
        <v/>
      </c>
      <c r="AW46" s="64">
        <f>IF(OR(AV46="",D46=""),"",IF(AV46&gt;=IFERROR(VLOOKUP(CONCATENATE(D46,YEAR(TODAY())-YEAR(C46),"bronco"),_viitearvot!$I$2:$M$205,2,FALSE()),0),5,IF(AV46&gt;=IFERROR(VLOOKUP(CONCATENATE(D46,YEAR(TODAY())-YEAR(C46),"bronco"),_viitearvot!$I$2:$M$205,3,FALSE()),0),4,IF(AV46&gt;=IFERROR(VLOOKUP(CONCATENATE(D46,YEAR(TODAY())-YEAR(C46),"bronco"),_viitearvot!$I$2:$M$205,4,FALSE()),0),3,IF(AV46&gt;=IFERROR(VLOOKUP(CONCATENATE(D46,YEAR(TODAY())-YEAR(C46),"bronco"),_viitearvot!$I$2:$M$205,5,FALSE()),0),2,1)))))</f>
        <v/>
      </c>
      <c r="AX46" s="62" t="n"/>
      <c r="AY46" s="62" t="n"/>
      <c r="AZ46" s="63">
        <f>IFERROR(MIN(AX46,AY46),"")</f>
        <v/>
      </c>
      <c r="BA46" s="64">
        <f>IF(OR(AZ46="",D46=""),"",IF(AZ46&lt;=IFERROR(VLOOKUP(CONCATENATE(D46,YEAR(TODAY())-YEAR(C46),"pujottelu"),_viitearvot!$I$2:$M$205,2,FALSE()),99),5,IF(AZ46&lt;=IFERROR(VLOOKUP(CONCATENATE(D46,YEAR(TODAY())-YEAR(C46),"pujottelu"),_viitearvot!$I$2:$M$205,3,FALSE()),99),4,IF(AZ46&lt;=IFERROR(VLOOKUP(CONCATENATE(D46,YEAR(TODAY())-YEAR(C46),"pujottelu"),_viitearvot!$I$2:$M$205,4,FALSE()),99),3,IF(AZ46&lt;=IFERROR(VLOOKUP(CONCATENATE(D46,YEAR(TODAY())-YEAR(C46),"pujottelu"),_viitearvot!$I$2:$M$205,5,FALSE()),99),2,1)))))</f>
        <v/>
      </c>
      <c r="BB46" s="62" t="n"/>
      <c r="BC46" s="62" t="n"/>
      <c r="BD46" s="63">
        <f>IFERROR(MIN(BB46,BC46),"")</f>
        <v/>
      </c>
      <c r="BE46" s="64">
        <f>IF(OR(BD46="",D46=""),"",IF(BD46&lt;=IFERROR(VLOOKUP(CONCATENATE(D46,YEAR(TODAY())-YEAR(C46),"syotto"),_viitearvot!$I$2:$M$205,2,FALSE()),99),5,IF(BD46&lt;=IFERROR(VLOOKUP(CONCATENATE(D46,YEAR(TODAY())-YEAR(C46),"syotto"),_viitearvot!$I$2:$M$205,3,FALSE()),99),4,IF(BD46&lt;=IFERROR(VLOOKUP(CONCATENATE(D46,YEAR(TODAY())-YEAR(C46),"syotto"),_viitearvot!$I$2:$M$205,4,FALSE()),99),3,IF(BD46&lt;=IFERROR(VLOOKUP(CONCATENATE(D46,YEAR(TODAY())-YEAR(C46),"syotto"),_viitearvot!$I$2:$M$205,5,FALSE()),99),2,1)))))</f>
        <v/>
      </c>
      <c r="BF46" s="65" t="n"/>
      <c r="BG46" s="66">
        <f>IF(OR(BF46="",K46=""),"",(IF(D46="P",IF(K46&lt;=IFERROR(VLOOKUP(CONCATENATE("P",ROUND(BF46,0),"lin5m"),_viitearvot!$A:$H,4,FALSE()),99),5,IF(K46&lt;=IFERROR(VLOOKUP(CONCATENATE("P",ROUND(BF46,0),"lin5m"),_viitearvot!$A:$H,5,FALSE()),99),4,IF(K46&lt;=IFERROR(VLOOKUP(CONCATENATE("P",ROUND(BF46,0),"lin5m"),_viitearvot!$A:$H,6,FALSE()),99),3,IF(K46&lt;=IFERROR(VLOOKUP(CONCATENATE("P",ROUND(BF46,0),"lin5m"),_viitearvot!$A:$H,7,FALSE()),99),2,1)))),IF(K46&lt;=IFERROR(VLOOKUP(CONCATENATE("T",ROUND(BF46,0),"lin5m"),_viitearvot!$A:$H,4,FALSE()),99),5,IF(K46&lt;=IFERROR(VLOOKUP(CONCATENATE("T",ROUND(BF46,0),"lin5m"),_viitearvot!$A:$H,5,FALSE()),99),4,IF(K46&lt;=IFERROR(VLOOKUP(CONCATENATE("T",ROUND(BF46,0),"lin5m"),_viitearvot!$A:$H,6,FALSE()),99),3,IF(K46&lt;=IFERROR(VLOOKUP(CONCATENATE("T",ROUND(BF46,0),"lin5m"),_viitearvot!$A:$H,7,FALSE()),99),2,1))))))-L46)</f>
        <v/>
      </c>
      <c r="BH46" s="67" t="n"/>
    </row>
    <row r="47" ht="17" customHeight="1" s="22">
      <c r="A47" s="52" t="n"/>
      <c r="B47" s="52" t="n"/>
      <c r="C47" s="53" t="n"/>
      <c r="D47" s="52" t="n"/>
      <c r="E47" s="52" t="n"/>
      <c r="F47" s="52" t="n"/>
      <c r="G47" s="52" t="n"/>
      <c r="H47" s="54" t="n"/>
      <c r="I47" s="54" t="n"/>
      <c r="J47" s="54" t="n"/>
      <c r="K47" s="55">
        <f>IFERROR(MIN(H47,I47,J47),"")</f>
        <v/>
      </c>
      <c r="L47" s="56">
        <f>IF(OR(K47="",D47=""),"",IF(K47&lt;=IFERROR(VLOOKUP(CONCATENATE(D47,YEAR(TODAY())-YEAR(C47),"lin5m"),_viitearvot!$I$2:$M$205,2,FALSE()),99),5,IF(K47&lt;=IFERROR(VLOOKUP(CONCATENATE(D47,YEAR(TODAY())-YEAR(C47),"lin5m"),_viitearvot!$I$2:$M$205,3,FALSE()),99),4,IF(K47&lt;=IFERROR(VLOOKUP(CONCATENATE(D47,YEAR(TODAY())-YEAR(C47),"lin5m"),_viitearvot!$I$2:$M$205,4,FALSE()),99),3,IF(K47&lt;=IFERROR(VLOOKUP(CONCATENATE(D47,YEAR(TODAY())-YEAR(C47),"lin5m"),_viitearvot!$I$2:$M$205,5,FALSE()),99),2,1)))))</f>
        <v/>
      </c>
      <c r="M47" s="54" t="n"/>
      <c r="N47" s="54" t="n"/>
      <c r="O47" s="54" t="n"/>
      <c r="P47" s="55">
        <f>IFERROR(MIN(M47,N47,O47),"")</f>
        <v/>
      </c>
      <c r="Q47" s="56">
        <f>IF(OR(P47="",D47=""),"",IF(P47&lt;=IFERROR(VLOOKUP(CONCATENATE(D47,YEAR(TODAY())-YEAR(C47),"lin10m"),_viitearvot!$I$2:$M$205,2,FALSE()),99),5,IF(P47&lt;=IFERROR(VLOOKUP(CONCATENATE(D47,YEAR(TODAY())-YEAR(C47),"lin10m"),_viitearvot!$I$2:$M$205,3,FALSE()),99),4,IF(P47&lt;=IFERROR(VLOOKUP(CONCATENATE(D47,YEAR(TODAY())-YEAR(C47),"lin10m"),_viitearvot!$I$2:$M$205,4,FALSE()),99),3,IF(P47&lt;=IFERROR(VLOOKUP(CONCATENATE(D47,YEAR(TODAY())-YEAR(C47),"lin10m"),_viitearvot!$I$2:$M$205,5,FALSE()),99),2,1)))))</f>
        <v/>
      </c>
      <c r="R47" s="54" t="n"/>
      <c r="S47" s="54" t="n"/>
      <c r="T47" s="54" t="n"/>
      <c r="U47" s="55">
        <f>IFERROR(MIN(R47,S47,T47),"")</f>
        <v/>
      </c>
      <c r="V47" s="56">
        <f>IF(OR(U47="",D47=""),"",IF(U47&lt;=IFERROR(VLOOKUP(CONCATENATE(D47,YEAR(TODAY())-YEAR(C47),"lin20m"),_viitearvot!$I$2:$M$205,2,FALSE()),99),5,IF(U47&lt;=IFERROR(VLOOKUP(CONCATENATE(D47,YEAR(TODAY())-YEAR(C47),"lin20m"),_viitearvot!$I$2:$M$205,3,FALSE()),99),4,IF(U47&lt;=IFERROR(VLOOKUP(CONCATENATE(D47,YEAR(TODAY())-YEAR(C47),"lin20m"),_viitearvot!$I$2:$M$205,4,FALSE()),99),3,IF(U47&lt;=IFERROR(VLOOKUP(CONCATENATE(D47,YEAR(TODAY())-YEAR(C47),"lin20m"),_viitearvot!$I$2:$M$205,5,FALSE()),99),2,1)))))</f>
        <v/>
      </c>
      <c r="W47" s="54" t="n"/>
      <c r="X47" s="54" t="n"/>
      <c r="Y47" s="54" t="n"/>
      <c r="Z47" s="55">
        <f>IFERROR(MIN(W47,X47,Y47),"")</f>
        <v/>
      </c>
      <c r="AA47" s="56">
        <f>IF(OR(Z47="",D47=""),"",IF(Z47&lt;=IFERROR(VLOOKUP(CONCATENATE(D47,YEAR(TODAY())-YEAR(C47),"lin30m"),_viitearvot!$I$2:$M$205,2,FALSE()),99),5,IF(Z47&lt;=IFERROR(VLOOKUP(CONCATENATE(D47,YEAR(TODAY())-YEAR(C47),"lin30m"),_viitearvot!$I$2:$M$205,3,FALSE()),99),4,IF(Z47&lt;=IFERROR(VLOOKUP(CONCATENATE(D47,YEAR(TODAY())-YEAR(C47),"lin30m"),_viitearvot!$I$2:$M$205,4,FALSE()),99),3,IF(Z47&lt;=IFERROR(VLOOKUP(CONCATENATE(D47,YEAR(TODAY())-YEAR(C47),"lin30m"),_viitearvot!$I$2:$M$205,5,FALSE()),99),2,1)))))</f>
        <v/>
      </c>
      <c r="AB47" s="54" t="n"/>
      <c r="AC47" s="54" t="n"/>
      <c r="AD47" s="54" t="n"/>
      <c r="AE47" s="55">
        <f>IFERROR(MIN(AB47,AC47,AD47),"")</f>
        <v/>
      </c>
      <c r="AF47" s="56">
        <f>IF(OR(AE47="",D47=""),"",IF(AE47&lt;=IFERROR(VLOOKUP(CONCATENATE(D47,YEAR(TODAY())-YEAR(C47),"kasirata"),_viitearvot!$I$2:$M$205,2,FALSE()),99),5,IF(AE47&lt;=IFERROR(VLOOKUP(CONCATENATE(D47,YEAR(TODAY())-YEAR(C47),"kasirata"),_viitearvot!$I$2:$M$205,3,FALSE()),99),4,IF(AE47&lt;=IFERROR(VLOOKUP(CONCATENATE(D47,YEAR(TODAY())-YEAR(C47),"kasirata"),_viitearvot!$I$2:$M$205,4,FALSE()),99),3,IF(AE47&lt;=IFERROR(VLOOKUP(CONCATENATE(D47,YEAR(TODAY())-YEAR(C47),"kasirata"),_viitearvot!$I$2:$M$205,5,FALSE()),99),2,1)))))</f>
        <v/>
      </c>
      <c r="AG47" s="54" t="n"/>
      <c r="AH47" s="54" t="n"/>
      <c r="AI47" s="54" t="n"/>
      <c r="AJ47" s="55">
        <f>IFERROR(MIN(AG47,AH47,AI47),"")</f>
        <v/>
      </c>
      <c r="AK47" s="56">
        <f>IF(OR(AJ47="",D47=""),"",IF(AJ47&lt;=IFERROR(VLOOKUP(CONCATENATE(D47,YEAR(TODAY())-YEAR(C47),"smjuoksu"),_viitearvot!$I$2:$M$205,2,FALSE()),99),5,IF(AJ47&lt;=IFERROR(VLOOKUP(CONCATENATE(D47,YEAR(TODAY())-YEAR(C47),"smjuoksu"),_viitearvot!$I$2:$M$205,3,FALSE()),99),4,IF(AJ47&lt;=IFERROR(VLOOKUP(CONCATENATE(D47,YEAR(TODAY())-YEAR(C47),"smjuoksu"),_viitearvot!$I$2:$M$205,4,FALSE()),99),3,IF(AJ47&lt;=IFERROR(VLOOKUP(CONCATENATE(D47,YEAR(TODAY())-YEAR(C47),"smjuoksu"),_viitearvot!$I$2:$M$205,5,FALSE()),99),2,1)))))</f>
        <v/>
      </c>
      <c r="AL47" s="54" t="n"/>
      <c r="AM47" s="54" t="n"/>
      <c r="AN47" s="55">
        <f>IFERROR(MIN(AL47,AM47),"")</f>
        <v/>
      </c>
      <c r="AO47" s="56">
        <f>IF(OR(AN47="",D47=""),"",IF(AN47&lt;=IFERROR(VLOOKUP(CONCATENATE(D47,YEAR(TODAY())-YEAR(C47),"smpallo"),_viitearvot!$I$2:$M$205,2,FALSE()),99),5,IF(AN47&lt;=IFERROR(VLOOKUP(CONCATENATE(D47,YEAR(TODAY())-YEAR(C47),"smpallo"),_viitearvot!$I$2:$M$205,3,FALSE()),99),4,IF(AN47&lt;=IFERROR(VLOOKUP(CONCATENATE(D47,YEAR(TODAY())-YEAR(C47),"smpallo"),_viitearvot!$I$2:$M$205,4,FALSE()),99),3,IF(AN47&lt;=IFERROR(VLOOKUP(CONCATENATE(D47,YEAR(TODAY())-YEAR(C47),"smpallo"),_viitearvot!$I$2:$M$205,5,FALSE()),99),2,1)))))</f>
        <v/>
      </c>
      <c r="AP47" s="54" t="n"/>
      <c r="AQ47" s="54" t="n"/>
      <c r="AR47" s="54" t="n"/>
      <c r="AS47" s="55">
        <f>IFERROR(MAX(AP47,AQ47,AR47),"")</f>
        <v/>
      </c>
      <c r="AT47" s="56">
        <f>IF(OR(AS47="",D47=""),"",IF(AS47&gt;=IFERROR(VLOOKUP(CONCATENATE(D47,YEAR(TODAY())-YEAR(C47),"cmj"),_viitearvot!$I$2:$M$205,2,FALSE()),0),5,IF(AS47&gt;=IFERROR(VLOOKUP(CONCATENATE(D47,YEAR(TODAY())-YEAR(C47),"cmj"),_viitearvot!$I$2:$M$205,3,FALSE()),0),4,IF(AS47&gt;=IFERROR(VLOOKUP(CONCATENATE(D47,YEAR(TODAY())-YEAR(C47),"cmj"),_viitearvot!$I$2:$M$205,4,FALSE()),0),3,IF(AS47&gt;=IFERROR(VLOOKUP(CONCATENATE(D47,YEAR(TODAY())-YEAR(C47),"cmj"),_viitearvot!$I$2:$M$205,5,FALSE()),0),2,1)))))</f>
        <v/>
      </c>
      <c r="AU47" s="54" t="n"/>
      <c r="AV47" s="55">
        <f>IFERROR(MAX(AU47),"")</f>
        <v/>
      </c>
      <c r="AW47" s="56">
        <f>IF(OR(AV47="",D47=""),"",IF(AV47&gt;=IFERROR(VLOOKUP(CONCATENATE(D47,YEAR(TODAY())-YEAR(C47),"bronco"),_viitearvot!$I$2:$M$205,2,FALSE()),0),5,IF(AV47&gt;=IFERROR(VLOOKUP(CONCATENATE(D47,YEAR(TODAY())-YEAR(C47),"bronco"),_viitearvot!$I$2:$M$205,3,FALSE()),0),4,IF(AV47&gt;=IFERROR(VLOOKUP(CONCATENATE(D47,YEAR(TODAY())-YEAR(C47),"bronco"),_viitearvot!$I$2:$M$205,4,FALSE()),0),3,IF(AV47&gt;=IFERROR(VLOOKUP(CONCATENATE(D47,YEAR(TODAY())-YEAR(C47),"bronco"),_viitearvot!$I$2:$M$205,5,FALSE()),0),2,1)))))</f>
        <v/>
      </c>
      <c r="AX47" s="54" t="n"/>
      <c r="AY47" s="54" t="n"/>
      <c r="AZ47" s="55">
        <f>IFERROR(MIN(AX47,AY47),"")</f>
        <v/>
      </c>
      <c r="BA47" s="56">
        <f>IF(OR(AZ47="",D47=""),"",IF(AZ47&lt;=IFERROR(VLOOKUP(CONCATENATE(D47,YEAR(TODAY())-YEAR(C47),"pujottelu"),_viitearvot!$I$2:$M$205,2,FALSE()),99),5,IF(AZ47&lt;=IFERROR(VLOOKUP(CONCATENATE(D47,YEAR(TODAY())-YEAR(C47),"pujottelu"),_viitearvot!$I$2:$M$205,3,FALSE()),99),4,IF(AZ47&lt;=IFERROR(VLOOKUP(CONCATENATE(D47,YEAR(TODAY())-YEAR(C47),"pujottelu"),_viitearvot!$I$2:$M$205,4,FALSE()),99),3,IF(AZ47&lt;=IFERROR(VLOOKUP(CONCATENATE(D47,YEAR(TODAY())-YEAR(C47),"pujottelu"),_viitearvot!$I$2:$M$205,5,FALSE()),99),2,1)))))</f>
        <v/>
      </c>
      <c r="BB47" s="54" t="n"/>
      <c r="BC47" s="54" t="n"/>
      <c r="BD47" s="55">
        <f>IFERROR(MIN(BB47,BC47),"")</f>
        <v/>
      </c>
      <c r="BE47" s="56">
        <f>IF(OR(BD47="",D47=""),"",IF(BD47&lt;=IFERROR(VLOOKUP(CONCATENATE(D47,YEAR(TODAY())-YEAR(C47),"syotto"),_viitearvot!$I$2:$M$205,2,FALSE()),99),5,IF(BD47&lt;=IFERROR(VLOOKUP(CONCATENATE(D47,YEAR(TODAY())-YEAR(C47),"syotto"),_viitearvot!$I$2:$M$205,3,FALSE()),99),4,IF(BD47&lt;=IFERROR(VLOOKUP(CONCATENATE(D47,YEAR(TODAY())-YEAR(C47),"syotto"),_viitearvot!$I$2:$M$205,4,FALSE()),99),3,IF(BD47&lt;=IFERROR(VLOOKUP(CONCATENATE(D47,YEAR(TODAY())-YEAR(C47),"syotto"),_viitearvot!$I$2:$M$205,5,FALSE()),99),2,1)))))</f>
        <v/>
      </c>
      <c r="BF47" s="57" t="n"/>
      <c r="BG47" s="58">
        <f>IF(OR(BF47="",K47=""),"",(IF(D47="P",IF(K47&lt;=IFERROR(VLOOKUP(CONCATENATE("P",ROUND(BF47,0),"lin5m"),_viitearvot!$A:$H,4,FALSE()),99),5,IF(K47&lt;=IFERROR(VLOOKUP(CONCATENATE("P",ROUND(BF47,0),"lin5m"),_viitearvot!$A:$H,5,FALSE()),99),4,IF(K47&lt;=IFERROR(VLOOKUP(CONCATENATE("P",ROUND(BF47,0),"lin5m"),_viitearvot!$A:$H,6,FALSE()),99),3,IF(K47&lt;=IFERROR(VLOOKUP(CONCATENATE("P",ROUND(BF47,0),"lin5m"),_viitearvot!$A:$H,7,FALSE()),99),2,1)))),IF(K47&lt;=IFERROR(VLOOKUP(CONCATENATE("T",ROUND(BF47,0),"lin5m"),_viitearvot!$A:$H,4,FALSE()),99),5,IF(K47&lt;=IFERROR(VLOOKUP(CONCATENATE("T",ROUND(BF47,0),"lin5m"),_viitearvot!$A:$H,5,FALSE()),99),4,IF(K47&lt;=IFERROR(VLOOKUP(CONCATENATE("T",ROUND(BF47,0),"lin5m"),_viitearvot!$A:$H,6,FALSE()),99),3,IF(K47&lt;=IFERROR(VLOOKUP(CONCATENATE("T",ROUND(BF47,0),"lin5m"),_viitearvot!$A:$H,7,FALSE()),99),2,1))))))-L47)</f>
        <v/>
      </c>
      <c r="BH47" s="59" t="n"/>
    </row>
    <row r="48" ht="17" customHeight="1" s="22">
      <c r="A48" s="60" t="n"/>
      <c r="B48" s="60" t="n"/>
      <c r="C48" s="61" t="n"/>
      <c r="D48" s="60" t="n"/>
      <c r="E48" s="60" t="n"/>
      <c r="F48" s="60" t="n"/>
      <c r="G48" s="60" t="n"/>
      <c r="H48" s="62" t="n"/>
      <c r="I48" s="62" t="n"/>
      <c r="J48" s="62" t="n"/>
      <c r="K48" s="63">
        <f>IFERROR(MIN(H48,I48,J48),"")</f>
        <v/>
      </c>
      <c r="L48" s="64">
        <f>IF(OR(K48="",D48=""),"",IF(K48&lt;=IFERROR(VLOOKUP(CONCATENATE(D48,YEAR(TODAY())-YEAR(C48),"lin5m"),_viitearvot!$I$2:$M$205,2,FALSE()),99),5,IF(K48&lt;=IFERROR(VLOOKUP(CONCATENATE(D48,YEAR(TODAY())-YEAR(C48),"lin5m"),_viitearvot!$I$2:$M$205,3,FALSE()),99),4,IF(K48&lt;=IFERROR(VLOOKUP(CONCATENATE(D48,YEAR(TODAY())-YEAR(C48),"lin5m"),_viitearvot!$I$2:$M$205,4,FALSE()),99),3,IF(K48&lt;=IFERROR(VLOOKUP(CONCATENATE(D48,YEAR(TODAY())-YEAR(C48),"lin5m"),_viitearvot!$I$2:$M$205,5,FALSE()),99),2,1)))))</f>
        <v/>
      </c>
      <c r="M48" s="62" t="n"/>
      <c r="N48" s="62" t="n"/>
      <c r="O48" s="62" t="n"/>
      <c r="P48" s="63">
        <f>IFERROR(MIN(M48,N48,O48),"")</f>
        <v/>
      </c>
      <c r="Q48" s="64">
        <f>IF(OR(P48="",D48=""),"",IF(P48&lt;=IFERROR(VLOOKUP(CONCATENATE(D48,YEAR(TODAY())-YEAR(C48),"lin10m"),_viitearvot!$I$2:$M$205,2,FALSE()),99),5,IF(P48&lt;=IFERROR(VLOOKUP(CONCATENATE(D48,YEAR(TODAY())-YEAR(C48),"lin10m"),_viitearvot!$I$2:$M$205,3,FALSE()),99),4,IF(P48&lt;=IFERROR(VLOOKUP(CONCATENATE(D48,YEAR(TODAY())-YEAR(C48),"lin10m"),_viitearvot!$I$2:$M$205,4,FALSE()),99),3,IF(P48&lt;=IFERROR(VLOOKUP(CONCATENATE(D48,YEAR(TODAY())-YEAR(C48),"lin10m"),_viitearvot!$I$2:$M$205,5,FALSE()),99),2,1)))))</f>
        <v/>
      </c>
      <c r="R48" s="62" t="n"/>
      <c r="S48" s="62" t="n"/>
      <c r="T48" s="62" t="n"/>
      <c r="U48" s="63">
        <f>IFERROR(MIN(R48,S48,T48),"")</f>
        <v/>
      </c>
      <c r="V48" s="64">
        <f>IF(OR(U48="",D48=""),"",IF(U48&lt;=IFERROR(VLOOKUP(CONCATENATE(D48,YEAR(TODAY())-YEAR(C48),"lin20m"),_viitearvot!$I$2:$M$205,2,FALSE()),99),5,IF(U48&lt;=IFERROR(VLOOKUP(CONCATENATE(D48,YEAR(TODAY())-YEAR(C48),"lin20m"),_viitearvot!$I$2:$M$205,3,FALSE()),99),4,IF(U48&lt;=IFERROR(VLOOKUP(CONCATENATE(D48,YEAR(TODAY())-YEAR(C48),"lin20m"),_viitearvot!$I$2:$M$205,4,FALSE()),99),3,IF(U48&lt;=IFERROR(VLOOKUP(CONCATENATE(D48,YEAR(TODAY())-YEAR(C48),"lin20m"),_viitearvot!$I$2:$M$205,5,FALSE()),99),2,1)))))</f>
        <v/>
      </c>
      <c r="W48" s="62" t="n"/>
      <c r="X48" s="62" t="n"/>
      <c r="Y48" s="62" t="n"/>
      <c r="Z48" s="63">
        <f>IFERROR(MIN(W48,X48,Y48),"")</f>
        <v/>
      </c>
      <c r="AA48" s="64">
        <f>IF(OR(Z48="",D48=""),"",IF(Z48&lt;=IFERROR(VLOOKUP(CONCATENATE(D48,YEAR(TODAY())-YEAR(C48),"lin30m"),_viitearvot!$I$2:$M$205,2,FALSE()),99),5,IF(Z48&lt;=IFERROR(VLOOKUP(CONCATENATE(D48,YEAR(TODAY())-YEAR(C48),"lin30m"),_viitearvot!$I$2:$M$205,3,FALSE()),99),4,IF(Z48&lt;=IFERROR(VLOOKUP(CONCATENATE(D48,YEAR(TODAY())-YEAR(C48),"lin30m"),_viitearvot!$I$2:$M$205,4,FALSE()),99),3,IF(Z48&lt;=IFERROR(VLOOKUP(CONCATENATE(D48,YEAR(TODAY())-YEAR(C48),"lin30m"),_viitearvot!$I$2:$M$205,5,FALSE()),99),2,1)))))</f>
        <v/>
      </c>
      <c r="AB48" s="62" t="n"/>
      <c r="AC48" s="62" t="n"/>
      <c r="AD48" s="62" t="n"/>
      <c r="AE48" s="63">
        <f>IFERROR(MIN(AB48,AC48,AD48),"")</f>
        <v/>
      </c>
      <c r="AF48" s="64">
        <f>IF(OR(AE48="",D48=""),"",IF(AE48&lt;=IFERROR(VLOOKUP(CONCATENATE(D48,YEAR(TODAY())-YEAR(C48),"kasirata"),_viitearvot!$I$2:$M$205,2,FALSE()),99),5,IF(AE48&lt;=IFERROR(VLOOKUP(CONCATENATE(D48,YEAR(TODAY())-YEAR(C48),"kasirata"),_viitearvot!$I$2:$M$205,3,FALSE()),99),4,IF(AE48&lt;=IFERROR(VLOOKUP(CONCATENATE(D48,YEAR(TODAY())-YEAR(C48),"kasirata"),_viitearvot!$I$2:$M$205,4,FALSE()),99),3,IF(AE48&lt;=IFERROR(VLOOKUP(CONCATENATE(D48,YEAR(TODAY())-YEAR(C48),"kasirata"),_viitearvot!$I$2:$M$205,5,FALSE()),99),2,1)))))</f>
        <v/>
      </c>
      <c r="AG48" s="62" t="n"/>
      <c r="AH48" s="62" t="n"/>
      <c r="AI48" s="62" t="n"/>
      <c r="AJ48" s="63">
        <f>IFERROR(MIN(AG48,AH48,AI48),"")</f>
        <v/>
      </c>
      <c r="AK48" s="64">
        <f>IF(OR(AJ48="",D48=""),"",IF(AJ48&lt;=IFERROR(VLOOKUP(CONCATENATE(D48,YEAR(TODAY())-YEAR(C48),"smjuoksu"),_viitearvot!$I$2:$M$205,2,FALSE()),99),5,IF(AJ48&lt;=IFERROR(VLOOKUP(CONCATENATE(D48,YEAR(TODAY())-YEAR(C48),"smjuoksu"),_viitearvot!$I$2:$M$205,3,FALSE()),99),4,IF(AJ48&lt;=IFERROR(VLOOKUP(CONCATENATE(D48,YEAR(TODAY())-YEAR(C48),"smjuoksu"),_viitearvot!$I$2:$M$205,4,FALSE()),99),3,IF(AJ48&lt;=IFERROR(VLOOKUP(CONCATENATE(D48,YEAR(TODAY())-YEAR(C48),"smjuoksu"),_viitearvot!$I$2:$M$205,5,FALSE()),99),2,1)))))</f>
        <v/>
      </c>
      <c r="AL48" s="62" t="n"/>
      <c r="AM48" s="62" t="n"/>
      <c r="AN48" s="63">
        <f>IFERROR(MIN(AL48,AM48),"")</f>
        <v/>
      </c>
      <c r="AO48" s="64">
        <f>IF(OR(AN48="",D48=""),"",IF(AN48&lt;=IFERROR(VLOOKUP(CONCATENATE(D48,YEAR(TODAY())-YEAR(C48),"smpallo"),_viitearvot!$I$2:$M$205,2,FALSE()),99),5,IF(AN48&lt;=IFERROR(VLOOKUP(CONCATENATE(D48,YEAR(TODAY())-YEAR(C48),"smpallo"),_viitearvot!$I$2:$M$205,3,FALSE()),99),4,IF(AN48&lt;=IFERROR(VLOOKUP(CONCATENATE(D48,YEAR(TODAY())-YEAR(C48),"smpallo"),_viitearvot!$I$2:$M$205,4,FALSE()),99),3,IF(AN48&lt;=IFERROR(VLOOKUP(CONCATENATE(D48,YEAR(TODAY())-YEAR(C48),"smpallo"),_viitearvot!$I$2:$M$205,5,FALSE()),99),2,1)))))</f>
        <v/>
      </c>
      <c r="AP48" s="62" t="n"/>
      <c r="AQ48" s="62" t="n"/>
      <c r="AR48" s="62" t="n"/>
      <c r="AS48" s="63">
        <f>IFERROR(MAX(AP48,AQ48,AR48),"")</f>
        <v/>
      </c>
      <c r="AT48" s="64">
        <f>IF(OR(AS48="",D48=""),"",IF(AS48&gt;=IFERROR(VLOOKUP(CONCATENATE(D48,YEAR(TODAY())-YEAR(C48),"cmj"),_viitearvot!$I$2:$M$205,2,FALSE()),0),5,IF(AS48&gt;=IFERROR(VLOOKUP(CONCATENATE(D48,YEAR(TODAY())-YEAR(C48),"cmj"),_viitearvot!$I$2:$M$205,3,FALSE()),0),4,IF(AS48&gt;=IFERROR(VLOOKUP(CONCATENATE(D48,YEAR(TODAY())-YEAR(C48),"cmj"),_viitearvot!$I$2:$M$205,4,FALSE()),0),3,IF(AS48&gt;=IFERROR(VLOOKUP(CONCATENATE(D48,YEAR(TODAY())-YEAR(C48),"cmj"),_viitearvot!$I$2:$M$205,5,FALSE()),0),2,1)))))</f>
        <v/>
      </c>
      <c r="AU48" s="62" t="n"/>
      <c r="AV48" s="63">
        <f>IFERROR(MAX(AU48),"")</f>
        <v/>
      </c>
      <c r="AW48" s="64">
        <f>IF(OR(AV48="",D48=""),"",IF(AV48&gt;=IFERROR(VLOOKUP(CONCATENATE(D48,YEAR(TODAY())-YEAR(C48),"bronco"),_viitearvot!$I$2:$M$205,2,FALSE()),0),5,IF(AV48&gt;=IFERROR(VLOOKUP(CONCATENATE(D48,YEAR(TODAY())-YEAR(C48),"bronco"),_viitearvot!$I$2:$M$205,3,FALSE()),0),4,IF(AV48&gt;=IFERROR(VLOOKUP(CONCATENATE(D48,YEAR(TODAY())-YEAR(C48),"bronco"),_viitearvot!$I$2:$M$205,4,FALSE()),0),3,IF(AV48&gt;=IFERROR(VLOOKUP(CONCATENATE(D48,YEAR(TODAY())-YEAR(C48),"bronco"),_viitearvot!$I$2:$M$205,5,FALSE()),0),2,1)))))</f>
        <v/>
      </c>
      <c r="AX48" s="62" t="n"/>
      <c r="AY48" s="62" t="n"/>
      <c r="AZ48" s="63">
        <f>IFERROR(MIN(AX48,AY48),"")</f>
        <v/>
      </c>
      <c r="BA48" s="64">
        <f>IF(OR(AZ48="",D48=""),"",IF(AZ48&lt;=IFERROR(VLOOKUP(CONCATENATE(D48,YEAR(TODAY())-YEAR(C48),"pujottelu"),_viitearvot!$I$2:$M$205,2,FALSE()),99),5,IF(AZ48&lt;=IFERROR(VLOOKUP(CONCATENATE(D48,YEAR(TODAY())-YEAR(C48),"pujottelu"),_viitearvot!$I$2:$M$205,3,FALSE()),99),4,IF(AZ48&lt;=IFERROR(VLOOKUP(CONCATENATE(D48,YEAR(TODAY())-YEAR(C48),"pujottelu"),_viitearvot!$I$2:$M$205,4,FALSE()),99),3,IF(AZ48&lt;=IFERROR(VLOOKUP(CONCATENATE(D48,YEAR(TODAY())-YEAR(C48),"pujottelu"),_viitearvot!$I$2:$M$205,5,FALSE()),99),2,1)))))</f>
        <v/>
      </c>
      <c r="BB48" s="62" t="n"/>
      <c r="BC48" s="62" t="n"/>
      <c r="BD48" s="63">
        <f>IFERROR(MIN(BB48,BC48),"")</f>
        <v/>
      </c>
      <c r="BE48" s="64">
        <f>IF(OR(BD48="",D48=""),"",IF(BD48&lt;=IFERROR(VLOOKUP(CONCATENATE(D48,YEAR(TODAY())-YEAR(C48),"syotto"),_viitearvot!$I$2:$M$205,2,FALSE()),99),5,IF(BD48&lt;=IFERROR(VLOOKUP(CONCATENATE(D48,YEAR(TODAY())-YEAR(C48),"syotto"),_viitearvot!$I$2:$M$205,3,FALSE()),99),4,IF(BD48&lt;=IFERROR(VLOOKUP(CONCATENATE(D48,YEAR(TODAY())-YEAR(C48),"syotto"),_viitearvot!$I$2:$M$205,4,FALSE()),99),3,IF(BD48&lt;=IFERROR(VLOOKUP(CONCATENATE(D48,YEAR(TODAY())-YEAR(C48),"syotto"),_viitearvot!$I$2:$M$205,5,FALSE()),99),2,1)))))</f>
        <v/>
      </c>
      <c r="BF48" s="65" t="n"/>
      <c r="BG48" s="66">
        <f>IF(OR(BF48="",K48=""),"",(IF(D48="P",IF(K48&lt;=IFERROR(VLOOKUP(CONCATENATE("P",ROUND(BF48,0),"lin5m"),_viitearvot!$A:$H,4,FALSE()),99),5,IF(K48&lt;=IFERROR(VLOOKUP(CONCATENATE("P",ROUND(BF48,0),"lin5m"),_viitearvot!$A:$H,5,FALSE()),99),4,IF(K48&lt;=IFERROR(VLOOKUP(CONCATENATE("P",ROUND(BF48,0),"lin5m"),_viitearvot!$A:$H,6,FALSE()),99),3,IF(K48&lt;=IFERROR(VLOOKUP(CONCATENATE("P",ROUND(BF48,0),"lin5m"),_viitearvot!$A:$H,7,FALSE()),99),2,1)))),IF(K48&lt;=IFERROR(VLOOKUP(CONCATENATE("T",ROUND(BF48,0),"lin5m"),_viitearvot!$A:$H,4,FALSE()),99),5,IF(K48&lt;=IFERROR(VLOOKUP(CONCATENATE("T",ROUND(BF48,0),"lin5m"),_viitearvot!$A:$H,5,FALSE()),99),4,IF(K48&lt;=IFERROR(VLOOKUP(CONCATENATE("T",ROUND(BF48,0),"lin5m"),_viitearvot!$A:$H,6,FALSE()),99),3,IF(K48&lt;=IFERROR(VLOOKUP(CONCATENATE("T",ROUND(BF48,0),"lin5m"),_viitearvot!$A:$H,7,FALSE()),99),2,1))))))-L48)</f>
        <v/>
      </c>
      <c r="BH48" s="67" t="n"/>
    </row>
    <row r="49" ht="17" customHeight="1" s="22">
      <c r="A49" s="52" t="n"/>
      <c r="B49" s="52" t="n"/>
      <c r="C49" s="53" t="n"/>
      <c r="D49" s="52" t="n"/>
      <c r="E49" s="52" t="n"/>
      <c r="F49" s="52" t="n"/>
      <c r="G49" s="52" t="n"/>
      <c r="H49" s="54" t="n"/>
      <c r="I49" s="54" t="n"/>
      <c r="J49" s="54" t="n"/>
      <c r="K49" s="55">
        <f>IFERROR(MIN(H49,I49,J49),"")</f>
        <v/>
      </c>
      <c r="L49" s="56">
        <f>IF(OR(K49="",D49=""),"",IF(K49&lt;=IFERROR(VLOOKUP(CONCATENATE(D49,YEAR(TODAY())-YEAR(C49),"lin5m"),_viitearvot!$I$2:$M$205,2,FALSE()),99),5,IF(K49&lt;=IFERROR(VLOOKUP(CONCATENATE(D49,YEAR(TODAY())-YEAR(C49),"lin5m"),_viitearvot!$I$2:$M$205,3,FALSE()),99),4,IF(K49&lt;=IFERROR(VLOOKUP(CONCATENATE(D49,YEAR(TODAY())-YEAR(C49),"lin5m"),_viitearvot!$I$2:$M$205,4,FALSE()),99),3,IF(K49&lt;=IFERROR(VLOOKUP(CONCATENATE(D49,YEAR(TODAY())-YEAR(C49),"lin5m"),_viitearvot!$I$2:$M$205,5,FALSE()),99),2,1)))))</f>
        <v/>
      </c>
      <c r="M49" s="54" t="n"/>
      <c r="N49" s="54" t="n"/>
      <c r="O49" s="54" t="n"/>
      <c r="P49" s="55">
        <f>IFERROR(MIN(M49,N49,O49),"")</f>
        <v/>
      </c>
      <c r="Q49" s="56">
        <f>IF(OR(P49="",D49=""),"",IF(P49&lt;=IFERROR(VLOOKUP(CONCATENATE(D49,YEAR(TODAY())-YEAR(C49),"lin10m"),_viitearvot!$I$2:$M$205,2,FALSE()),99),5,IF(P49&lt;=IFERROR(VLOOKUP(CONCATENATE(D49,YEAR(TODAY())-YEAR(C49),"lin10m"),_viitearvot!$I$2:$M$205,3,FALSE()),99),4,IF(P49&lt;=IFERROR(VLOOKUP(CONCATENATE(D49,YEAR(TODAY())-YEAR(C49),"lin10m"),_viitearvot!$I$2:$M$205,4,FALSE()),99),3,IF(P49&lt;=IFERROR(VLOOKUP(CONCATENATE(D49,YEAR(TODAY())-YEAR(C49),"lin10m"),_viitearvot!$I$2:$M$205,5,FALSE()),99),2,1)))))</f>
        <v/>
      </c>
      <c r="R49" s="54" t="n"/>
      <c r="S49" s="54" t="n"/>
      <c r="T49" s="54" t="n"/>
      <c r="U49" s="55">
        <f>IFERROR(MIN(R49,S49,T49),"")</f>
        <v/>
      </c>
      <c r="V49" s="56">
        <f>IF(OR(U49="",D49=""),"",IF(U49&lt;=IFERROR(VLOOKUP(CONCATENATE(D49,YEAR(TODAY())-YEAR(C49),"lin20m"),_viitearvot!$I$2:$M$205,2,FALSE()),99),5,IF(U49&lt;=IFERROR(VLOOKUP(CONCATENATE(D49,YEAR(TODAY())-YEAR(C49),"lin20m"),_viitearvot!$I$2:$M$205,3,FALSE()),99),4,IF(U49&lt;=IFERROR(VLOOKUP(CONCATENATE(D49,YEAR(TODAY())-YEAR(C49),"lin20m"),_viitearvot!$I$2:$M$205,4,FALSE()),99),3,IF(U49&lt;=IFERROR(VLOOKUP(CONCATENATE(D49,YEAR(TODAY())-YEAR(C49),"lin20m"),_viitearvot!$I$2:$M$205,5,FALSE()),99),2,1)))))</f>
        <v/>
      </c>
      <c r="W49" s="54" t="n"/>
      <c r="X49" s="54" t="n"/>
      <c r="Y49" s="54" t="n"/>
      <c r="Z49" s="55">
        <f>IFERROR(MIN(W49,X49,Y49),"")</f>
        <v/>
      </c>
      <c r="AA49" s="56">
        <f>IF(OR(Z49="",D49=""),"",IF(Z49&lt;=IFERROR(VLOOKUP(CONCATENATE(D49,YEAR(TODAY())-YEAR(C49),"lin30m"),_viitearvot!$I$2:$M$205,2,FALSE()),99),5,IF(Z49&lt;=IFERROR(VLOOKUP(CONCATENATE(D49,YEAR(TODAY())-YEAR(C49),"lin30m"),_viitearvot!$I$2:$M$205,3,FALSE()),99),4,IF(Z49&lt;=IFERROR(VLOOKUP(CONCATENATE(D49,YEAR(TODAY())-YEAR(C49),"lin30m"),_viitearvot!$I$2:$M$205,4,FALSE()),99),3,IF(Z49&lt;=IFERROR(VLOOKUP(CONCATENATE(D49,YEAR(TODAY())-YEAR(C49),"lin30m"),_viitearvot!$I$2:$M$205,5,FALSE()),99),2,1)))))</f>
        <v/>
      </c>
      <c r="AB49" s="54" t="n"/>
      <c r="AC49" s="54" t="n"/>
      <c r="AD49" s="54" t="n"/>
      <c r="AE49" s="55">
        <f>IFERROR(MIN(AB49,AC49,AD49),"")</f>
        <v/>
      </c>
      <c r="AF49" s="56">
        <f>IF(OR(AE49="",D49=""),"",IF(AE49&lt;=IFERROR(VLOOKUP(CONCATENATE(D49,YEAR(TODAY())-YEAR(C49),"kasirata"),_viitearvot!$I$2:$M$205,2,FALSE()),99),5,IF(AE49&lt;=IFERROR(VLOOKUP(CONCATENATE(D49,YEAR(TODAY())-YEAR(C49),"kasirata"),_viitearvot!$I$2:$M$205,3,FALSE()),99),4,IF(AE49&lt;=IFERROR(VLOOKUP(CONCATENATE(D49,YEAR(TODAY())-YEAR(C49),"kasirata"),_viitearvot!$I$2:$M$205,4,FALSE()),99),3,IF(AE49&lt;=IFERROR(VLOOKUP(CONCATENATE(D49,YEAR(TODAY())-YEAR(C49),"kasirata"),_viitearvot!$I$2:$M$205,5,FALSE()),99),2,1)))))</f>
        <v/>
      </c>
      <c r="AG49" s="54" t="n"/>
      <c r="AH49" s="54" t="n"/>
      <c r="AI49" s="54" t="n"/>
      <c r="AJ49" s="55">
        <f>IFERROR(MIN(AG49,AH49,AI49),"")</f>
        <v/>
      </c>
      <c r="AK49" s="56">
        <f>IF(OR(AJ49="",D49=""),"",IF(AJ49&lt;=IFERROR(VLOOKUP(CONCATENATE(D49,YEAR(TODAY())-YEAR(C49),"smjuoksu"),_viitearvot!$I$2:$M$205,2,FALSE()),99),5,IF(AJ49&lt;=IFERROR(VLOOKUP(CONCATENATE(D49,YEAR(TODAY())-YEAR(C49),"smjuoksu"),_viitearvot!$I$2:$M$205,3,FALSE()),99),4,IF(AJ49&lt;=IFERROR(VLOOKUP(CONCATENATE(D49,YEAR(TODAY())-YEAR(C49),"smjuoksu"),_viitearvot!$I$2:$M$205,4,FALSE()),99),3,IF(AJ49&lt;=IFERROR(VLOOKUP(CONCATENATE(D49,YEAR(TODAY())-YEAR(C49),"smjuoksu"),_viitearvot!$I$2:$M$205,5,FALSE()),99),2,1)))))</f>
        <v/>
      </c>
      <c r="AL49" s="54" t="n"/>
      <c r="AM49" s="54" t="n"/>
      <c r="AN49" s="55">
        <f>IFERROR(MIN(AL49,AM49),"")</f>
        <v/>
      </c>
      <c r="AO49" s="56">
        <f>IF(OR(AN49="",D49=""),"",IF(AN49&lt;=IFERROR(VLOOKUP(CONCATENATE(D49,YEAR(TODAY())-YEAR(C49),"smpallo"),_viitearvot!$I$2:$M$205,2,FALSE()),99),5,IF(AN49&lt;=IFERROR(VLOOKUP(CONCATENATE(D49,YEAR(TODAY())-YEAR(C49),"smpallo"),_viitearvot!$I$2:$M$205,3,FALSE()),99),4,IF(AN49&lt;=IFERROR(VLOOKUP(CONCATENATE(D49,YEAR(TODAY())-YEAR(C49),"smpallo"),_viitearvot!$I$2:$M$205,4,FALSE()),99),3,IF(AN49&lt;=IFERROR(VLOOKUP(CONCATENATE(D49,YEAR(TODAY())-YEAR(C49),"smpallo"),_viitearvot!$I$2:$M$205,5,FALSE()),99),2,1)))))</f>
        <v/>
      </c>
      <c r="AP49" s="54" t="n"/>
      <c r="AQ49" s="54" t="n"/>
      <c r="AR49" s="54" t="n"/>
      <c r="AS49" s="55">
        <f>IFERROR(MAX(AP49,AQ49,AR49),"")</f>
        <v/>
      </c>
      <c r="AT49" s="56">
        <f>IF(OR(AS49="",D49=""),"",IF(AS49&gt;=IFERROR(VLOOKUP(CONCATENATE(D49,YEAR(TODAY())-YEAR(C49),"cmj"),_viitearvot!$I$2:$M$205,2,FALSE()),0),5,IF(AS49&gt;=IFERROR(VLOOKUP(CONCATENATE(D49,YEAR(TODAY())-YEAR(C49),"cmj"),_viitearvot!$I$2:$M$205,3,FALSE()),0),4,IF(AS49&gt;=IFERROR(VLOOKUP(CONCATENATE(D49,YEAR(TODAY())-YEAR(C49),"cmj"),_viitearvot!$I$2:$M$205,4,FALSE()),0),3,IF(AS49&gt;=IFERROR(VLOOKUP(CONCATENATE(D49,YEAR(TODAY())-YEAR(C49),"cmj"),_viitearvot!$I$2:$M$205,5,FALSE()),0),2,1)))))</f>
        <v/>
      </c>
      <c r="AU49" s="54" t="n"/>
      <c r="AV49" s="55">
        <f>IFERROR(MAX(AU49),"")</f>
        <v/>
      </c>
      <c r="AW49" s="56">
        <f>IF(OR(AV49="",D49=""),"",IF(AV49&gt;=IFERROR(VLOOKUP(CONCATENATE(D49,YEAR(TODAY())-YEAR(C49),"bronco"),_viitearvot!$I$2:$M$205,2,FALSE()),0),5,IF(AV49&gt;=IFERROR(VLOOKUP(CONCATENATE(D49,YEAR(TODAY())-YEAR(C49),"bronco"),_viitearvot!$I$2:$M$205,3,FALSE()),0),4,IF(AV49&gt;=IFERROR(VLOOKUP(CONCATENATE(D49,YEAR(TODAY())-YEAR(C49),"bronco"),_viitearvot!$I$2:$M$205,4,FALSE()),0),3,IF(AV49&gt;=IFERROR(VLOOKUP(CONCATENATE(D49,YEAR(TODAY())-YEAR(C49),"bronco"),_viitearvot!$I$2:$M$205,5,FALSE()),0),2,1)))))</f>
        <v/>
      </c>
      <c r="AX49" s="54" t="n"/>
      <c r="AY49" s="54" t="n"/>
      <c r="AZ49" s="55">
        <f>IFERROR(MIN(AX49,AY49),"")</f>
        <v/>
      </c>
      <c r="BA49" s="56">
        <f>IF(OR(AZ49="",D49=""),"",IF(AZ49&lt;=IFERROR(VLOOKUP(CONCATENATE(D49,YEAR(TODAY())-YEAR(C49),"pujottelu"),_viitearvot!$I$2:$M$205,2,FALSE()),99),5,IF(AZ49&lt;=IFERROR(VLOOKUP(CONCATENATE(D49,YEAR(TODAY())-YEAR(C49),"pujottelu"),_viitearvot!$I$2:$M$205,3,FALSE()),99),4,IF(AZ49&lt;=IFERROR(VLOOKUP(CONCATENATE(D49,YEAR(TODAY())-YEAR(C49),"pujottelu"),_viitearvot!$I$2:$M$205,4,FALSE()),99),3,IF(AZ49&lt;=IFERROR(VLOOKUP(CONCATENATE(D49,YEAR(TODAY())-YEAR(C49),"pujottelu"),_viitearvot!$I$2:$M$205,5,FALSE()),99),2,1)))))</f>
        <v/>
      </c>
      <c r="BB49" s="54" t="n"/>
      <c r="BC49" s="54" t="n"/>
      <c r="BD49" s="55">
        <f>IFERROR(MIN(BB49,BC49),"")</f>
        <v/>
      </c>
      <c r="BE49" s="56">
        <f>IF(OR(BD49="",D49=""),"",IF(BD49&lt;=IFERROR(VLOOKUP(CONCATENATE(D49,YEAR(TODAY())-YEAR(C49),"syotto"),_viitearvot!$I$2:$M$205,2,FALSE()),99),5,IF(BD49&lt;=IFERROR(VLOOKUP(CONCATENATE(D49,YEAR(TODAY())-YEAR(C49),"syotto"),_viitearvot!$I$2:$M$205,3,FALSE()),99),4,IF(BD49&lt;=IFERROR(VLOOKUP(CONCATENATE(D49,YEAR(TODAY())-YEAR(C49),"syotto"),_viitearvot!$I$2:$M$205,4,FALSE()),99),3,IF(BD49&lt;=IFERROR(VLOOKUP(CONCATENATE(D49,YEAR(TODAY())-YEAR(C49),"syotto"),_viitearvot!$I$2:$M$205,5,FALSE()),99),2,1)))))</f>
        <v/>
      </c>
      <c r="BF49" s="57" t="n"/>
      <c r="BG49" s="58">
        <f>IF(OR(BF49="",K49=""),"",(IF(D49="P",IF(K49&lt;=IFERROR(VLOOKUP(CONCATENATE("P",ROUND(BF49,0),"lin5m"),_viitearvot!$A:$H,4,FALSE()),99),5,IF(K49&lt;=IFERROR(VLOOKUP(CONCATENATE("P",ROUND(BF49,0),"lin5m"),_viitearvot!$A:$H,5,FALSE()),99),4,IF(K49&lt;=IFERROR(VLOOKUP(CONCATENATE("P",ROUND(BF49,0),"lin5m"),_viitearvot!$A:$H,6,FALSE()),99),3,IF(K49&lt;=IFERROR(VLOOKUP(CONCATENATE("P",ROUND(BF49,0),"lin5m"),_viitearvot!$A:$H,7,FALSE()),99),2,1)))),IF(K49&lt;=IFERROR(VLOOKUP(CONCATENATE("T",ROUND(BF49,0),"lin5m"),_viitearvot!$A:$H,4,FALSE()),99),5,IF(K49&lt;=IFERROR(VLOOKUP(CONCATENATE("T",ROUND(BF49,0),"lin5m"),_viitearvot!$A:$H,5,FALSE()),99),4,IF(K49&lt;=IFERROR(VLOOKUP(CONCATENATE("T",ROUND(BF49,0),"lin5m"),_viitearvot!$A:$H,6,FALSE()),99),3,IF(K49&lt;=IFERROR(VLOOKUP(CONCATENATE("T",ROUND(BF49,0),"lin5m"),_viitearvot!$A:$H,7,FALSE()),99),2,1))))))-L49)</f>
        <v/>
      </c>
      <c r="BH49" s="59" t="n"/>
    </row>
    <row r="50" ht="17" customHeight="1" s="22">
      <c r="A50" s="60" t="n"/>
      <c r="B50" s="60" t="n"/>
      <c r="C50" s="61" t="n"/>
      <c r="D50" s="60" t="n"/>
      <c r="E50" s="60" t="n"/>
      <c r="F50" s="60" t="n"/>
      <c r="G50" s="60" t="n"/>
      <c r="H50" s="62" t="n"/>
      <c r="I50" s="62" t="n"/>
      <c r="J50" s="62" t="n"/>
      <c r="K50" s="63">
        <f>IFERROR(MIN(H50,I50,J50),"")</f>
        <v/>
      </c>
      <c r="L50" s="64">
        <f>IF(OR(K50="",D50=""),"",IF(K50&lt;=IFERROR(VLOOKUP(CONCATENATE(D50,YEAR(TODAY())-YEAR(C50),"lin5m"),_viitearvot!$I$2:$M$205,2,FALSE()),99),5,IF(K50&lt;=IFERROR(VLOOKUP(CONCATENATE(D50,YEAR(TODAY())-YEAR(C50),"lin5m"),_viitearvot!$I$2:$M$205,3,FALSE()),99),4,IF(K50&lt;=IFERROR(VLOOKUP(CONCATENATE(D50,YEAR(TODAY())-YEAR(C50),"lin5m"),_viitearvot!$I$2:$M$205,4,FALSE()),99),3,IF(K50&lt;=IFERROR(VLOOKUP(CONCATENATE(D50,YEAR(TODAY())-YEAR(C50),"lin5m"),_viitearvot!$I$2:$M$205,5,FALSE()),99),2,1)))))</f>
        <v/>
      </c>
      <c r="M50" s="62" t="n"/>
      <c r="N50" s="62" t="n"/>
      <c r="O50" s="62" t="n"/>
      <c r="P50" s="63">
        <f>IFERROR(MIN(M50,N50,O50),"")</f>
        <v/>
      </c>
      <c r="Q50" s="64">
        <f>IF(OR(P50="",D50=""),"",IF(P50&lt;=IFERROR(VLOOKUP(CONCATENATE(D50,YEAR(TODAY())-YEAR(C50),"lin10m"),_viitearvot!$I$2:$M$205,2,FALSE()),99),5,IF(P50&lt;=IFERROR(VLOOKUP(CONCATENATE(D50,YEAR(TODAY())-YEAR(C50),"lin10m"),_viitearvot!$I$2:$M$205,3,FALSE()),99),4,IF(P50&lt;=IFERROR(VLOOKUP(CONCATENATE(D50,YEAR(TODAY())-YEAR(C50),"lin10m"),_viitearvot!$I$2:$M$205,4,FALSE()),99),3,IF(P50&lt;=IFERROR(VLOOKUP(CONCATENATE(D50,YEAR(TODAY())-YEAR(C50),"lin10m"),_viitearvot!$I$2:$M$205,5,FALSE()),99),2,1)))))</f>
        <v/>
      </c>
      <c r="R50" s="62" t="n"/>
      <c r="S50" s="62" t="n"/>
      <c r="T50" s="62" t="n"/>
      <c r="U50" s="63">
        <f>IFERROR(MIN(R50,S50,T50),"")</f>
        <v/>
      </c>
      <c r="V50" s="64">
        <f>IF(OR(U50="",D50=""),"",IF(U50&lt;=IFERROR(VLOOKUP(CONCATENATE(D50,YEAR(TODAY())-YEAR(C50),"lin20m"),_viitearvot!$I$2:$M$205,2,FALSE()),99),5,IF(U50&lt;=IFERROR(VLOOKUP(CONCATENATE(D50,YEAR(TODAY())-YEAR(C50),"lin20m"),_viitearvot!$I$2:$M$205,3,FALSE()),99),4,IF(U50&lt;=IFERROR(VLOOKUP(CONCATENATE(D50,YEAR(TODAY())-YEAR(C50),"lin20m"),_viitearvot!$I$2:$M$205,4,FALSE()),99),3,IF(U50&lt;=IFERROR(VLOOKUP(CONCATENATE(D50,YEAR(TODAY())-YEAR(C50),"lin20m"),_viitearvot!$I$2:$M$205,5,FALSE()),99),2,1)))))</f>
        <v/>
      </c>
      <c r="W50" s="62" t="n"/>
      <c r="X50" s="62" t="n"/>
      <c r="Y50" s="62" t="n"/>
      <c r="Z50" s="63">
        <f>IFERROR(MIN(W50,X50,Y50),"")</f>
        <v/>
      </c>
      <c r="AA50" s="64">
        <f>IF(OR(Z50="",D50=""),"",IF(Z50&lt;=IFERROR(VLOOKUP(CONCATENATE(D50,YEAR(TODAY())-YEAR(C50),"lin30m"),_viitearvot!$I$2:$M$205,2,FALSE()),99),5,IF(Z50&lt;=IFERROR(VLOOKUP(CONCATENATE(D50,YEAR(TODAY())-YEAR(C50),"lin30m"),_viitearvot!$I$2:$M$205,3,FALSE()),99),4,IF(Z50&lt;=IFERROR(VLOOKUP(CONCATENATE(D50,YEAR(TODAY())-YEAR(C50),"lin30m"),_viitearvot!$I$2:$M$205,4,FALSE()),99),3,IF(Z50&lt;=IFERROR(VLOOKUP(CONCATENATE(D50,YEAR(TODAY())-YEAR(C50),"lin30m"),_viitearvot!$I$2:$M$205,5,FALSE()),99),2,1)))))</f>
        <v/>
      </c>
      <c r="AB50" s="62" t="n"/>
      <c r="AC50" s="62" t="n"/>
      <c r="AD50" s="62" t="n"/>
      <c r="AE50" s="63">
        <f>IFERROR(MIN(AB50,AC50,AD50),"")</f>
        <v/>
      </c>
      <c r="AF50" s="64">
        <f>IF(OR(AE50="",D50=""),"",IF(AE50&lt;=IFERROR(VLOOKUP(CONCATENATE(D50,YEAR(TODAY())-YEAR(C50),"kasirata"),_viitearvot!$I$2:$M$205,2,FALSE()),99),5,IF(AE50&lt;=IFERROR(VLOOKUP(CONCATENATE(D50,YEAR(TODAY())-YEAR(C50),"kasirata"),_viitearvot!$I$2:$M$205,3,FALSE()),99),4,IF(AE50&lt;=IFERROR(VLOOKUP(CONCATENATE(D50,YEAR(TODAY())-YEAR(C50),"kasirata"),_viitearvot!$I$2:$M$205,4,FALSE()),99),3,IF(AE50&lt;=IFERROR(VLOOKUP(CONCATENATE(D50,YEAR(TODAY())-YEAR(C50),"kasirata"),_viitearvot!$I$2:$M$205,5,FALSE()),99),2,1)))))</f>
        <v/>
      </c>
      <c r="AG50" s="62" t="n"/>
      <c r="AH50" s="62" t="n"/>
      <c r="AI50" s="62" t="n"/>
      <c r="AJ50" s="63">
        <f>IFERROR(MIN(AG50,AH50,AI50),"")</f>
        <v/>
      </c>
      <c r="AK50" s="64">
        <f>IF(OR(AJ50="",D50=""),"",IF(AJ50&lt;=IFERROR(VLOOKUP(CONCATENATE(D50,YEAR(TODAY())-YEAR(C50),"smjuoksu"),_viitearvot!$I$2:$M$205,2,FALSE()),99),5,IF(AJ50&lt;=IFERROR(VLOOKUP(CONCATENATE(D50,YEAR(TODAY())-YEAR(C50),"smjuoksu"),_viitearvot!$I$2:$M$205,3,FALSE()),99),4,IF(AJ50&lt;=IFERROR(VLOOKUP(CONCATENATE(D50,YEAR(TODAY())-YEAR(C50),"smjuoksu"),_viitearvot!$I$2:$M$205,4,FALSE()),99),3,IF(AJ50&lt;=IFERROR(VLOOKUP(CONCATENATE(D50,YEAR(TODAY())-YEAR(C50),"smjuoksu"),_viitearvot!$I$2:$M$205,5,FALSE()),99),2,1)))))</f>
        <v/>
      </c>
      <c r="AL50" s="62" t="n"/>
      <c r="AM50" s="62" t="n"/>
      <c r="AN50" s="63">
        <f>IFERROR(MIN(AL50,AM50),"")</f>
        <v/>
      </c>
      <c r="AO50" s="64">
        <f>IF(OR(AN50="",D50=""),"",IF(AN50&lt;=IFERROR(VLOOKUP(CONCATENATE(D50,YEAR(TODAY())-YEAR(C50),"smpallo"),_viitearvot!$I$2:$M$205,2,FALSE()),99),5,IF(AN50&lt;=IFERROR(VLOOKUP(CONCATENATE(D50,YEAR(TODAY())-YEAR(C50),"smpallo"),_viitearvot!$I$2:$M$205,3,FALSE()),99),4,IF(AN50&lt;=IFERROR(VLOOKUP(CONCATENATE(D50,YEAR(TODAY())-YEAR(C50),"smpallo"),_viitearvot!$I$2:$M$205,4,FALSE()),99),3,IF(AN50&lt;=IFERROR(VLOOKUP(CONCATENATE(D50,YEAR(TODAY())-YEAR(C50),"smpallo"),_viitearvot!$I$2:$M$205,5,FALSE()),99),2,1)))))</f>
        <v/>
      </c>
      <c r="AP50" s="62" t="n"/>
      <c r="AQ50" s="62" t="n"/>
      <c r="AR50" s="62" t="n"/>
      <c r="AS50" s="63">
        <f>IFERROR(MAX(AP50,AQ50,AR50),"")</f>
        <v/>
      </c>
      <c r="AT50" s="64">
        <f>IF(OR(AS50="",D50=""),"",IF(AS50&gt;=IFERROR(VLOOKUP(CONCATENATE(D50,YEAR(TODAY())-YEAR(C50),"cmj"),_viitearvot!$I$2:$M$205,2,FALSE()),0),5,IF(AS50&gt;=IFERROR(VLOOKUP(CONCATENATE(D50,YEAR(TODAY())-YEAR(C50),"cmj"),_viitearvot!$I$2:$M$205,3,FALSE()),0),4,IF(AS50&gt;=IFERROR(VLOOKUP(CONCATENATE(D50,YEAR(TODAY())-YEAR(C50),"cmj"),_viitearvot!$I$2:$M$205,4,FALSE()),0),3,IF(AS50&gt;=IFERROR(VLOOKUP(CONCATENATE(D50,YEAR(TODAY())-YEAR(C50),"cmj"),_viitearvot!$I$2:$M$205,5,FALSE()),0),2,1)))))</f>
        <v/>
      </c>
      <c r="AU50" s="62" t="n"/>
      <c r="AV50" s="63">
        <f>IFERROR(MAX(AU50),"")</f>
        <v/>
      </c>
      <c r="AW50" s="64">
        <f>IF(OR(AV50="",D50=""),"",IF(AV50&gt;=IFERROR(VLOOKUP(CONCATENATE(D50,YEAR(TODAY())-YEAR(C50),"bronco"),_viitearvot!$I$2:$M$205,2,FALSE()),0),5,IF(AV50&gt;=IFERROR(VLOOKUP(CONCATENATE(D50,YEAR(TODAY())-YEAR(C50),"bronco"),_viitearvot!$I$2:$M$205,3,FALSE()),0),4,IF(AV50&gt;=IFERROR(VLOOKUP(CONCATENATE(D50,YEAR(TODAY())-YEAR(C50),"bronco"),_viitearvot!$I$2:$M$205,4,FALSE()),0),3,IF(AV50&gt;=IFERROR(VLOOKUP(CONCATENATE(D50,YEAR(TODAY())-YEAR(C50),"bronco"),_viitearvot!$I$2:$M$205,5,FALSE()),0),2,1)))))</f>
        <v/>
      </c>
      <c r="AX50" s="62" t="n"/>
      <c r="AY50" s="62" t="n"/>
      <c r="AZ50" s="63">
        <f>IFERROR(MIN(AX50,AY50),"")</f>
        <v/>
      </c>
      <c r="BA50" s="64">
        <f>IF(OR(AZ50="",D50=""),"",IF(AZ50&lt;=IFERROR(VLOOKUP(CONCATENATE(D50,YEAR(TODAY())-YEAR(C50),"pujottelu"),_viitearvot!$I$2:$M$205,2,FALSE()),99),5,IF(AZ50&lt;=IFERROR(VLOOKUP(CONCATENATE(D50,YEAR(TODAY())-YEAR(C50),"pujottelu"),_viitearvot!$I$2:$M$205,3,FALSE()),99),4,IF(AZ50&lt;=IFERROR(VLOOKUP(CONCATENATE(D50,YEAR(TODAY())-YEAR(C50),"pujottelu"),_viitearvot!$I$2:$M$205,4,FALSE()),99),3,IF(AZ50&lt;=IFERROR(VLOOKUP(CONCATENATE(D50,YEAR(TODAY())-YEAR(C50),"pujottelu"),_viitearvot!$I$2:$M$205,5,FALSE()),99),2,1)))))</f>
        <v/>
      </c>
      <c r="BB50" s="62" t="n"/>
      <c r="BC50" s="62" t="n"/>
      <c r="BD50" s="63">
        <f>IFERROR(MIN(BB50,BC50),"")</f>
        <v/>
      </c>
      <c r="BE50" s="64">
        <f>IF(OR(BD50="",D50=""),"",IF(BD50&lt;=IFERROR(VLOOKUP(CONCATENATE(D50,YEAR(TODAY())-YEAR(C50),"syotto"),_viitearvot!$I$2:$M$205,2,FALSE()),99),5,IF(BD50&lt;=IFERROR(VLOOKUP(CONCATENATE(D50,YEAR(TODAY())-YEAR(C50),"syotto"),_viitearvot!$I$2:$M$205,3,FALSE()),99),4,IF(BD50&lt;=IFERROR(VLOOKUP(CONCATENATE(D50,YEAR(TODAY())-YEAR(C50),"syotto"),_viitearvot!$I$2:$M$205,4,FALSE()),99),3,IF(BD50&lt;=IFERROR(VLOOKUP(CONCATENATE(D50,YEAR(TODAY())-YEAR(C50),"syotto"),_viitearvot!$I$2:$M$205,5,FALSE()),99),2,1)))))</f>
        <v/>
      </c>
      <c r="BF50" s="65" t="n"/>
      <c r="BG50" s="66">
        <f>IF(OR(BF50="",K50=""),"",(IF(D50="P",IF(K50&lt;=IFERROR(VLOOKUP(CONCATENATE("P",ROUND(BF50,0),"lin5m"),_viitearvot!$A:$H,4,FALSE()),99),5,IF(K50&lt;=IFERROR(VLOOKUP(CONCATENATE("P",ROUND(BF50,0),"lin5m"),_viitearvot!$A:$H,5,FALSE()),99),4,IF(K50&lt;=IFERROR(VLOOKUP(CONCATENATE("P",ROUND(BF50,0),"lin5m"),_viitearvot!$A:$H,6,FALSE()),99),3,IF(K50&lt;=IFERROR(VLOOKUP(CONCATENATE("P",ROUND(BF50,0),"lin5m"),_viitearvot!$A:$H,7,FALSE()),99),2,1)))),IF(K50&lt;=IFERROR(VLOOKUP(CONCATENATE("T",ROUND(BF50,0),"lin5m"),_viitearvot!$A:$H,4,FALSE()),99),5,IF(K50&lt;=IFERROR(VLOOKUP(CONCATENATE("T",ROUND(BF50,0),"lin5m"),_viitearvot!$A:$H,5,FALSE()),99),4,IF(K50&lt;=IFERROR(VLOOKUP(CONCATENATE("T",ROUND(BF50,0),"lin5m"),_viitearvot!$A:$H,6,FALSE()),99),3,IF(K50&lt;=IFERROR(VLOOKUP(CONCATENATE("T",ROUND(BF50,0),"lin5m"),_viitearvot!$A:$H,7,FALSE()),99),2,1))))))-L50)</f>
        <v/>
      </c>
      <c r="BH50" s="67" t="n"/>
    </row>
    <row r="51" ht="17" customHeight="1" s="22">
      <c r="A51" s="52" t="n"/>
      <c r="B51" s="52" t="n"/>
      <c r="C51" s="53" t="n"/>
      <c r="D51" s="52" t="n"/>
      <c r="E51" s="52" t="n"/>
      <c r="F51" s="52" t="n"/>
      <c r="G51" s="52" t="n"/>
      <c r="H51" s="54" t="n"/>
      <c r="I51" s="54" t="n"/>
      <c r="J51" s="54" t="n"/>
      <c r="K51" s="55">
        <f>IFERROR(MIN(H51,I51,J51),"")</f>
        <v/>
      </c>
      <c r="L51" s="56">
        <f>IF(OR(K51="",D51=""),"",IF(K51&lt;=IFERROR(VLOOKUP(CONCATENATE(D51,YEAR(TODAY())-YEAR(C51),"lin5m"),_viitearvot!$I$2:$M$205,2,FALSE()),99),5,IF(K51&lt;=IFERROR(VLOOKUP(CONCATENATE(D51,YEAR(TODAY())-YEAR(C51),"lin5m"),_viitearvot!$I$2:$M$205,3,FALSE()),99),4,IF(K51&lt;=IFERROR(VLOOKUP(CONCATENATE(D51,YEAR(TODAY())-YEAR(C51),"lin5m"),_viitearvot!$I$2:$M$205,4,FALSE()),99),3,IF(K51&lt;=IFERROR(VLOOKUP(CONCATENATE(D51,YEAR(TODAY())-YEAR(C51),"lin5m"),_viitearvot!$I$2:$M$205,5,FALSE()),99),2,1)))))</f>
        <v/>
      </c>
      <c r="M51" s="54" t="n"/>
      <c r="N51" s="54" t="n"/>
      <c r="O51" s="54" t="n"/>
      <c r="P51" s="55">
        <f>IFERROR(MIN(M51,N51,O51),"")</f>
        <v/>
      </c>
      <c r="Q51" s="56">
        <f>IF(OR(P51="",D51=""),"",IF(P51&lt;=IFERROR(VLOOKUP(CONCATENATE(D51,YEAR(TODAY())-YEAR(C51),"lin10m"),_viitearvot!$I$2:$M$205,2,FALSE()),99),5,IF(P51&lt;=IFERROR(VLOOKUP(CONCATENATE(D51,YEAR(TODAY())-YEAR(C51),"lin10m"),_viitearvot!$I$2:$M$205,3,FALSE()),99),4,IF(P51&lt;=IFERROR(VLOOKUP(CONCATENATE(D51,YEAR(TODAY())-YEAR(C51),"lin10m"),_viitearvot!$I$2:$M$205,4,FALSE()),99),3,IF(P51&lt;=IFERROR(VLOOKUP(CONCATENATE(D51,YEAR(TODAY())-YEAR(C51),"lin10m"),_viitearvot!$I$2:$M$205,5,FALSE()),99),2,1)))))</f>
        <v/>
      </c>
      <c r="R51" s="54" t="n"/>
      <c r="S51" s="54" t="n"/>
      <c r="T51" s="54" t="n"/>
      <c r="U51" s="55">
        <f>IFERROR(MIN(R51,S51,T51),"")</f>
        <v/>
      </c>
      <c r="V51" s="56">
        <f>IF(OR(U51="",D51=""),"",IF(U51&lt;=IFERROR(VLOOKUP(CONCATENATE(D51,YEAR(TODAY())-YEAR(C51),"lin20m"),_viitearvot!$I$2:$M$205,2,FALSE()),99),5,IF(U51&lt;=IFERROR(VLOOKUP(CONCATENATE(D51,YEAR(TODAY())-YEAR(C51),"lin20m"),_viitearvot!$I$2:$M$205,3,FALSE()),99),4,IF(U51&lt;=IFERROR(VLOOKUP(CONCATENATE(D51,YEAR(TODAY())-YEAR(C51),"lin20m"),_viitearvot!$I$2:$M$205,4,FALSE()),99),3,IF(U51&lt;=IFERROR(VLOOKUP(CONCATENATE(D51,YEAR(TODAY())-YEAR(C51),"lin20m"),_viitearvot!$I$2:$M$205,5,FALSE()),99),2,1)))))</f>
        <v/>
      </c>
      <c r="W51" s="54" t="n"/>
      <c r="X51" s="54" t="n"/>
      <c r="Y51" s="54" t="n"/>
      <c r="Z51" s="55">
        <f>IFERROR(MIN(W51,X51,Y51),"")</f>
        <v/>
      </c>
      <c r="AA51" s="56">
        <f>IF(OR(Z51="",D51=""),"",IF(Z51&lt;=IFERROR(VLOOKUP(CONCATENATE(D51,YEAR(TODAY())-YEAR(C51),"lin30m"),_viitearvot!$I$2:$M$205,2,FALSE()),99),5,IF(Z51&lt;=IFERROR(VLOOKUP(CONCATENATE(D51,YEAR(TODAY())-YEAR(C51),"lin30m"),_viitearvot!$I$2:$M$205,3,FALSE()),99),4,IF(Z51&lt;=IFERROR(VLOOKUP(CONCATENATE(D51,YEAR(TODAY())-YEAR(C51),"lin30m"),_viitearvot!$I$2:$M$205,4,FALSE()),99),3,IF(Z51&lt;=IFERROR(VLOOKUP(CONCATENATE(D51,YEAR(TODAY())-YEAR(C51),"lin30m"),_viitearvot!$I$2:$M$205,5,FALSE()),99),2,1)))))</f>
        <v/>
      </c>
      <c r="AB51" s="54" t="n"/>
      <c r="AC51" s="54" t="n"/>
      <c r="AD51" s="54" t="n"/>
      <c r="AE51" s="55">
        <f>IFERROR(MIN(AB51,AC51,AD51),"")</f>
        <v/>
      </c>
      <c r="AF51" s="56">
        <f>IF(OR(AE51="",D51=""),"",IF(AE51&lt;=IFERROR(VLOOKUP(CONCATENATE(D51,YEAR(TODAY())-YEAR(C51),"kasirata"),_viitearvot!$I$2:$M$205,2,FALSE()),99),5,IF(AE51&lt;=IFERROR(VLOOKUP(CONCATENATE(D51,YEAR(TODAY())-YEAR(C51),"kasirata"),_viitearvot!$I$2:$M$205,3,FALSE()),99),4,IF(AE51&lt;=IFERROR(VLOOKUP(CONCATENATE(D51,YEAR(TODAY())-YEAR(C51),"kasirata"),_viitearvot!$I$2:$M$205,4,FALSE()),99),3,IF(AE51&lt;=IFERROR(VLOOKUP(CONCATENATE(D51,YEAR(TODAY())-YEAR(C51),"kasirata"),_viitearvot!$I$2:$M$205,5,FALSE()),99),2,1)))))</f>
        <v/>
      </c>
      <c r="AG51" s="54" t="n"/>
      <c r="AH51" s="54" t="n"/>
      <c r="AI51" s="54" t="n"/>
      <c r="AJ51" s="55">
        <f>IFERROR(MIN(AG51,AH51,AI51),"")</f>
        <v/>
      </c>
      <c r="AK51" s="56">
        <f>IF(OR(AJ51="",D51=""),"",IF(AJ51&lt;=IFERROR(VLOOKUP(CONCATENATE(D51,YEAR(TODAY())-YEAR(C51),"smjuoksu"),_viitearvot!$I$2:$M$205,2,FALSE()),99),5,IF(AJ51&lt;=IFERROR(VLOOKUP(CONCATENATE(D51,YEAR(TODAY())-YEAR(C51),"smjuoksu"),_viitearvot!$I$2:$M$205,3,FALSE()),99),4,IF(AJ51&lt;=IFERROR(VLOOKUP(CONCATENATE(D51,YEAR(TODAY())-YEAR(C51),"smjuoksu"),_viitearvot!$I$2:$M$205,4,FALSE()),99),3,IF(AJ51&lt;=IFERROR(VLOOKUP(CONCATENATE(D51,YEAR(TODAY())-YEAR(C51),"smjuoksu"),_viitearvot!$I$2:$M$205,5,FALSE()),99),2,1)))))</f>
        <v/>
      </c>
      <c r="AL51" s="54" t="n"/>
      <c r="AM51" s="54" t="n"/>
      <c r="AN51" s="55">
        <f>IFERROR(MIN(AL51,AM51),"")</f>
        <v/>
      </c>
      <c r="AO51" s="56">
        <f>IF(OR(AN51="",D51=""),"",IF(AN51&lt;=IFERROR(VLOOKUP(CONCATENATE(D51,YEAR(TODAY())-YEAR(C51),"smpallo"),_viitearvot!$I$2:$M$205,2,FALSE()),99),5,IF(AN51&lt;=IFERROR(VLOOKUP(CONCATENATE(D51,YEAR(TODAY())-YEAR(C51),"smpallo"),_viitearvot!$I$2:$M$205,3,FALSE()),99),4,IF(AN51&lt;=IFERROR(VLOOKUP(CONCATENATE(D51,YEAR(TODAY())-YEAR(C51),"smpallo"),_viitearvot!$I$2:$M$205,4,FALSE()),99),3,IF(AN51&lt;=IFERROR(VLOOKUP(CONCATENATE(D51,YEAR(TODAY())-YEAR(C51),"smpallo"),_viitearvot!$I$2:$M$205,5,FALSE()),99),2,1)))))</f>
        <v/>
      </c>
      <c r="AP51" s="54" t="n"/>
      <c r="AQ51" s="54" t="n"/>
      <c r="AR51" s="54" t="n"/>
      <c r="AS51" s="55">
        <f>IFERROR(MAX(AP51,AQ51,AR51),"")</f>
        <v/>
      </c>
      <c r="AT51" s="56">
        <f>IF(OR(AS51="",D51=""),"",IF(AS51&gt;=IFERROR(VLOOKUP(CONCATENATE(D51,YEAR(TODAY())-YEAR(C51),"cmj"),_viitearvot!$I$2:$M$205,2,FALSE()),0),5,IF(AS51&gt;=IFERROR(VLOOKUP(CONCATENATE(D51,YEAR(TODAY())-YEAR(C51),"cmj"),_viitearvot!$I$2:$M$205,3,FALSE()),0),4,IF(AS51&gt;=IFERROR(VLOOKUP(CONCATENATE(D51,YEAR(TODAY())-YEAR(C51),"cmj"),_viitearvot!$I$2:$M$205,4,FALSE()),0),3,IF(AS51&gt;=IFERROR(VLOOKUP(CONCATENATE(D51,YEAR(TODAY())-YEAR(C51),"cmj"),_viitearvot!$I$2:$M$205,5,FALSE()),0),2,1)))))</f>
        <v/>
      </c>
      <c r="AU51" s="54" t="n"/>
      <c r="AV51" s="55">
        <f>IFERROR(MAX(AU51),"")</f>
        <v/>
      </c>
      <c r="AW51" s="56">
        <f>IF(OR(AV51="",D51=""),"",IF(AV51&gt;=IFERROR(VLOOKUP(CONCATENATE(D51,YEAR(TODAY())-YEAR(C51),"bronco"),_viitearvot!$I$2:$M$205,2,FALSE()),0),5,IF(AV51&gt;=IFERROR(VLOOKUP(CONCATENATE(D51,YEAR(TODAY())-YEAR(C51),"bronco"),_viitearvot!$I$2:$M$205,3,FALSE()),0),4,IF(AV51&gt;=IFERROR(VLOOKUP(CONCATENATE(D51,YEAR(TODAY())-YEAR(C51),"bronco"),_viitearvot!$I$2:$M$205,4,FALSE()),0),3,IF(AV51&gt;=IFERROR(VLOOKUP(CONCATENATE(D51,YEAR(TODAY())-YEAR(C51),"bronco"),_viitearvot!$I$2:$M$205,5,FALSE()),0),2,1)))))</f>
        <v/>
      </c>
      <c r="AX51" s="54" t="n"/>
      <c r="AY51" s="54" t="n"/>
      <c r="AZ51" s="55">
        <f>IFERROR(MIN(AX51,AY51),"")</f>
        <v/>
      </c>
      <c r="BA51" s="56">
        <f>IF(OR(AZ51="",D51=""),"",IF(AZ51&lt;=IFERROR(VLOOKUP(CONCATENATE(D51,YEAR(TODAY())-YEAR(C51),"pujottelu"),_viitearvot!$I$2:$M$205,2,FALSE()),99),5,IF(AZ51&lt;=IFERROR(VLOOKUP(CONCATENATE(D51,YEAR(TODAY())-YEAR(C51),"pujottelu"),_viitearvot!$I$2:$M$205,3,FALSE()),99),4,IF(AZ51&lt;=IFERROR(VLOOKUP(CONCATENATE(D51,YEAR(TODAY())-YEAR(C51),"pujottelu"),_viitearvot!$I$2:$M$205,4,FALSE()),99),3,IF(AZ51&lt;=IFERROR(VLOOKUP(CONCATENATE(D51,YEAR(TODAY())-YEAR(C51),"pujottelu"),_viitearvot!$I$2:$M$205,5,FALSE()),99),2,1)))))</f>
        <v/>
      </c>
      <c r="BB51" s="54" t="n"/>
      <c r="BC51" s="54" t="n"/>
      <c r="BD51" s="55">
        <f>IFERROR(MIN(BB51,BC51),"")</f>
        <v/>
      </c>
      <c r="BE51" s="56">
        <f>IF(OR(BD51="",D51=""),"",IF(BD51&lt;=IFERROR(VLOOKUP(CONCATENATE(D51,YEAR(TODAY())-YEAR(C51),"syotto"),_viitearvot!$I$2:$M$205,2,FALSE()),99),5,IF(BD51&lt;=IFERROR(VLOOKUP(CONCATENATE(D51,YEAR(TODAY())-YEAR(C51),"syotto"),_viitearvot!$I$2:$M$205,3,FALSE()),99),4,IF(BD51&lt;=IFERROR(VLOOKUP(CONCATENATE(D51,YEAR(TODAY())-YEAR(C51),"syotto"),_viitearvot!$I$2:$M$205,4,FALSE()),99),3,IF(BD51&lt;=IFERROR(VLOOKUP(CONCATENATE(D51,YEAR(TODAY())-YEAR(C51),"syotto"),_viitearvot!$I$2:$M$205,5,FALSE()),99),2,1)))))</f>
        <v/>
      </c>
      <c r="BF51" s="57" t="n"/>
      <c r="BG51" s="58">
        <f>IF(OR(BF51="",K51=""),"",(IF(D51="P",IF(K51&lt;=IFERROR(VLOOKUP(CONCATENATE("P",ROUND(BF51,0),"lin5m"),_viitearvot!$A:$H,4,FALSE()),99),5,IF(K51&lt;=IFERROR(VLOOKUP(CONCATENATE("P",ROUND(BF51,0),"lin5m"),_viitearvot!$A:$H,5,FALSE()),99),4,IF(K51&lt;=IFERROR(VLOOKUP(CONCATENATE("P",ROUND(BF51,0),"lin5m"),_viitearvot!$A:$H,6,FALSE()),99),3,IF(K51&lt;=IFERROR(VLOOKUP(CONCATENATE("P",ROUND(BF51,0),"lin5m"),_viitearvot!$A:$H,7,FALSE()),99),2,1)))),IF(K51&lt;=IFERROR(VLOOKUP(CONCATENATE("T",ROUND(BF51,0),"lin5m"),_viitearvot!$A:$H,4,FALSE()),99),5,IF(K51&lt;=IFERROR(VLOOKUP(CONCATENATE("T",ROUND(BF51,0),"lin5m"),_viitearvot!$A:$H,5,FALSE()),99),4,IF(K51&lt;=IFERROR(VLOOKUP(CONCATENATE("T",ROUND(BF51,0),"lin5m"),_viitearvot!$A:$H,6,FALSE()),99),3,IF(K51&lt;=IFERROR(VLOOKUP(CONCATENATE("T",ROUND(BF51,0),"lin5m"),_viitearvot!$A:$H,7,FALSE()),99),2,1))))))-L51)</f>
        <v/>
      </c>
      <c r="BH51" s="59" t="n"/>
    </row>
    <row r="52" ht="17" customHeight="1" s="22">
      <c r="A52" s="60" t="n"/>
      <c r="B52" s="60" t="n"/>
      <c r="C52" s="61" t="n"/>
      <c r="D52" s="60" t="n"/>
      <c r="E52" s="60" t="n"/>
      <c r="F52" s="60" t="n"/>
      <c r="G52" s="60" t="n"/>
      <c r="H52" s="62" t="n"/>
      <c r="I52" s="62" t="n"/>
      <c r="J52" s="62" t="n"/>
      <c r="K52" s="63">
        <f>IFERROR(MIN(H52,I52,J52),"")</f>
        <v/>
      </c>
      <c r="L52" s="64">
        <f>IF(OR(K52="",D52=""),"",IF(K52&lt;=IFERROR(VLOOKUP(CONCATENATE(D52,YEAR(TODAY())-YEAR(C52),"lin5m"),_viitearvot!$I$2:$M$205,2,FALSE()),99),5,IF(K52&lt;=IFERROR(VLOOKUP(CONCATENATE(D52,YEAR(TODAY())-YEAR(C52),"lin5m"),_viitearvot!$I$2:$M$205,3,FALSE()),99),4,IF(K52&lt;=IFERROR(VLOOKUP(CONCATENATE(D52,YEAR(TODAY())-YEAR(C52),"lin5m"),_viitearvot!$I$2:$M$205,4,FALSE()),99),3,IF(K52&lt;=IFERROR(VLOOKUP(CONCATENATE(D52,YEAR(TODAY())-YEAR(C52),"lin5m"),_viitearvot!$I$2:$M$205,5,FALSE()),99),2,1)))))</f>
        <v/>
      </c>
      <c r="M52" s="62" t="n"/>
      <c r="N52" s="62" t="n"/>
      <c r="O52" s="62" t="n"/>
      <c r="P52" s="63">
        <f>IFERROR(MIN(M52,N52,O52),"")</f>
        <v/>
      </c>
      <c r="Q52" s="64">
        <f>IF(OR(P52="",D52=""),"",IF(P52&lt;=IFERROR(VLOOKUP(CONCATENATE(D52,YEAR(TODAY())-YEAR(C52),"lin10m"),_viitearvot!$I$2:$M$205,2,FALSE()),99),5,IF(P52&lt;=IFERROR(VLOOKUP(CONCATENATE(D52,YEAR(TODAY())-YEAR(C52),"lin10m"),_viitearvot!$I$2:$M$205,3,FALSE()),99),4,IF(P52&lt;=IFERROR(VLOOKUP(CONCATENATE(D52,YEAR(TODAY())-YEAR(C52),"lin10m"),_viitearvot!$I$2:$M$205,4,FALSE()),99),3,IF(P52&lt;=IFERROR(VLOOKUP(CONCATENATE(D52,YEAR(TODAY())-YEAR(C52),"lin10m"),_viitearvot!$I$2:$M$205,5,FALSE()),99),2,1)))))</f>
        <v/>
      </c>
      <c r="R52" s="62" t="n"/>
      <c r="S52" s="62" t="n"/>
      <c r="T52" s="62" t="n"/>
      <c r="U52" s="63">
        <f>IFERROR(MIN(R52,S52,T52),"")</f>
        <v/>
      </c>
      <c r="V52" s="64">
        <f>IF(OR(U52="",D52=""),"",IF(U52&lt;=IFERROR(VLOOKUP(CONCATENATE(D52,YEAR(TODAY())-YEAR(C52),"lin20m"),_viitearvot!$I$2:$M$205,2,FALSE()),99),5,IF(U52&lt;=IFERROR(VLOOKUP(CONCATENATE(D52,YEAR(TODAY())-YEAR(C52),"lin20m"),_viitearvot!$I$2:$M$205,3,FALSE()),99),4,IF(U52&lt;=IFERROR(VLOOKUP(CONCATENATE(D52,YEAR(TODAY())-YEAR(C52),"lin20m"),_viitearvot!$I$2:$M$205,4,FALSE()),99),3,IF(U52&lt;=IFERROR(VLOOKUP(CONCATENATE(D52,YEAR(TODAY())-YEAR(C52),"lin20m"),_viitearvot!$I$2:$M$205,5,FALSE()),99),2,1)))))</f>
        <v/>
      </c>
      <c r="W52" s="62" t="n"/>
      <c r="X52" s="62" t="n"/>
      <c r="Y52" s="62" t="n"/>
      <c r="Z52" s="63">
        <f>IFERROR(MIN(W52,X52,Y52),"")</f>
        <v/>
      </c>
      <c r="AA52" s="64">
        <f>IF(OR(Z52="",D52=""),"",IF(Z52&lt;=IFERROR(VLOOKUP(CONCATENATE(D52,YEAR(TODAY())-YEAR(C52),"lin30m"),_viitearvot!$I$2:$M$205,2,FALSE()),99),5,IF(Z52&lt;=IFERROR(VLOOKUP(CONCATENATE(D52,YEAR(TODAY())-YEAR(C52),"lin30m"),_viitearvot!$I$2:$M$205,3,FALSE()),99),4,IF(Z52&lt;=IFERROR(VLOOKUP(CONCATENATE(D52,YEAR(TODAY())-YEAR(C52),"lin30m"),_viitearvot!$I$2:$M$205,4,FALSE()),99),3,IF(Z52&lt;=IFERROR(VLOOKUP(CONCATENATE(D52,YEAR(TODAY())-YEAR(C52),"lin30m"),_viitearvot!$I$2:$M$205,5,FALSE()),99),2,1)))))</f>
        <v/>
      </c>
      <c r="AB52" s="62" t="n"/>
      <c r="AC52" s="62" t="n"/>
      <c r="AD52" s="62" t="n"/>
      <c r="AE52" s="63">
        <f>IFERROR(MIN(AB52,AC52,AD52),"")</f>
        <v/>
      </c>
      <c r="AF52" s="64">
        <f>IF(OR(AE52="",D52=""),"",IF(AE52&lt;=IFERROR(VLOOKUP(CONCATENATE(D52,YEAR(TODAY())-YEAR(C52),"kasirata"),_viitearvot!$I$2:$M$205,2,FALSE()),99),5,IF(AE52&lt;=IFERROR(VLOOKUP(CONCATENATE(D52,YEAR(TODAY())-YEAR(C52),"kasirata"),_viitearvot!$I$2:$M$205,3,FALSE()),99),4,IF(AE52&lt;=IFERROR(VLOOKUP(CONCATENATE(D52,YEAR(TODAY())-YEAR(C52),"kasirata"),_viitearvot!$I$2:$M$205,4,FALSE()),99),3,IF(AE52&lt;=IFERROR(VLOOKUP(CONCATENATE(D52,YEAR(TODAY())-YEAR(C52),"kasirata"),_viitearvot!$I$2:$M$205,5,FALSE()),99),2,1)))))</f>
        <v/>
      </c>
      <c r="AG52" s="62" t="n"/>
      <c r="AH52" s="62" t="n"/>
      <c r="AI52" s="62" t="n"/>
      <c r="AJ52" s="63">
        <f>IFERROR(MIN(AG52,AH52,AI52),"")</f>
        <v/>
      </c>
      <c r="AK52" s="64">
        <f>IF(OR(AJ52="",D52=""),"",IF(AJ52&lt;=IFERROR(VLOOKUP(CONCATENATE(D52,YEAR(TODAY())-YEAR(C52),"smjuoksu"),_viitearvot!$I$2:$M$205,2,FALSE()),99),5,IF(AJ52&lt;=IFERROR(VLOOKUP(CONCATENATE(D52,YEAR(TODAY())-YEAR(C52),"smjuoksu"),_viitearvot!$I$2:$M$205,3,FALSE()),99),4,IF(AJ52&lt;=IFERROR(VLOOKUP(CONCATENATE(D52,YEAR(TODAY())-YEAR(C52),"smjuoksu"),_viitearvot!$I$2:$M$205,4,FALSE()),99),3,IF(AJ52&lt;=IFERROR(VLOOKUP(CONCATENATE(D52,YEAR(TODAY())-YEAR(C52),"smjuoksu"),_viitearvot!$I$2:$M$205,5,FALSE()),99),2,1)))))</f>
        <v/>
      </c>
      <c r="AL52" s="62" t="n"/>
      <c r="AM52" s="62" t="n"/>
      <c r="AN52" s="63">
        <f>IFERROR(MIN(AL52,AM52),"")</f>
        <v/>
      </c>
      <c r="AO52" s="64">
        <f>IF(OR(AN52="",D52=""),"",IF(AN52&lt;=IFERROR(VLOOKUP(CONCATENATE(D52,YEAR(TODAY())-YEAR(C52),"smpallo"),_viitearvot!$I$2:$M$205,2,FALSE()),99),5,IF(AN52&lt;=IFERROR(VLOOKUP(CONCATENATE(D52,YEAR(TODAY())-YEAR(C52),"smpallo"),_viitearvot!$I$2:$M$205,3,FALSE()),99),4,IF(AN52&lt;=IFERROR(VLOOKUP(CONCATENATE(D52,YEAR(TODAY())-YEAR(C52),"smpallo"),_viitearvot!$I$2:$M$205,4,FALSE()),99),3,IF(AN52&lt;=IFERROR(VLOOKUP(CONCATENATE(D52,YEAR(TODAY())-YEAR(C52),"smpallo"),_viitearvot!$I$2:$M$205,5,FALSE()),99),2,1)))))</f>
        <v/>
      </c>
      <c r="AP52" s="62" t="n"/>
      <c r="AQ52" s="62" t="n"/>
      <c r="AR52" s="62" t="n"/>
      <c r="AS52" s="63">
        <f>IFERROR(MAX(AP52,AQ52,AR52),"")</f>
        <v/>
      </c>
      <c r="AT52" s="64">
        <f>IF(OR(AS52="",D52=""),"",IF(AS52&gt;=IFERROR(VLOOKUP(CONCATENATE(D52,YEAR(TODAY())-YEAR(C52),"cmj"),_viitearvot!$I$2:$M$205,2,FALSE()),0),5,IF(AS52&gt;=IFERROR(VLOOKUP(CONCATENATE(D52,YEAR(TODAY())-YEAR(C52),"cmj"),_viitearvot!$I$2:$M$205,3,FALSE()),0),4,IF(AS52&gt;=IFERROR(VLOOKUP(CONCATENATE(D52,YEAR(TODAY())-YEAR(C52),"cmj"),_viitearvot!$I$2:$M$205,4,FALSE()),0),3,IF(AS52&gt;=IFERROR(VLOOKUP(CONCATENATE(D52,YEAR(TODAY())-YEAR(C52),"cmj"),_viitearvot!$I$2:$M$205,5,FALSE()),0),2,1)))))</f>
        <v/>
      </c>
      <c r="AU52" s="62" t="n"/>
      <c r="AV52" s="63">
        <f>IFERROR(MAX(AU52),"")</f>
        <v/>
      </c>
      <c r="AW52" s="64">
        <f>IF(OR(AV52="",D52=""),"",IF(AV52&gt;=IFERROR(VLOOKUP(CONCATENATE(D52,YEAR(TODAY())-YEAR(C52),"bronco"),_viitearvot!$I$2:$M$205,2,FALSE()),0),5,IF(AV52&gt;=IFERROR(VLOOKUP(CONCATENATE(D52,YEAR(TODAY())-YEAR(C52),"bronco"),_viitearvot!$I$2:$M$205,3,FALSE()),0),4,IF(AV52&gt;=IFERROR(VLOOKUP(CONCATENATE(D52,YEAR(TODAY())-YEAR(C52),"bronco"),_viitearvot!$I$2:$M$205,4,FALSE()),0),3,IF(AV52&gt;=IFERROR(VLOOKUP(CONCATENATE(D52,YEAR(TODAY())-YEAR(C52),"bronco"),_viitearvot!$I$2:$M$205,5,FALSE()),0),2,1)))))</f>
        <v/>
      </c>
      <c r="AX52" s="62" t="n"/>
      <c r="AY52" s="62" t="n"/>
      <c r="AZ52" s="63">
        <f>IFERROR(MIN(AX52,AY52),"")</f>
        <v/>
      </c>
      <c r="BA52" s="64">
        <f>IF(OR(AZ52="",D52=""),"",IF(AZ52&lt;=IFERROR(VLOOKUP(CONCATENATE(D52,YEAR(TODAY())-YEAR(C52),"pujottelu"),_viitearvot!$I$2:$M$205,2,FALSE()),99),5,IF(AZ52&lt;=IFERROR(VLOOKUP(CONCATENATE(D52,YEAR(TODAY())-YEAR(C52),"pujottelu"),_viitearvot!$I$2:$M$205,3,FALSE()),99),4,IF(AZ52&lt;=IFERROR(VLOOKUP(CONCATENATE(D52,YEAR(TODAY())-YEAR(C52),"pujottelu"),_viitearvot!$I$2:$M$205,4,FALSE()),99),3,IF(AZ52&lt;=IFERROR(VLOOKUP(CONCATENATE(D52,YEAR(TODAY())-YEAR(C52),"pujottelu"),_viitearvot!$I$2:$M$205,5,FALSE()),99),2,1)))))</f>
        <v/>
      </c>
      <c r="BB52" s="62" t="n"/>
      <c r="BC52" s="62" t="n"/>
      <c r="BD52" s="63">
        <f>IFERROR(MIN(BB52,BC52),"")</f>
        <v/>
      </c>
      <c r="BE52" s="64">
        <f>IF(OR(BD52="",D52=""),"",IF(BD52&lt;=IFERROR(VLOOKUP(CONCATENATE(D52,YEAR(TODAY())-YEAR(C52),"syotto"),_viitearvot!$I$2:$M$205,2,FALSE()),99),5,IF(BD52&lt;=IFERROR(VLOOKUP(CONCATENATE(D52,YEAR(TODAY())-YEAR(C52),"syotto"),_viitearvot!$I$2:$M$205,3,FALSE()),99),4,IF(BD52&lt;=IFERROR(VLOOKUP(CONCATENATE(D52,YEAR(TODAY())-YEAR(C52),"syotto"),_viitearvot!$I$2:$M$205,4,FALSE()),99),3,IF(BD52&lt;=IFERROR(VLOOKUP(CONCATENATE(D52,YEAR(TODAY())-YEAR(C52),"syotto"),_viitearvot!$I$2:$M$205,5,FALSE()),99),2,1)))))</f>
        <v/>
      </c>
      <c r="BF52" s="65" t="n"/>
      <c r="BG52" s="66">
        <f>IF(OR(BF52="",K52=""),"",(IF(D52="P",IF(K52&lt;=IFERROR(VLOOKUP(CONCATENATE("P",ROUND(BF52,0),"lin5m"),_viitearvot!$A:$H,4,FALSE()),99),5,IF(K52&lt;=IFERROR(VLOOKUP(CONCATENATE("P",ROUND(BF52,0),"lin5m"),_viitearvot!$A:$H,5,FALSE()),99),4,IF(K52&lt;=IFERROR(VLOOKUP(CONCATENATE("P",ROUND(BF52,0),"lin5m"),_viitearvot!$A:$H,6,FALSE()),99),3,IF(K52&lt;=IFERROR(VLOOKUP(CONCATENATE("P",ROUND(BF52,0),"lin5m"),_viitearvot!$A:$H,7,FALSE()),99),2,1)))),IF(K52&lt;=IFERROR(VLOOKUP(CONCATENATE("T",ROUND(BF52,0),"lin5m"),_viitearvot!$A:$H,4,FALSE()),99),5,IF(K52&lt;=IFERROR(VLOOKUP(CONCATENATE("T",ROUND(BF52,0),"lin5m"),_viitearvot!$A:$H,5,FALSE()),99),4,IF(K52&lt;=IFERROR(VLOOKUP(CONCATENATE("T",ROUND(BF52,0),"lin5m"),_viitearvot!$A:$H,6,FALSE()),99),3,IF(K52&lt;=IFERROR(VLOOKUP(CONCATENATE("T",ROUND(BF52,0),"lin5m"),_viitearvot!$A:$H,7,FALSE()),99),2,1))))))-L52)</f>
        <v/>
      </c>
      <c r="BH52" s="67" t="n"/>
    </row>
    <row r="53" ht="17" customHeight="1" s="22">
      <c r="A53" s="52" t="n"/>
      <c r="B53" s="52" t="n"/>
      <c r="C53" s="53" t="n"/>
      <c r="D53" s="52" t="n"/>
      <c r="E53" s="52" t="n"/>
      <c r="F53" s="52" t="n"/>
      <c r="G53" s="52" t="n"/>
      <c r="H53" s="54" t="n"/>
      <c r="I53" s="54" t="n"/>
      <c r="J53" s="54" t="n"/>
      <c r="K53" s="55">
        <f>IFERROR(MIN(H53,I53,J53),"")</f>
        <v/>
      </c>
      <c r="L53" s="56">
        <f>IF(OR(K53="",D53=""),"",IF(K53&lt;=IFERROR(VLOOKUP(CONCATENATE(D53,YEAR(TODAY())-YEAR(C53),"lin5m"),_viitearvot!$I$2:$M$205,2,FALSE()),99),5,IF(K53&lt;=IFERROR(VLOOKUP(CONCATENATE(D53,YEAR(TODAY())-YEAR(C53),"lin5m"),_viitearvot!$I$2:$M$205,3,FALSE()),99),4,IF(K53&lt;=IFERROR(VLOOKUP(CONCATENATE(D53,YEAR(TODAY())-YEAR(C53),"lin5m"),_viitearvot!$I$2:$M$205,4,FALSE()),99),3,IF(K53&lt;=IFERROR(VLOOKUP(CONCATENATE(D53,YEAR(TODAY())-YEAR(C53),"lin5m"),_viitearvot!$I$2:$M$205,5,FALSE()),99),2,1)))))</f>
        <v/>
      </c>
      <c r="M53" s="54" t="n"/>
      <c r="N53" s="54" t="n"/>
      <c r="O53" s="54" t="n"/>
      <c r="P53" s="55">
        <f>IFERROR(MIN(M53,N53,O53),"")</f>
        <v/>
      </c>
      <c r="Q53" s="56">
        <f>IF(OR(P53="",D53=""),"",IF(P53&lt;=IFERROR(VLOOKUP(CONCATENATE(D53,YEAR(TODAY())-YEAR(C53),"lin10m"),_viitearvot!$I$2:$M$205,2,FALSE()),99),5,IF(P53&lt;=IFERROR(VLOOKUP(CONCATENATE(D53,YEAR(TODAY())-YEAR(C53),"lin10m"),_viitearvot!$I$2:$M$205,3,FALSE()),99),4,IF(P53&lt;=IFERROR(VLOOKUP(CONCATENATE(D53,YEAR(TODAY())-YEAR(C53),"lin10m"),_viitearvot!$I$2:$M$205,4,FALSE()),99),3,IF(P53&lt;=IFERROR(VLOOKUP(CONCATENATE(D53,YEAR(TODAY())-YEAR(C53),"lin10m"),_viitearvot!$I$2:$M$205,5,FALSE()),99),2,1)))))</f>
        <v/>
      </c>
      <c r="R53" s="54" t="n"/>
      <c r="S53" s="54" t="n"/>
      <c r="T53" s="54" t="n"/>
      <c r="U53" s="55">
        <f>IFERROR(MIN(R53,S53,T53),"")</f>
        <v/>
      </c>
      <c r="V53" s="56">
        <f>IF(OR(U53="",D53=""),"",IF(U53&lt;=IFERROR(VLOOKUP(CONCATENATE(D53,YEAR(TODAY())-YEAR(C53),"lin20m"),_viitearvot!$I$2:$M$205,2,FALSE()),99),5,IF(U53&lt;=IFERROR(VLOOKUP(CONCATENATE(D53,YEAR(TODAY())-YEAR(C53),"lin20m"),_viitearvot!$I$2:$M$205,3,FALSE()),99),4,IF(U53&lt;=IFERROR(VLOOKUP(CONCATENATE(D53,YEAR(TODAY())-YEAR(C53),"lin20m"),_viitearvot!$I$2:$M$205,4,FALSE()),99),3,IF(U53&lt;=IFERROR(VLOOKUP(CONCATENATE(D53,YEAR(TODAY())-YEAR(C53),"lin20m"),_viitearvot!$I$2:$M$205,5,FALSE()),99),2,1)))))</f>
        <v/>
      </c>
      <c r="W53" s="54" t="n"/>
      <c r="X53" s="54" t="n"/>
      <c r="Y53" s="54" t="n"/>
      <c r="Z53" s="55">
        <f>IFERROR(MIN(W53,X53,Y53),"")</f>
        <v/>
      </c>
      <c r="AA53" s="56">
        <f>IF(OR(Z53="",D53=""),"",IF(Z53&lt;=IFERROR(VLOOKUP(CONCATENATE(D53,YEAR(TODAY())-YEAR(C53),"lin30m"),_viitearvot!$I$2:$M$205,2,FALSE()),99),5,IF(Z53&lt;=IFERROR(VLOOKUP(CONCATENATE(D53,YEAR(TODAY())-YEAR(C53),"lin30m"),_viitearvot!$I$2:$M$205,3,FALSE()),99),4,IF(Z53&lt;=IFERROR(VLOOKUP(CONCATENATE(D53,YEAR(TODAY())-YEAR(C53),"lin30m"),_viitearvot!$I$2:$M$205,4,FALSE()),99),3,IF(Z53&lt;=IFERROR(VLOOKUP(CONCATENATE(D53,YEAR(TODAY())-YEAR(C53),"lin30m"),_viitearvot!$I$2:$M$205,5,FALSE()),99),2,1)))))</f>
        <v/>
      </c>
      <c r="AB53" s="54" t="n"/>
      <c r="AC53" s="54" t="n"/>
      <c r="AD53" s="54" t="n"/>
      <c r="AE53" s="55">
        <f>IFERROR(MIN(AB53,AC53,AD53),"")</f>
        <v/>
      </c>
      <c r="AF53" s="56">
        <f>IF(OR(AE53="",D53=""),"",IF(AE53&lt;=IFERROR(VLOOKUP(CONCATENATE(D53,YEAR(TODAY())-YEAR(C53),"kasirata"),_viitearvot!$I$2:$M$205,2,FALSE()),99),5,IF(AE53&lt;=IFERROR(VLOOKUP(CONCATENATE(D53,YEAR(TODAY())-YEAR(C53),"kasirata"),_viitearvot!$I$2:$M$205,3,FALSE()),99),4,IF(AE53&lt;=IFERROR(VLOOKUP(CONCATENATE(D53,YEAR(TODAY())-YEAR(C53),"kasirata"),_viitearvot!$I$2:$M$205,4,FALSE()),99),3,IF(AE53&lt;=IFERROR(VLOOKUP(CONCATENATE(D53,YEAR(TODAY())-YEAR(C53),"kasirata"),_viitearvot!$I$2:$M$205,5,FALSE()),99),2,1)))))</f>
        <v/>
      </c>
      <c r="AG53" s="54" t="n"/>
      <c r="AH53" s="54" t="n"/>
      <c r="AI53" s="54" t="n"/>
      <c r="AJ53" s="55">
        <f>IFERROR(MIN(AG53,AH53,AI53),"")</f>
        <v/>
      </c>
      <c r="AK53" s="56">
        <f>IF(OR(AJ53="",D53=""),"",IF(AJ53&lt;=IFERROR(VLOOKUP(CONCATENATE(D53,YEAR(TODAY())-YEAR(C53),"smjuoksu"),_viitearvot!$I$2:$M$205,2,FALSE()),99),5,IF(AJ53&lt;=IFERROR(VLOOKUP(CONCATENATE(D53,YEAR(TODAY())-YEAR(C53),"smjuoksu"),_viitearvot!$I$2:$M$205,3,FALSE()),99),4,IF(AJ53&lt;=IFERROR(VLOOKUP(CONCATENATE(D53,YEAR(TODAY())-YEAR(C53),"smjuoksu"),_viitearvot!$I$2:$M$205,4,FALSE()),99),3,IF(AJ53&lt;=IFERROR(VLOOKUP(CONCATENATE(D53,YEAR(TODAY())-YEAR(C53),"smjuoksu"),_viitearvot!$I$2:$M$205,5,FALSE()),99),2,1)))))</f>
        <v/>
      </c>
      <c r="AL53" s="54" t="n"/>
      <c r="AM53" s="54" t="n"/>
      <c r="AN53" s="55">
        <f>IFERROR(MIN(AL53,AM53),"")</f>
        <v/>
      </c>
      <c r="AO53" s="56">
        <f>IF(OR(AN53="",D53=""),"",IF(AN53&lt;=IFERROR(VLOOKUP(CONCATENATE(D53,YEAR(TODAY())-YEAR(C53),"smpallo"),_viitearvot!$I$2:$M$205,2,FALSE()),99),5,IF(AN53&lt;=IFERROR(VLOOKUP(CONCATENATE(D53,YEAR(TODAY())-YEAR(C53),"smpallo"),_viitearvot!$I$2:$M$205,3,FALSE()),99),4,IF(AN53&lt;=IFERROR(VLOOKUP(CONCATENATE(D53,YEAR(TODAY())-YEAR(C53),"smpallo"),_viitearvot!$I$2:$M$205,4,FALSE()),99),3,IF(AN53&lt;=IFERROR(VLOOKUP(CONCATENATE(D53,YEAR(TODAY())-YEAR(C53),"smpallo"),_viitearvot!$I$2:$M$205,5,FALSE()),99),2,1)))))</f>
        <v/>
      </c>
      <c r="AP53" s="54" t="n"/>
      <c r="AQ53" s="54" t="n"/>
      <c r="AR53" s="54" t="n"/>
      <c r="AS53" s="55">
        <f>IFERROR(MAX(AP53,AQ53,AR53),"")</f>
        <v/>
      </c>
      <c r="AT53" s="56">
        <f>IF(OR(AS53="",D53=""),"",IF(AS53&gt;=IFERROR(VLOOKUP(CONCATENATE(D53,YEAR(TODAY())-YEAR(C53),"cmj"),_viitearvot!$I$2:$M$205,2,FALSE()),0),5,IF(AS53&gt;=IFERROR(VLOOKUP(CONCATENATE(D53,YEAR(TODAY())-YEAR(C53),"cmj"),_viitearvot!$I$2:$M$205,3,FALSE()),0),4,IF(AS53&gt;=IFERROR(VLOOKUP(CONCATENATE(D53,YEAR(TODAY())-YEAR(C53),"cmj"),_viitearvot!$I$2:$M$205,4,FALSE()),0),3,IF(AS53&gt;=IFERROR(VLOOKUP(CONCATENATE(D53,YEAR(TODAY())-YEAR(C53),"cmj"),_viitearvot!$I$2:$M$205,5,FALSE()),0),2,1)))))</f>
        <v/>
      </c>
      <c r="AU53" s="54" t="n"/>
      <c r="AV53" s="55">
        <f>IFERROR(MAX(AU53),"")</f>
        <v/>
      </c>
      <c r="AW53" s="56">
        <f>IF(OR(AV53="",D53=""),"",IF(AV53&gt;=IFERROR(VLOOKUP(CONCATENATE(D53,YEAR(TODAY())-YEAR(C53),"bronco"),_viitearvot!$I$2:$M$205,2,FALSE()),0),5,IF(AV53&gt;=IFERROR(VLOOKUP(CONCATENATE(D53,YEAR(TODAY())-YEAR(C53),"bronco"),_viitearvot!$I$2:$M$205,3,FALSE()),0),4,IF(AV53&gt;=IFERROR(VLOOKUP(CONCATENATE(D53,YEAR(TODAY())-YEAR(C53),"bronco"),_viitearvot!$I$2:$M$205,4,FALSE()),0),3,IF(AV53&gt;=IFERROR(VLOOKUP(CONCATENATE(D53,YEAR(TODAY())-YEAR(C53),"bronco"),_viitearvot!$I$2:$M$205,5,FALSE()),0),2,1)))))</f>
        <v/>
      </c>
      <c r="AX53" s="54" t="n"/>
      <c r="AY53" s="54" t="n"/>
      <c r="AZ53" s="55">
        <f>IFERROR(MIN(AX53,AY53),"")</f>
        <v/>
      </c>
      <c r="BA53" s="56">
        <f>IF(OR(AZ53="",D53=""),"",IF(AZ53&lt;=IFERROR(VLOOKUP(CONCATENATE(D53,YEAR(TODAY())-YEAR(C53),"pujottelu"),_viitearvot!$I$2:$M$205,2,FALSE()),99),5,IF(AZ53&lt;=IFERROR(VLOOKUP(CONCATENATE(D53,YEAR(TODAY())-YEAR(C53),"pujottelu"),_viitearvot!$I$2:$M$205,3,FALSE()),99),4,IF(AZ53&lt;=IFERROR(VLOOKUP(CONCATENATE(D53,YEAR(TODAY())-YEAR(C53),"pujottelu"),_viitearvot!$I$2:$M$205,4,FALSE()),99),3,IF(AZ53&lt;=IFERROR(VLOOKUP(CONCATENATE(D53,YEAR(TODAY())-YEAR(C53),"pujottelu"),_viitearvot!$I$2:$M$205,5,FALSE()),99),2,1)))))</f>
        <v/>
      </c>
      <c r="BB53" s="54" t="n"/>
      <c r="BC53" s="54" t="n"/>
      <c r="BD53" s="55">
        <f>IFERROR(MIN(BB53,BC53),"")</f>
        <v/>
      </c>
      <c r="BE53" s="56">
        <f>IF(OR(BD53="",D53=""),"",IF(BD53&lt;=IFERROR(VLOOKUP(CONCATENATE(D53,YEAR(TODAY())-YEAR(C53),"syotto"),_viitearvot!$I$2:$M$205,2,FALSE()),99),5,IF(BD53&lt;=IFERROR(VLOOKUP(CONCATENATE(D53,YEAR(TODAY())-YEAR(C53),"syotto"),_viitearvot!$I$2:$M$205,3,FALSE()),99),4,IF(BD53&lt;=IFERROR(VLOOKUP(CONCATENATE(D53,YEAR(TODAY())-YEAR(C53),"syotto"),_viitearvot!$I$2:$M$205,4,FALSE()),99),3,IF(BD53&lt;=IFERROR(VLOOKUP(CONCATENATE(D53,YEAR(TODAY())-YEAR(C53),"syotto"),_viitearvot!$I$2:$M$205,5,FALSE()),99),2,1)))))</f>
        <v/>
      </c>
      <c r="BF53" s="57" t="n"/>
      <c r="BG53" s="58">
        <f>IF(OR(BF53="",K53=""),"",(IF(D53="P",IF(K53&lt;=IFERROR(VLOOKUP(CONCATENATE("P",ROUND(BF53,0),"lin5m"),_viitearvot!$A:$H,4,FALSE()),99),5,IF(K53&lt;=IFERROR(VLOOKUP(CONCATENATE("P",ROUND(BF53,0),"lin5m"),_viitearvot!$A:$H,5,FALSE()),99),4,IF(K53&lt;=IFERROR(VLOOKUP(CONCATENATE("P",ROUND(BF53,0),"lin5m"),_viitearvot!$A:$H,6,FALSE()),99),3,IF(K53&lt;=IFERROR(VLOOKUP(CONCATENATE("P",ROUND(BF53,0),"lin5m"),_viitearvot!$A:$H,7,FALSE()),99),2,1)))),IF(K53&lt;=IFERROR(VLOOKUP(CONCATENATE("T",ROUND(BF53,0),"lin5m"),_viitearvot!$A:$H,4,FALSE()),99),5,IF(K53&lt;=IFERROR(VLOOKUP(CONCATENATE("T",ROUND(BF53,0),"lin5m"),_viitearvot!$A:$H,5,FALSE()),99),4,IF(K53&lt;=IFERROR(VLOOKUP(CONCATENATE("T",ROUND(BF53,0),"lin5m"),_viitearvot!$A:$H,6,FALSE()),99),3,IF(K53&lt;=IFERROR(VLOOKUP(CONCATENATE("T",ROUND(BF53,0),"lin5m"),_viitearvot!$A:$H,7,FALSE()),99),2,1))))))-L53)</f>
        <v/>
      </c>
      <c r="BH53" s="59" t="n"/>
    </row>
    <row r="54" ht="17" customHeight="1" s="22">
      <c r="A54" s="60" t="n"/>
      <c r="B54" s="60" t="n"/>
      <c r="C54" s="61" t="n"/>
      <c r="D54" s="60" t="n"/>
      <c r="E54" s="60" t="n"/>
      <c r="F54" s="60" t="n"/>
      <c r="G54" s="60" t="n"/>
      <c r="H54" s="62" t="n"/>
      <c r="I54" s="62" t="n"/>
      <c r="J54" s="62" t="n"/>
      <c r="K54" s="63">
        <f>IFERROR(MIN(H54,I54,J54),"")</f>
        <v/>
      </c>
      <c r="L54" s="64">
        <f>IF(OR(K54="",D54=""),"",IF(K54&lt;=IFERROR(VLOOKUP(CONCATENATE(D54,YEAR(TODAY())-YEAR(C54),"lin5m"),_viitearvot!$I$2:$M$205,2,FALSE()),99),5,IF(K54&lt;=IFERROR(VLOOKUP(CONCATENATE(D54,YEAR(TODAY())-YEAR(C54),"lin5m"),_viitearvot!$I$2:$M$205,3,FALSE()),99),4,IF(K54&lt;=IFERROR(VLOOKUP(CONCATENATE(D54,YEAR(TODAY())-YEAR(C54),"lin5m"),_viitearvot!$I$2:$M$205,4,FALSE()),99),3,IF(K54&lt;=IFERROR(VLOOKUP(CONCATENATE(D54,YEAR(TODAY())-YEAR(C54),"lin5m"),_viitearvot!$I$2:$M$205,5,FALSE()),99),2,1)))))</f>
        <v/>
      </c>
      <c r="M54" s="62" t="n"/>
      <c r="N54" s="62" t="n"/>
      <c r="O54" s="62" t="n"/>
      <c r="P54" s="63">
        <f>IFERROR(MIN(M54,N54,O54),"")</f>
        <v/>
      </c>
      <c r="Q54" s="64">
        <f>IF(OR(P54="",D54=""),"",IF(P54&lt;=IFERROR(VLOOKUP(CONCATENATE(D54,YEAR(TODAY())-YEAR(C54),"lin10m"),_viitearvot!$I$2:$M$205,2,FALSE()),99),5,IF(P54&lt;=IFERROR(VLOOKUP(CONCATENATE(D54,YEAR(TODAY())-YEAR(C54),"lin10m"),_viitearvot!$I$2:$M$205,3,FALSE()),99),4,IF(P54&lt;=IFERROR(VLOOKUP(CONCATENATE(D54,YEAR(TODAY())-YEAR(C54),"lin10m"),_viitearvot!$I$2:$M$205,4,FALSE()),99),3,IF(P54&lt;=IFERROR(VLOOKUP(CONCATENATE(D54,YEAR(TODAY())-YEAR(C54),"lin10m"),_viitearvot!$I$2:$M$205,5,FALSE()),99),2,1)))))</f>
        <v/>
      </c>
      <c r="R54" s="62" t="n"/>
      <c r="S54" s="62" t="n"/>
      <c r="T54" s="62" t="n"/>
      <c r="U54" s="63">
        <f>IFERROR(MIN(R54,S54,T54),"")</f>
        <v/>
      </c>
      <c r="V54" s="64">
        <f>IF(OR(U54="",D54=""),"",IF(U54&lt;=IFERROR(VLOOKUP(CONCATENATE(D54,YEAR(TODAY())-YEAR(C54),"lin20m"),_viitearvot!$I$2:$M$205,2,FALSE()),99),5,IF(U54&lt;=IFERROR(VLOOKUP(CONCATENATE(D54,YEAR(TODAY())-YEAR(C54),"lin20m"),_viitearvot!$I$2:$M$205,3,FALSE()),99),4,IF(U54&lt;=IFERROR(VLOOKUP(CONCATENATE(D54,YEAR(TODAY())-YEAR(C54),"lin20m"),_viitearvot!$I$2:$M$205,4,FALSE()),99),3,IF(U54&lt;=IFERROR(VLOOKUP(CONCATENATE(D54,YEAR(TODAY())-YEAR(C54),"lin20m"),_viitearvot!$I$2:$M$205,5,FALSE()),99),2,1)))))</f>
        <v/>
      </c>
      <c r="W54" s="62" t="n"/>
      <c r="X54" s="62" t="n"/>
      <c r="Y54" s="62" t="n"/>
      <c r="Z54" s="63">
        <f>IFERROR(MIN(W54,X54,Y54),"")</f>
        <v/>
      </c>
      <c r="AA54" s="64">
        <f>IF(OR(Z54="",D54=""),"",IF(Z54&lt;=IFERROR(VLOOKUP(CONCATENATE(D54,YEAR(TODAY())-YEAR(C54),"lin30m"),_viitearvot!$I$2:$M$205,2,FALSE()),99),5,IF(Z54&lt;=IFERROR(VLOOKUP(CONCATENATE(D54,YEAR(TODAY())-YEAR(C54),"lin30m"),_viitearvot!$I$2:$M$205,3,FALSE()),99),4,IF(Z54&lt;=IFERROR(VLOOKUP(CONCATENATE(D54,YEAR(TODAY())-YEAR(C54),"lin30m"),_viitearvot!$I$2:$M$205,4,FALSE()),99),3,IF(Z54&lt;=IFERROR(VLOOKUP(CONCATENATE(D54,YEAR(TODAY())-YEAR(C54),"lin30m"),_viitearvot!$I$2:$M$205,5,FALSE()),99),2,1)))))</f>
        <v/>
      </c>
      <c r="AB54" s="62" t="n"/>
      <c r="AC54" s="62" t="n"/>
      <c r="AD54" s="62" t="n"/>
      <c r="AE54" s="63">
        <f>IFERROR(MIN(AB54,AC54,AD54),"")</f>
        <v/>
      </c>
      <c r="AF54" s="64">
        <f>IF(OR(AE54="",D54=""),"",IF(AE54&lt;=IFERROR(VLOOKUP(CONCATENATE(D54,YEAR(TODAY())-YEAR(C54),"kasirata"),_viitearvot!$I$2:$M$205,2,FALSE()),99),5,IF(AE54&lt;=IFERROR(VLOOKUP(CONCATENATE(D54,YEAR(TODAY())-YEAR(C54),"kasirata"),_viitearvot!$I$2:$M$205,3,FALSE()),99),4,IF(AE54&lt;=IFERROR(VLOOKUP(CONCATENATE(D54,YEAR(TODAY())-YEAR(C54),"kasirata"),_viitearvot!$I$2:$M$205,4,FALSE()),99),3,IF(AE54&lt;=IFERROR(VLOOKUP(CONCATENATE(D54,YEAR(TODAY())-YEAR(C54),"kasirata"),_viitearvot!$I$2:$M$205,5,FALSE()),99),2,1)))))</f>
        <v/>
      </c>
      <c r="AG54" s="62" t="n"/>
      <c r="AH54" s="62" t="n"/>
      <c r="AI54" s="62" t="n"/>
      <c r="AJ54" s="63">
        <f>IFERROR(MIN(AG54,AH54,AI54),"")</f>
        <v/>
      </c>
      <c r="AK54" s="64">
        <f>IF(OR(AJ54="",D54=""),"",IF(AJ54&lt;=IFERROR(VLOOKUP(CONCATENATE(D54,YEAR(TODAY())-YEAR(C54),"smjuoksu"),_viitearvot!$I$2:$M$205,2,FALSE()),99),5,IF(AJ54&lt;=IFERROR(VLOOKUP(CONCATENATE(D54,YEAR(TODAY())-YEAR(C54),"smjuoksu"),_viitearvot!$I$2:$M$205,3,FALSE()),99),4,IF(AJ54&lt;=IFERROR(VLOOKUP(CONCATENATE(D54,YEAR(TODAY())-YEAR(C54),"smjuoksu"),_viitearvot!$I$2:$M$205,4,FALSE()),99),3,IF(AJ54&lt;=IFERROR(VLOOKUP(CONCATENATE(D54,YEAR(TODAY())-YEAR(C54),"smjuoksu"),_viitearvot!$I$2:$M$205,5,FALSE()),99),2,1)))))</f>
        <v/>
      </c>
      <c r="AL54" s="62" t="n"/>
      <c r="AM54" s="62" t="n"/>
      <c r="AN54" s="63">
        <f>IFERROR(MIN(AL54,AM54),"")</f>
        <v/>
      </c>
      <c r="AO54" s="64">
        <f>IF(OR(AN54="",D54=""),"",IF(AN54&lt;=IFERROR(VLOOKUP(CONCATENATE(D54,YEAR(TODAY())-YEAR(C54),"smpallo"),_viitearvot!$I$2:$M$205,2,FALSE()),99),5,IF(AN54&lt;=IFERROR(VLOOKUP(CONCATENATE(D54,YEAR(TODAY())-YEAR(C54),"smpallo"),_viitearvot!$I$2:$M$205,3,FALSE()),99),4,IF(AN54&lt;=IFERROR(VLOOKUP(CONCATENATE(D54,YEAR(TODAY())-YEAR(C54),"smpallo"),_viitearvot!$I$2:$M$205,4,FALSE()),99),3,IF(AN54&lt;=IFERROR(VLOOKUP(CONCATENATE(D54,YEAR(TODAY())-YEAR(C54),"smpallo"),_viitearvot!$I$2:$M$205,5,FALSE()),99),2,1)))))</f>
        <v/>
      </c>
      <c r="AP54" s="62" t="n"/>
      <c r="AQ54" s="62" t="n"/>
      <c r="AR54" s="62" t="n"/>
      <c r="AS54" s="63">
        <f>IFERROR(MAX(AP54,AQ54,AR54),"")</f>
        <v/>
      </c>
      <c r="AT54" s="64">
        <f>IF(OR(AS54="",D54=""),"",IF(AS54&gt;=IFERROR(VLOOKUP(CONCATENATE(D54,YEAR(TODAY())-YEAR(C54),"cmj"),_viitearvot!$I$2:$M$205,2,FALSE()),0),5,IF(AS54&gt;=IFERROR(VLOOKUP(CONCATENATE(D54,YEAR(TODAY())-YEAR(C54),"cmj"),_viitearvot!$I$2:$M$205,3,FALSE()),0),4,IF(AS54&gt;=IFERROR(VLOOKUP(CONCATENATE(D54,YEAR(TODAY())-YEAR(C54),"cmj"),_viitearvot!$I$2:$M$205,4,FALSE()),0),3,IF(AS54&gt;=IFERROR(VLOOKUP(CONCATENATE(D54,YEAR(TODAY())-YEAR(C54),"cmj"),_viitearvot!$I$2:$M$205,5,FALSE()),0),2,1)))))</f>
        <v/>
      </c>
      <c r="AU54" s="62" t="n"/>
      <c r="AV54" s="63">
        <f>IFERROR(MAX(AU54),"")</f>
        <v/>
      </c>
      <c r="AW54" s="64">
        <f>IF(OR(AV54="",D54=""),"",IF(AV54&gt;=IFERROR(VLOOKUP(CONCATENATE(D54,YEAR(TODAY())-YEAR(C54),"bronco"),_viitearvot!$I$2:$M$205,2,FALSE()),0),5,IF(AV54&gt;=IFERROR(VLOOKUP(CONCATENATE(D54,YEAR(TODAY())-YEAR(C54),"bronco"),_viitearvot!$I$2:$M$205,3,FALSE()),0),4,IF(AV54&gt;=IFERROR(VLOOKUP(CONCATENATE(D54,YEAR(TODAY())-YEAR(C54),"bronco"),_viitearvot!$I$2:$M$205,4,FALSE()),0),3,IF(AV54&gt;=IFERROR(VLOOKUP(CONCATENATE(D54,YEAR(TODAY())-YEAR(C54),"bronco"),_viitearvot!$I$2:$M$205,5,FALSE()),0),2,1)))))</f>
        <v/>
      </c>
      <c r="AX54" s="62" t="n"/>
      <c r="AY54" s="62" t="n"/>
      <c r="AZ54" s="63">
        <f>IFERROR(MIN(AX54,AY54),"")</f>
        <v/>
      </c>
      <c r="BA54" s="64">
        <f>IF(OR(AZ54="",D54=""),"",IF(AZ54&lt;=IFERROR(VLOOKUP(CONCATENATE(D54,YEAR(TODAY())-YEAR(C54),"pujottelu"),_viitearvot!$I$2:$M$205,2,FALSE()),99),5,IF(AZ54&lt;=IFERROR(VLOOKUP(CONCATENATE(D54,YEAR(TODAY())-YEAR(C54),"pujottelu"),_viitearvot!$I$2:$M$205,3,FALSE()),99),4,IF(AZ54&lt;=IFERROR(VLOOKUP(CONCATENATE(D54,YEAR(TODAY())-YEAR(C54),"pujottelu"),_viitearvot!$I$2:$M$205,4,FALSE()),99),3,IF(AZ54&lt;=IFERROR(VLOOKUP(CONCATENATE(D54,YEAR(TODAY())-YEAR(C54),"pujottelu"),_viitearvot!$I$2:$M$205,5,FALSE()),99),2,1)))))</f>
        <v/>
      </c>
      <c r="BB54" s="62" t="n"/>
      <c r="BC54" s="62" t="n"/>
      <c r="BD54" s="63">
        <f>IFERROR(MIN(BB54,BC54),"")</f>
        <v/>
      </c>
      <c r="BE54" s="64">
        <f>IF(OR(BD54="",D54=""),"",IF(BD54&lt;=IFERROR(VLOOKUP(CONCATENATE(D54,YEAR(TODAY())-YEAR(C54),"syotto"),_viitearvot!$I$2:$M$205,2,FALSE()),99),5,IF(BD54&lt;=IFERROR(VLOOKUP(CONCATENATE(D54,YEAR(TODAY())-YEAR(C54),"syotto"),_viitearvot!$I$2:$M$205,3,FALSE()),99),4,IF(BD54&lt;=IFERROR(VLOOKUP(CONCATENATE(D54,YEAR(TODAY())-YEAR(C54),"syotto"),_viitearvot!$I$2:$M$205,4,FALSE()),99),3,IF(BD54&lt;=IFERROR(VLOOKUP(CONCATENATE(D54,YEAR(TODAY())-YEAR(C54),"syotto"),_viitearvot!$I$2:$M$205,5,FALSE()),99),2,1)))))</f>
        <v/>
      </c>
      <c r="BF54" s="65" t="n"/>
      <c r="BG54" s="66">
        <f>IF(OR(BF54="",K54=""),"",(IF(D54="P",IF(K54&lt;=IFERROR(VLOOKUP(CONCATENATE("P",ROUND(BF54,0),"lin5m"),_viitearvot!$A:$H,4,FALSE()),99),5,IF(K54&lt;=IFERROR(VLOOKUP(CONCATENATE("P",ROUND(BF54,0),"lin5m"),_viitearvot!$A:$H,5,FALSE()),99),4,IF(K54&lt;=IFERROR(VLOOKUP(CONCATENATE("P",ROUND(BF54,0),"lin5m"),_viitearvot!$A:$H,6,FALSE()),99),3,IF(K54&lt;=IFERROR(VLOOKUP(CONCATENATE("P",ROUND(BF54,0),"lin5m"),_viitearvot!$A:$H,7,FALSE()),99),2,1)))),IF(K54&lt;=IFERROR(VLOOKUP(CONCATENATE("T",ROUND(BF54,0),"lin5m"),_viitearvot!$A:$H,4,FALSE()),99),5,IF(K54&lt;=IFERROR(VLOOKUP(CONCATENATE("T",ROUND(BF54,0),"lin5m"),_viitearvot!$A:$H,5,FALSE()),99),4,IF(K54&lt;=IFERROR(VLOOKUP(CONCATENATE("T",ROUND(BF54,0),"lin5m"),_viitearvot!$A:$H,6,FALSE()),99),3,IF(K54&lt;=IFERROR(VLOOKUP(CONCATENATE("T",ROUND(BF54,0),"lin5m"),_viitearvot!$A:$H,7,FALSE()),99),2,1))))))-L54)</f>
        <v/>
      </c>
      <c r="BH54" s="67" t="n"/>
    </row>
  </sheetData>
  <dataValidations count="1">
    <dataValidation sqref="D5:D44" showDropDown="0" showInputMessage="0" showErrorMessage="1" allowBlank="1" errorTitle="Virhe" error="Käytä P tai T" type="list" errorStyle="stop" operator="between">
      <formula1>"P,T"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0" customWidth="1" style="25" min="1" max="1"/>
  </cols>
  <sheetData>
    <row r="1" ht="27.75" customHeight="1" s="22">
      <c r="A1" s="39" t="inlineStr">
        <is>
          <t>TalentMaster™ — H-H-polun testiohjeet (Eerikkilä/Palloliitto 2024)</t>
        </is>
      </c>
    </row>
    <row r="2" ht="19.5" customHeight="1" s="22">
      <c r="A2" s="40" t="inlineStr">
        <is>
          <t>TESTIT JA MITTAUKSET</t>
        </is>
      </c>
    </row>
    <row r="3" ht="63" customHeight="1" s="22">
      <c r="A3" s="41" t="inlineStr">
        <is>
          <t xml:space="preserve">  1. LINEAARINOPEUS (5m, 10m, 20m, 30m): Mitataan aika sekunteina. Käytä fotoelektristä lasermittausta tai kosketuslevyä. Pienempi arvo = parempi. Kaikille ikäluokille T10/P10 asti aikuisiin.</t>
        </is>
      </c>
    </row>
    <row r="4" ht="31.5" customHeight="1" s="22">
      <c r="A4" s="41" t="inlineStr">
        <is>
          <t xml:space="preserve">  2. KASIRATA: Suunnanmuutosnopeus kahdeksikonmuotoisella radalla. Sekunteina. Pienempi = parempi.</t>
        </is>
      </c>
    </row>
    <row r="5" ht="31.5" customHeight="1" s="22">
      <c r="A5" s="41" t="inlineStr">
        <is>
          <t xml:space="preserve">  3. SM-JUOKSU: Suunnanmuutosnopeus jalkapallospesifisellä radalla. Sekunteina. Pienempi = parempi.</t>
        </is>
      </c>
    </row>
    <row r="6" ht="33" customHeight="1" s="22">
      <c r="A6" s="41" t="inlineStr">
        <is>
          <t xml:space="preserve">  4. SM-PALLO: Sama rata kuin SM-juoksu mutta pallonkäsittelyn kanssa. Sekunteina. Pienempi = parempi.</t>
        </is>
      </c>
    </row>
    <row r="7" ht="43.5" customHeight="1" s="22">
      <c r="A7" s="41" t="inlineStr">
        <is>
          <t xml:space="preserve">  5. KEVENNYSHYPPY (CMJ): Kädet lantioilla, esikuormitus 90° polveen, hyppy ylös. Mitataan korkeus senttimetreissä. Suurempi = parempi.</t>
        </is>
      </c>
    </row>
    <row r="8" ht="63.75" customHeight="1" s="22">
      <c r="A8" s="41" t="inlineStr">
        <is>
          <t xml:space="preserve">  6. BRONCO / 1200m MAS: Pendelitesti 20m+20m+20m yhteensä 10 kertaa = 1200m. Tulos ilmoitetaan maksimaalisena aerobisena nopeutena (m/s). Suurempi = parempi. Aika muunnetaan m/s:ksi MAS-kaavalla.</t>
        </is>
      </c>
    </row>
    <row r="9" ht="43.5" customHeight="1" s="22">
      <c r="A9" s="41" t="inlineStr">
        <is>
          <t xml:space="preserve">  7. PUJOTTELU: Lajitekniikkatesti. Vain T10-T15 / P10-P15 ikäluokille. Sekunteina, pienempi = parempi. Kolmiportainen asteikko (1-3).</t>
        </is>
      </c>
    </row>
    <row r="10" ht="36" customHeight="1" s="22">
      <c r="A10" s="41" t="inlineStr">
        <is>
          <t xml:space="preserve">  8. SYÖTTÖ: Lajitekniikkatesti. Vain T10-T15 / P10-P15 ikäluokille. Sekunteina. Kolmiportainen asteikko (1-3).</t>
        </is>
      </c>
    </row>
    <row r="11" ht="19.5" customHeight="1" s="22"/>
    <row r="12" ht="19.5" customHeight="1" s="22">
      <c r="A12" s="40" t="inlineStr">
        <is>
          <t>TASOASTEIKKO</t>
        </is>
      </c>
    </row>
    <row r="13" ht="19.5" customHeight="1" s="22">
      <c r="A13" s="41" t="inlineStr">
        <is>
          <t xml:space="preserve">  Taso 5 = kansainvälinen kärkitaso (paras 10%)</t>
        </is>
      </c>
    </row>
    <row r="14" ht="19.5" customHeight="1" s="22">
      <c r="A14" s="41" t="inlineStr">
        <is>
          <t xml:space="preserve">  Taso 4 = kansallinen kärkitaso (paras 25%)</t>
        </is>
      </c>
    </row>
    <row r="15" ht="19.5" customHeight="1" s="22">
      <c r="A15" s="41" t="inlineStr">
        <is>
          <t xml:space="preserve">  Taso 3 = hieman yli kansallisen keskitason (paras 45%)</t>
        </is>
      </c>
    </row>
    <row r="16" ht="19.5" customHeight="1" s="22">
      <c r="A16" s="41" t="inlineStr">
        <is>
          <t xml:space="preserve">  Taso 2 = hieman alle kansallisen keskitason (paras 70%)</t>
        </is>
      </c>
    </row>
    <row r="17" ht="19.5" customHeight="1" s="22">
      <c r="A17" s="41" t="inlineStr">
        <is>
          <t xml:space="preserve">  Taso 1 = alle kansallisen keskitason</t>
        </is>
      </c>
    </row>
    <row r="18" ht="19.5" customHeight="1" s="22"/>
    <row r="19" ht="19.5" customHeight="1" s="22">
      <c r="A19" s="40" t="inlineStr">
        <is>
          <t>LÄHDE</t>
        </is>
      </c>
    </row>
    <row r="20" ht="67.5" customHeight="1" s="22">
      <c r="A20" s="41" t="inlineStr">
        <is>
          <t xml:space="preserve">  Eerikkilä Sport &amp; Outdoor Resort / Suomen Palloliitto, Huuhkaja- ja Helmaripolku. Tavoitetasot päivitetty 2024. https://eerikkila.fi/urheilu/testauspalvelut-urheilijoille/jalkapallon-testit-ja-tavoitetasot/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2026-03-22T16:47:59Z</dcterms:created>
  <dcterms:modified xmlns:dcterms="http://purl.org/dc/terms/" xmlns:xsi="http://www.w3.org/2001/XMLSchema-instance" xsi:type="dcterms:W3CDTF">2026-05-07T07:25:45Z</dcterms:modified>
  <cp:revision>0</cp:revision>
</cp:coreProperties>
</file>