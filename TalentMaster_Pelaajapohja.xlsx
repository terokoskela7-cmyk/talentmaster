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Ohjeet" sheetId="1" state="visible" r:id="rId1"/>
    <sheet xmlns:r="http://schemas.openxmlformats.org/officeDocument/2006/relationships" name="U12" sheetId="2" state="visible" r:id="rId2"/>
    <sheet xmlns:r="http://schemas.openxmlformats.org/officeDocument/2006/relationships" name="U15" sheetId="3" state="visible" r:id="rId3"/>
    <sheet xmlns:r="http://schemas.openxmlformats.org/officeDocument/2006/relationships" name="U19" sheetId="4" state="visible" r:id="rId4"/>
  </sheets>
  <definedNames>
    <definedName name="_xlnm.Print_Titles" localSheetId="1">'U12'!$1:$4</definedName>
    <definedName name="_xlnm.Print_Titles" localSheetId="2">'U15'!$1:$4</definedName>
    <definedName name="_xlnm.Print_Titles" localSheetId="3">'U19'!$1:$4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dd\.mm\.yyyy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E2A3D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999999"/>
      <sz val="9"/>
    </font>
    <font>
      <name val="Arial"/>
      <charset val="1"/>
      <family val="0"/>
      <color rgb="FFAAAAAA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5A6A82"/>
      <sz val="9"/>
    </font>
    <font>
      <name val="Arial"/>
      <charset val="1"/>
      <family val="0"/>
      <i val="1"/>
      <color rgb="FFC0392B"/>
      <sz val="9"/>
    </font>
    <font>
      <name val="Arial"/>
      <charset val="1"/>
      <family val="0"/>
      <b val="1"/>
      <color rgb="FF00D4AA"/>
      <sz val="10"/>
    </font>
    <font>
      <name val="Arial"/>
      <charset val="1"/>
      <family val="0"/>
      <color rgb="FF7D6608"/>
      <sz val="10"/>
    </font>
    <font>
      <name val="Arial"/>
      <charset val="1"/>
      <family val="0"/>
      <color rgb="FF7D3C98"/>
      <sz val="10"/>
    </font>
    <font>
      <name val="Arial"/>
      <charset val="1"/>
      <family val="0"/>
      <b val="1"/>
      <sz val="10"/>
    </font>
  </fonts>
  <fills count="17">
    <fill>
      <patternFill/>
    </fill>
    <fill>
      <patternFill patternType="gray125"/>
    </fill>
    <fill>
      <patternFill patternType="solid">
        <fgColor rgb="FF0B0F17"/>
        <bgColor rgb="FF000000"/>
      </patternFill>
    </fill>
    <fill>
      <patternFill patternType="solid">
        <fgColor rgb="FFE8F4FD"/>
        <bgColor rgb="FFEBF5FF"/>
      </patternFill>
    </fill>
    <fill>
      <patternFill patternType="solid">
        <fgColor rgb="FFF8FAFC"/>
        <bgColor rgb="FFF7F9FC"/>
      </patternFill>
    </fill>
    <fill>
      <patternFill patternType="solid">
        <fgColor rgb="FFFFF3F3"/>
        <bgColor rgb="FFFFF0F5"/>
      </patternFill>
    </fill>
    <fill>
      <patternFill patternType="solid">
        <fgColor rgb="FF1E2A3D"/>
        <bgColor rgb="FF003366"/>
      </patternFill>
    </fill>
    <fill>
      <patternFill patternType="solid">
        <fgColor rgb="FFEBF5FF"/>
        <bgColor rgb="FFE8F4FD"/>
      </patternFill>
    </fill>
    <fill>
      <patternFill patternType="solid">
        <fgColor rgb="FFF0FFF4"/>
        <bgColor rgb="FFF8FAFC"/>
      </patternFill>
    </fill>
    <fill>
      <patternFill patternType="solid">
        <fgColor rgb="FFFFF9E6"/>
        <bgColor rgb="FFFFF3F3"/>
      </patternFill>
    </fill>
    <fill>
      <patternFill patternType="solid">
        <fgColor rgb="FFFFFFFF"/>
        <bgColor rgb="FFF8FAFC"/>
      </patternFill>
    </fill>
    <fill>
      <patternFill patternType="solid">
        <fgColor rgb="FFFFF0F5"/>
        <bgColor rgb="FFFFF3F3"/>
      </patternFill>
    </fill>
    <fill>
      <patternFill patternType="solid">
        <fgColor rgb="FFE0F0FF"/>
        <bgColor rgb="FFE8F4FD"/>
      </patternFill>
    </fill>
    <fill>
      <patternFill patternType="solid">
        <fgColor rgb="FFD8F5E0"/>
        <bgColor rgb="FFE0F0FF"/>
      </patternFill>
    </fill>
    <fill>
      <patternFill patternType="solid">
        <fgColor rgb="FFFFF0C0"/>
        <bgColor rgb="FFFFF9E6"/>
      </patternFill>
    </fill>
    <fill>
      <patternFill patternType="solid">
        <fgColor rgb="FFF7F9FC"/>
        <bgColor rgb="FFF8FAFC"/>
      </patternFill>
    </fill>
    <fill>
      <patternFill patternType="solid">
        <fgColor rgb="FFFFE0EC"/>
        <bgColor rgb="FFFFF0F5"/>
      </patternFill>
    </fill>
  </fills>
  <borders count="2">
    <border>
      <left/>
      <right/>
      <top/>
      <bottom/>
      <diagonal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164" fontId="13" fillId="9" borderId="1" applyAlignment="1" pivotButton="0" quotePrefix="0" xfId="0">
      <alignment horizontal="left" vertical="center" wrapText="1"/>
    </xf>
    <xf numFmtId="2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165" fontId="1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2" fontId="14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164" fontId="13" fillId="14" borderId="1" applyAlignment="1" pivotButton="0" quotePrefix="0" xfId="0">
      <alignment horizontal="left" vertical="center" wrapText="1"/>
    </xf>
    <xf numFmtId="2" fontId="13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165" fontId="13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2" fontId="14" fillId="16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164" fontId="13" fillId="9" borderId="1" applyAlignment="1" pivotButton="0" quotePrefix="0" xfId="0">
      <alignment horizontal="left" vertical="center" wrapText="1"/>
    </xf>
    <xf numFmtId="2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165" fontId="1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2" fontId="14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164" fontId="13" fillId="14" borderId="1" applyAlignment="1" pivotButton="0" quotePrefix="0" xfId="0">
      <alignment horizontal="left" vertical="center" wrapText="1"/>
    </xf>
    <xf numFmtId="2" fontId="13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165" fontId="13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2" fontId="14" fillId="16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0FFF4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AAAAAA"/>
      <rgbColor rgb="FF808080"/>
      <rgbColor rgb="FFF7F9FC"/>
      <rgbColor rgb="FF7D3C98"/>
      <rgbColor rgb="FFFFF9E6"/>
      <rgbColor rgb="FFE0F0FF"/>
      <rgbColor rgb="FF660066"/>
      <rgbColor rgb="FFFF8080"/>
      <rgbColor rgb="FF0066CC"/>
      <rgbColor rgb="FFD0D8E4"/>
      <rgbColor rgb="FF000080"/>
      <rgbColor rgb="FFFF00FF"/>
      <rgbColor rgb="FFF8FAFC"/>
      <rgbColor rgb="FF00FFFF"/>
      <rgbColor rgb="FF800080"/>
      <rgbColor rgb="FF800000"/>
      <rgbColor rgb="FF008080"/>
      <rgbColor rgb="FF0000FF"/>
      <rgbColor rgb="FF00D4AA"/>
      <rgbColor rgb="FFE8F4FD"/>
      <rgbColor rgb="FFD8F5E0"/>
      <rgbColor rgb="FFFFF0C0"/>
      <rgbColor rgb="FFEBF5FF"/>
      <rgbColor rgb="FFFFF0F5"/>
      <rgbColor rgb="FFFFF3F3"/>
      <rgbColor rgb="FFFFE0EC"/>
      <rgbColor rgb="FF3366FF"/>
      <rgbColor rgb="FF33CCCC"/>
      <rgbColor rgb="FF99CC00"/>
      <rgbColor rgb="FFFFCC00"/>
      <rgbColor rgb="FFFF9900"/>
      <rgbColor rgb="FFFF6600"/>
      <rgbColor rgb="FF5A6A82"/>
      <rgbColor rgb="FF999999"/>
      <rgbColor rgb="FF003366"/>
      <rgbColor rgb="FF339966"/>
      <rgbColor rgb="FF0B0F17"/>
      <rgbColor rgb="FF333300"/>
      <rgbColor rgb="FFC0392B"/>
      <rgbColor rgb="FF993366"/>
      <rgbColor rgb="FF333399"/>
      <rgbColor rgb="FF1E2A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29" min="1" max="1"/>
  </cols>
  <sheetData>
    <row r="1" ht="34.5" customHeight="1" s="30">
      <c r="A1" s="31" t="inlineStr">
        <is>
          <t>TalentMaster™ — Pelaajapohjan käyttöohje</t>
        </is>
      </c>
    </row>
    <row r="2" ht="12" customHeight="1" s="30"/>
    <row r="3" ht="12" customHeight="1" s="30">
      <c r="A3" s="32" t="inlineStr">
        <is>
          <t>🎯 TARKOITUS</t>
        </is>
      </c>
    </row>
    <row r="4" ht="60" customHeight="1" s="30">
      <c r="A4" s="33" t="inlineStr">
        <is>
          <t xml:space="preserve">  Tämä Excel-pohja on TalentMasterin pelaajatietokantaan tuontia varten. Täytä pelaajien tiedot oikealle ikäluokan välilehdelle (U12, U15 tai U19) ja lataa tiedosto järjestelmään.</t>
        </is>
      </c>
    </row>
    <row r="5" ht="12" customHeight="1" s="30"/>
    <row r="6" ht="12" customHeight="1" s="30">
      <c r="A6" s="32" t="inlineStr">
        <is>
          <t>📋 VÄLILEHDET</t>
        </is>
      </c>
    </row>
    <row r="7" ht="22.5" customHeight="1" s="30">
      <c r="A7" s="33" t="inlineStr">
        <is>
          <t xml:space="preserve">  U12 — Syntymävuodet 2014 ja uudemmat (ikä ≤ 12)</t>
        </is>
      </c>
    </row>
    <row r="8" ht="19.5" customHeight="1" s="30">
      <c r="A8" s="33" t="inlineStr">
        <is>
          <t xml:space="preserve">  U15 — Syntymävuodet 2011–2013 (ikä 13–15)</t>
        </is>
      </c>
    </row>
    <row r="9" ht="19.5" customHeight="1" s="30">
      <c r="A9" s="33" t="inlineStr">
        <is>
          <t xml:space="preserve">  U19 — Syntymävuodet 2007–2010 (ikä 16–19)</t>
        </is>
      </c>
    </row>
    <row r="10" ht="12" customHeight="1" s="30"/>
    <row r="11" ht="12" customHeight="1" s="30">
      <c r="A11" s="32" t="inlineStr">
        <is>
          <t>🔵 PAKOLLISET KENTÄT</t>
        </is>
      </c>
    </row>
    <row r="12" ht="60" customHeight="1" s="30">
      <c r="A12" s="33" t="inlineStr">
        <is>
          <t xml:space="preserve">  PalloID: Palloliiton pelaajatunnus. Löytyy Palloliiton Extranetistä tai pelaajan lisenssiasiakirjasta. Tämä on se avain jolla TalentMaster tunnistaa pelaajan — sama pelaaja voidaan päivittää myöhemmin syöttämällä sama PalloID uudelleen.</t>
        </is>
      </c>
    </row>
    <row r="13" ht="24.75" customHeight="1" s="30">
      <c r="A13" s="33" t="inlineStr">
        <is>
          <t xml:space="preserve">  Nimi: Sukunimi ja etunimi erillisiin sarakkeisiin.</t>
        </is>
      </c>
    </row>
    <row r="14" ht="25.5" customHeight="1" s="30">
      <c r="A14" s="33" t="inlineStr">
        <is>
          <t xml:space="preserve">  Syntymäaika: Muodossa PP.KK.VVVV (esim. 15.03.2013).</t>
        </is>
      </c>
    </row>
    <row r="15" ht="18" customHeight="1" s="30">
      <c r="A15" s="33" t="inlineStr">
        <is>
          <t xml:space="preserve">  Sukupuoli: P = Poika, T = Tyttö.</t>
        </is>
      </c>
    </row>
    <row r="16" ht="30.75" customHeight="1" s="30">
      <c r="A16" s="33" t="inlineStr">
        <is>
          <t xml:space="preserve">  Joukkue: Seuran oma joukkuenimitys, esim. KPV U15 tai KPV T12.</t>
        </is>
      </c>
    </row>
    <row r="17" ht="12" customHeight="1" s="30"/>
    <row r="18" ht="12" customHeight="1" s="30">
      <c r="A18" s="32" t="inlineStr">
        <is>
          <t>🟢 MIRWALD-MITTAUKSET (biologinen ikä)</t>
        </is>
      </c>
    </row>
    <row r="19" ht="60" customHeight="1" s="30">
      <c r="A19" s="33" t="inlineStr">
        <is>
          <t xml:space="preserve">  Mirwald-menetelmä mittaa biologista ikää ja kasvupyrähdyksen vaihetta (PHV). Tarvitset yksinkertaisen mittaustilanteen: mittanauha, penkki ja vaaka.</t>
        </is>
      </c>
    </row>
    <row r="20" ht="24.75" customHeight="1" s="30">
      <c r="A20" s="33" t="inlineStr">
        <is>
          <t xml:space="preserve">  1. PITUUS: Mittaa seisomapituus ilman kenkiä (cm).</t>
        </is>
      </c>
    </row>
    <row r="21" ht="60" customHeight="1" s="30">
      <c r="A21" s="33" t="inlineStr">
        <is>
          <t xml:space="preserve">  2. ISTUMAPITUUS: Pelaaja istuu penkille selkä suorana. Mittaa etäisyys penkin pintaan päälakeen (cm). Tämä on pelkkä istuinkorkeus penkin PÄÄLTÄ.</t>
        </is>
      </c>
    </row>
    <row r="22" ht="60" customHeight="1" s="30">
      <c r="A22" s="33" t="inlineStr">
        <is>
          <t xml:space="preserve">  3. PENKIN KORKEUS: Mittaa itse penkin korkeus lattiasta (cm). Yleensä 40–46 cm. Tarvitaan kokonaisistumapituuden laskentaan.</t>
        </is>
      </c>
    </row>
    <row r="23" ht="33.75" customHeight="1" s="30">
      <c r="A23" s="33" t="inlineStr">
        <is>
          <t xml:space="preserve">  4. PAINO: Kehonpaino kilogrammoina. Mieluiten aamulla ennen syömistä.</t>
        </is>
      </c>
    </row>
    <row r="24" ht="60" customHeight="1" s="30">
      <c r="A24" s="33" t="inlineStr">
        <is>
          <t xml:space="preserve">  5. VANHEMPIEN PITUUDET: Vapaaehtoinen. Äidin ja isän pituudet (cm) parantavat laskennantarkkuutta (Khamis-Roche-menetelmä).</t>
        </is>
      </c>
    </row>
    <row r="25" ht="12" customHeight="1" s="30"/>
    <row r="26" ht="12" customHeight="1" s="30">
      <c r="A26" s="32" t="inlineStr">
        <is>
          <t>🟡 AUTOMAATTISET LASKENNAT</t>
        </is>
      </c>
    </row>
    <row r="27" ht="33.75" customHeight="1" s="30">
      <c r="A27" s="33" t="inlineStr">
        <is>
          <t xml:space="preserve">  ÄLÄ MUOKKAA näitä sarakkeita. Ne lasketaan automaattisesti kaavalla:</t>
        </is>
      </c>
    </row>
    <row r="28" ht="27.75" customHeight="1" s="30">
      <c r="A28" s="33" t="inlineStr">
        <is>
          <t xml:space="preserve">  Ikä mitt.hetkellä: Lasketaan syntymäajasta tähän päivään.</t>
        </is>
      </c>
    </row>
    <row r="29" ht="60" customHeight="1" s="30">
      <c r="A29" s="33" t="inlineStr">
        <is>
          <t xml:space="preserve">  Maturity Offset: Mirwald-kaavan tulos. Negatiivinen luku = ennen PHV-huippua, 0 ≈ PHV-huippu, positiivinen = kasvupyrähdyksen jälkeen.</t>
        </is>
      </c>
    </row>
    <row r="30" ht="46.5" customHeight="1" s="30">
      <c r="A30" s="33" t="inlineStr">
        <is>
          <t xml:space="preserve">  PHV-tila: Varhainen (offset &lt; -1.0) | PHV-huippu (offset -1.0 – 0.5) | Post-PHV (offset &gt; 0.5)</t>
        </is>
      </c>
    </row>
    <row r="31" ht="12" customHeight="1" s="30"/>
    <row r="32" ht="12" customHeight="1" s="30">
      <c r="A32" s="32" t="inlineStr">
        <is>
          <t>💾 TALLENNUS JA TUONTI</t>
        </is>
      </c>
    </row>
    <row r="33" ht="40.5" customHeight="1" s="30">
      <c r="A33" s="33" t="inlineStr">
        <is>
          <t xml:space="preserve">  1. Täytä tiedot. Voit täyttää useita ikäluokkia samaan tiedostoon eri välilehdille.</t>
        </is>
      </c>
    </row>
    <row r="34" ht="30.75" customHeight="1" s="30">
      <c r="A34" s="33" t="inlineStr">
        <is>
          <t xml:space="preserve">  2. Tallenna tiedosto .xlsx-muodossa (älä muuta CSV:ksi käsin).</t>
        </is>
      </c>
    </row>
    <row r="35" ht="36" customHeight="1" s="30">
      <c r="A35" s="33" t="inlineStr">
        <is>
          <t xml:space="preserve">  3. Mene TalentMaster VP-dashboardiin → Pelaajat-välilehti → Tuo pelaajat.</t>
        </is>
      </c>
    </row>
    <row r="36" ht="42.75" customHeight="1" s="30">
      <c r="A36" s="33" t="inlineStr">
        <is>
          <t xml:space="preserve">  4. Valitse tiedosto ja paina Tuo. Järjestelmä lukee kaikki välilehdet automaattisesti.</t>
        </is>
      </c>
    </row>
    <row r="37" ht="51" customHeight="1" s="30">
      <c r="A37" s="33" t="inlineStr">
        <is>
          <t xml:space="preserve">  5. Jos pelaajalla on jo profiili samalla PalloID:llä, tiedot päivitetään (ei luoda kaksoiskappaleita).</t>
        </is>
      </c>
    </row>
    <row r="38" ht="12" customHeight="1" s="30"/>
    <row r="39" ht="12" customHeight="1" s="30">
      <c r="A39" s="32" t="inlineStr">
        <is>
          <t>❓ TUKI</t>
        </is>
      </c>
    </row>
    <row r="40" ht="27.75" customHeight="1" s="30">
      <c r="A40" s="33" t="inlineStr">
        <is>
          <t xml:space="preserve">  Ongelmatilanteissa ota yhteyttä: talentmasterid@gmail.com</t>
        </is>
      </c>
    </row>
    <row r="49" ht="15" customHeight="1" s="30">
      <c r="A49" s="34" t="inlineStr">
        <is>
          <t>--- PALLOLIITON YLI-IKÄISYYSSÄÄNNÖN RAJA-ARVOT (ÄLÄ MUOKKAA) ---</t>
        </is>
      </c>
    </row>
    <row r="50" ht="15" customHeight="1" s="30">
      <c r="A50" s="35" t="n">
        <v>1</v>
      </c>
      <c r="B50" s="35" t="n">
        <v>14.966667</v>
      </c>
      <c r="C50" s="35" t="n">
        <v>13.066667</v>
      </c>
      <c r="D50" s="35" t="inlineStr">
        <is>
          <t>Tammikuu</t>
        </is>
      </c>
    </row>
    <row r="51" ht="15" customHeight="1" s="30">
      <c r="A51" s="35" t="n">
        <v>2</v>
      </c>
      <c r="B51" s="35" t="n">
        <v>14.883333</v>
      </c>
      <c r="C51" s="35" t="n">
        <v>12.983333</v>
      </c>
      <c r="D51" s="35" t="inlineStr">
        <is>
          <t>Helmikuu</t>
        </is>
      </c>
    </row>
    <row r="52" ht="15" customHeight="1" s="30">
      <c r="A52" s="35" t="n">
        <v>3</v>
      </c>
      <c r="B52" s="35" t="n">
        <v>14.8</v>
      </c>
      <c r="C52" s="35" t="n">
        <v>12.9</v>
      </c>
      <c r="D52" s="35" t="inlineStr">
        <is>
          <t>Maaliskuu</t>
        </is>
      </c>
    </row>
    <row r="53" ht="15" customHeight="1" s="30">
      <c r="A53" s="35" t="n">
        <v>4</v>
      </c>
      <c r="B53" s="35" t="n">
        <v>14.716667</v>
      </c>
      <c r="C53" s="35" t="n">
        <v>12.816667</v>
      </c>
      <c r="D53" s="35" t="inlineStr">
        <is>
          <t>Huhtikuu</t>
        </is>
      </c>
    </row>
    <row r="54" ht="15" customHeight="1" s="30">
      <c r="A54" s="35" t="n">
        <v>5</v>
      </c>
      <c r="B54" s="35" t="n">
        <v>14.633333</v>
      </c>
      <c r="C54" s="35" t="n">
        <v>12.733333</v>
      </c>
      <c r="D54" s="35" t="inlineStr">
        <is>
          <t>Toukokuu</t>
        </is>
      </c>
    </row>
    <row r="55" ht="15" customHeight="1" s="30">
      <c r="A55" s="35" t="n">
        <v>6</v>
      </c>
      <c r="B55" s="35" t="n">
        <v>14.55</v>
      </c>
      <c r="C55" s="35" t="n">
        <v>12.65</v>
      </c>
      <c r="D55" s="35" t="inlineStr">
        <is>
          <t>Kesäkuu</t>
        </is>
      </c>
    </row>
    <row r="56" ht="15" customHeight="1" s="30">
      <c r="A56" s="35" t="n">
        <v>7</v>
      </c>
      <c r="B56" s="35" t="n">
        <v>14.466667</v>
      </c>
      <c r="C56" s="35" t="n">
        <v>12.566667</v>
      </c>
      <c r="D56" s="35" t="inlineStr">
        <is>
          <t>Heinäkuu</t>
        </is>
      </c>
    </row>
    <row r="57" ht="15" customHeight="1" s="30">
      <c r="A57" s="35" t="n">
        <v>8</v>
      </c>
      <c r="B57" s="35" t="n">
        <v>14.383333</v>
      </c>
      <c r="C57" s="35" t="n">
        <v>12.483333</v>
      </c>
      <c r="D57" s="35" t="inlineStr">
        <is>
          <t>Elokuu</t>
        </is>
      </c>
    </row>
    <row r="58" ht="15" customHeight="1" s="30">
      <c r="A58" s="35" t="n">
        <v>9</v>
      </c>
      <c r="B58" s="35" t="n">
        <v>14.3</v>
      </c>
      <c r="C58" s="35" t="n">
        <v>12.4</v>
      </c>
      <c r="D58" s="35" t="inlineStr">
        <is>
          <t>Syyskuu</t>
        </is>
      </c>
    </row>
    <row r="59" ht="15" customHeight="1" s="30">
      <c r="A59" s="35" t="n">
        <v>10</v>
      </c>
      <c r="B59" s="35" t="n">
        <v>14.216667</v>
      </c>
      <c r="C59" s="35" t="n">
        <v>12.316667</v>
      </c>
      <c r="D59" s="35" t="inlineStr">
        <is>
          <t>Lokakuu</t>
        </is>
      </c>
    </row>
    <row r="60" ht="15" customHeight="1" s="30">
      <c r="A60" s="35" t="n">
        <v>11</v>
      </c>
      <c r="B60" s="35" t="n">
        <v>14.133333</v>
      </c>
      <c r="C60" s="35" t="n">
        <v>12.233333</v>
      </c>
      <c r="D60" s="35" t="inlineStr">
        <is>
          <t>Marraskuu</t>
        </is>
      </c>
    </row>
    <row r="61" ht="15" customHeight="1" s="30">
      <c r="A61" s="35" t="n">
        <v>12</v>
      </c>
      <c r="B61" s="35" t="n">
        <v>14.05</v>
      </c>
      <c r="C61" s="35" t="n">
        <v>12.15</v>
      </c>
      <c r="D61" s="35" t="inlineStr">
        <is>
          <t>Joulukuu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S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9" min="1" max="1"/>
    <col width="16" customWidth="1" style="29" min="2" max="2"/>
    <col width="14" customWidth="1" style="29" min="3" max="4"/>
    <col width="12" customWidth="1" style="29" min="5" max="5"/>
    <col width="16" customWidth="1" style="29" min="6" max="6"/>
    <col width="13" customWidth="1" style="29" min="7" max="7"/>
    <col width="16" customWidth="1" style="29" min="8" max="9"/>
    <col width="12" customWidth="1" style="29" min="10" max="10"/>
    <col width="15" customWidth="1" style="29" min="11" max="12"/>
    <col width="14" customWidth="1" style="29" min="13" max="16"/>
    <col width="22" customWidth="1" style="29" min="17" max="17"/>
    <col width="14" customWidth="1" style="29" min="18" max="19"/>
  </cols>
  <sheetData>
    <row r="1" ht="27.75" customHeight="1" s="30">
      <c r="A1" s="36" t="inlineStr">
        <is>
          <t>TalentMaster™ — Pelaajapohja U12</t>
        </is>
      </c>
    </row>
    <row r="2" ht="18" customHeight="1" s="30">
      <c r="A2" s="37" t="inlineStr">
        <is>
          <t>🔵 Pakollinen kenttä   🟢 Mirwald-mittaus (biologinen ikä)   🟡 Lasketaan automaattisesti — ÄLÄ MUOKKAA   🟣 PHV-ikä &amp; Yli-ikäisyyssääntö (automaattinen)   ⬜ Vapaaehtoinen</t>
        </is>
      </c>
    </row>
    <row r="3" ht="18" customHeight="1" s="30">
      <c r="A3" s="38" t="inlineStr">
        <is>
          <t>⚠️  Älä muuta sarakkeiden järjestystä tai poista otsikkorivejä. Tallenna .xlsx-muodossa ja lataa suoraan TalentMasterin Tuo dataa -välilehdeltä. PalloID on pakollinen — se tunnistaa pelaajan järjestelmässä.</t>
        </is>
      </c>
    </row>
    <row r="4" ht="39.75" customHeight="1" s="30">
      <c r="A4" s="39" t="inlineStr">
        <is>
          <t>PalloID *</t>
        </is>
      </c>
      <c r="B4" s="39" t="inlineStr">
        <is>
          <t>Sukunimi *</t>
        </is>
      </c>
      <c r="C4" s="39" t="inlineStr">
        <is>
          <t>Etunimi *</t>
        </is>
      </c>
      <c r="D4" s="39" t="inlineStr">
        <is>
          <t>Syntymäaika *</t>
        </is>
      </c>
      <c r="E4" s="39" t="inlineStr">
        <is>
          <t>Sukupuoli *</t>
        </is>
      </c>
      <c r="F4" s="39" t="inlineStr">
        <is>
          <t>Joukkue *</t>
        </is>
      </c>
      <c r="G4" s="39" t="inlineStr">
        <is>
          <t>Pituus (cm) *</t>
        </is>
      </c>
      <c r="H4" s="39" t="inlineStr">
        <is>
          <t>Istumapituus (cm) *</t>
        </is>
      </c>
      <c r="I4" s="39" t="inlineStr">
        <is>
          <t>Penkin korkeus (cm)</t>
        </is>
      </c>
      <c r="J4" s="39" t="inlineStr">
        <is>
          <t>Paino (kg) *</t>
        </is>
      </c>
      <c r="K4" s="39" t="inlineStr">
        <is>
          <t>Äidin pituus (cm)</t>
        </is>
      </c>
      <c r="L4" s="39" t="inlineStr">
        <is>
          <t>Isän pituus (cm)</t>
        </is>
      </c>
      <c r="M4" s="39" t="inlineStr">
        <is>
          <t>Ikä mitt.hetkellä</t>
        </is>
      </c>
      <c r="N4" s="39" t="inlineStr">
        <is>
          <t>Maturity Offset</t>
        </is>
      </c>
      <c r="O4" s="39" t="inlineStr">
        <is>
          <t>PHV-tila</t>
        </is>
      </c>
      <c r="P4" s="39" t="inlineStr">
        <is>
          <t>Laskentapäivä</t>
        </is>
      </c>
      <c r="Q4" s="39" t="inlineStr">
        <is>
          <t>Huomio</t>
        </is>
      </c>
      <c r="R4" s="39" t="inlineStr">
        <is>
          <t>PHV-ikä (vuotta)</t>
        </is>
      </c>
      <c r="S4" s="39" t="inlineStr">
        <is>
          <t>Yli-ikäisyys
(Palloliitto)</t>
        </is>
      </c>
    </row>
    <row r="5" ht="15" customHeight="1" s="30">
      <c r="A5" s="40" t="n"/>
      <c r="B5" s="40" t="n"/>
      <c r="C5" s="40" t="n"/>
      <c r="D5" s="40" t="n"/>
      <c r="E5" s="40" t="n"/>
      <c r="F5" s="40" t="n"/>
      <c r="G5" s="41" t="n"/>
      <c r="H5" s="41" t="n"/>
      <c r="I5" s="41" t="n"/>
      <c r="J5" s="41" t="n"/>
      <c r="K5" s="41" t="n"/>
      <c r="L5" s="41" t="n"/>
      <c r="M5" s="42">
        <f>IF(D5="","",DATEDIF(D5,TODAY(),"Y")+DATEDIF(D5,TODAY(),"YM")/12)</f>
        <v/>
      </c>
      <c r="N5" s="43">
        <f>IF(OR(E5="",G5="",H5="",J5=""),"",IF(E5="P",-9.236+0.0002708*(H5+I5)*(G5-(H5+I5))-0.001663*(M5*(G5-(H5+I5)))+0.007216*(M5*(H5+I5))+0.02292*(J5/G5*100),-9.376+0.0001882*(H5+I5)*(G5-(H5+I5))+0.0022*(M5*(H5+I5))+0.005841*(M5*(H5+I5))-0.002658*(M5*J5)+0.07693*(J5/G5*100)))</f>
        <v/>
      </c>
      <c r="O5" s="44">
        <f>IF(N5="","Ei tiedossa",IF(N5&lt;-1,"Varhainen",IF(N5&lt;0.5,"PHV-huippu","Post-PHV")))</f>
        <v/>
      </c>
      <c r="P5" s="45">
        <f>IF(A5="","",TODAY())</f>
        <v/>
      </c>
      <c r="Q5" s="46" t="n"/>
      <c r="R5" s="47">
        <f>IF(OR(M5="",N5=""),"",M5-N5)</f>
        <v/>
      </c>
      <c r="S5" s="48">
        <f>IF(OR(R5="",D5="",E5=""),"Ei tietoja",IF(R5&gt;=IF(E5="P",VLOOKUP(MONTH(D5),'📋 Ohjeet'!$A$50:$C$61,2,FALSE()),VLOOKUP(MONTH(D5),'📋 Ohjeet'!$A$50:$C$61,3,FALSE())),"✅ KYLLÄ","❌ EI"))</f>
        <v/>
      </c>
    </row>
    <row r="6" ht="15" customHeight="1" s="30">
      <c r="A6" s="49" t="n"/>
      <c r="B6" s="49" t="n"/>
      <c r="C6" s="49" t="n"/>
      <c r="D6" s="49" t="n"/>
      <c r="E6" s="49" t="n"/>
      <c r="F6" s="49" t="n"/>
      <c r="G6" s="50" t="n"/>
      <c r="H6" s="50" t="n"/>
      <c r="I6" s="50" t="n"/>
      <c r="J6" s="50" t="n"/>
      <c r="K6" s="50" t="n"/>
      <c r="L6" s="50" t="n"/>
      <c r="M6" s="51">
        <f>IF(D6="","",DATEDIF(D6,TODAY(),"Y")+DATEDIF(D6,TODAY(),"YM")/12)</f>
        <v/>
      </c>
      <c r="N6" s="52">
        <f>IF(OR(E6="",G6="",H6="",J6=""),"",IF(E6="P",-9.236+0.0002708*(H6+I6)*(G6-(H6+I6))-0.001663*(M6*(G6-(H6+I6)))+0.007216*(M6*(H6+I6))+0.02292*(J6/G6*100),-9.376+0.0001882*(H6+I6)*(G6-(H6+I6))+0.0022*(M6*(H6+I6))+0.005841*(M6*(H6+I6))-0.002658*(M6*J6)+0.07693*(J6/G6*100)))</f>
        <v/>
      </c>
      <c r="O6" s="53">
        <f>IF(N6="","Ei tiedossa",IF(N6&lt;-1,"Varhainen",IF(N6&lt;0.5,"PHV-huippu","Post-PHV")))</f>
        <v/>
      </c>
      <c r="P6" s="54">
        <f>IF(A6="","",TODAY())</f>
        <v/>
      </c>
      <c r="Q6" s="55" t="n"/>
      <c r="R6" s="56">
        <f>IF(OR(M6="",N6=""),"",M6-N6)</f>
        <v/>
      </c>
      <c r="S6" s="57">
        <f>IF(OR(R6="",D6="",E6=""),"Ei tietoja",IF(R6&gt;=IF(E6="P",VLOOKUP(MONTH(D6),'📋 Ohjeet'!$A$50:$C$61,2,FALSE()),VLOOKUP(MONTH(D6),'📋 Ohjeet'!$A$50:$C$61,3,FALSE())),"✅ KYLLÄ","❌ EI"))</f>
        <v/>
      </c>
    </row>
    <row r="7" ht="15" customHeight="1" s="30">
      <c r="A7" s="40" t="n"/>
      <c r="B7" s="40" t="n"/>
      <c r="C7" s="40" t="n"/>
      <c r="D7" s="40" t="n"/>
      <c r="E7" s="40" t="n"/>
      <c r="F7" s="40" t="n"/>
      <c r="G7" s="41" t="n"/>
      <c r="H7" s="41" t="n"/>
      <c r="I7" s="41" t="n"/>
      <c r="J7" s="41" t="n"/>
      <c r="K7" s="41" t="n"/>
      <c r="L7" s="41" t="n"/>
      <c r="M7" s="42">
        <f>IF(D7="","",DATEDIF(D7,TODAY(),"Y")+DATEDIF(D7,TODAY(),"YM")/12)</f>
        <v/>
      </c>
      <c r="N7" s="43">
        <f>IF(OR(E7="",G7="",H7="",J7=""),"",IF(E7="P",-9.236+0.0002708*(H7+I7)*(G7-(H7+I7))-0.001663*(M7*(G7-(H7+I7)))+0.007216*(M7*(H7+I7))+0.02292*(J7/G7*100),-9.376+0.0001882*(H7+I7)*(G7-(H7+I7))+0.0022*(M7*(H7+I7))+0.005841*(M7*(H7+I7))-0.002658*(M7*J7)+0.07693*(J7/G7*100)))</f>
        <v/>
      </c>
      <c r="O7" s="44">
        <f>IF(N7="","Ei tiedossa",IF(N7&lt;-1,"Varhainen",IF(N7&lt;0.5,"PHV-huippu","Post-PHV")))</f>
        <v/>
      </c>
      <c r="P7" s="45">
        <f>IF(A7="","",TODAY())</f>
        <v/>
      </c>
      <c r="Q7" s="46" t="n"/>
      <c r="R7" s="47">
        <f>IF(OR(M7="",N7=""),"",M7-N7)</f>
        <v/>
      </c>
      <c r="S7" s="48">
        <f>IF(OR(R7="",D7="",E7=""),"Ei tietoja",IF(R7&gt;=IF(E7="P",VLOOKUP(MONTH(D7),'📋 Ohjeet'!$A$50:$C$61,2,FALSE()),VLOOKUP(MONTH(D7),'📋 Ohjeet'!$A$50:$C$61,3,FALSE())),"✅ KYLLÄ","❌ EI"))</f>
        <v/>
      </c>
    </row>
    <row r="8" ht="15" customHeight="1" s="30">
      <c r="A8" s="49" t="n"/>
      <c r="B8" s="49" t="n"/>
      <c r="C8" s="49" t="n"/>
      <c r="D8" s="49" t="n"/>
      <c r="E8" s="49" t="n"/>
      <c r="F8" s="49" t="n"/>
      <c r="G8" s="50" t="n"/>
      <c r="H8" s="50" t="n"/>
      <c r="I8" s="50" t="n"/>
      <c r="J8" s="50" t="n"/>
      <c r="K8" s="50" t="n"/>
      <c r="L8" s="50" t="n"/>
      <c r="M8" s="51">
        <f>IF(D8="","",DATEDIF(D8,TODAY(),"Y")+DATEDIF(D8,TODAY(),"YM")/12)</f>
        <v/>
      </c>
      <c r="N8" s="52">
        <f>IF(OR(E8="",G8="",H8="",J8=""),"",IF(E8="P",-9.236+0.0002708*(H8+I8)*(G8-(H8+I8))-0.001663*(M8*(G8-(H8+I8)))+0.007216*(M8*(H8+I8))+0.02292*(J8/G8*100),-9.376+0.0001882*(H8+I8)*(G8-(H8+I8))+0.0022*(M8*(H8+I8))+0.005841*(M8*(H8+I8))-0.002658*(M8*J8)+0.07693*(J8/G8*100)))</f>
        <v/>
      </c>
      <c r="O8" s="53">
        <f>IF(N8="","Ei tiedossa",IF(N8&lt;-1,"Varhainen",IF(N8&lt;0.5,"PHV-huippu","Post-PHV")))</f>
        <v/>
      </c>
      <c r="P8" s="54">
        <f>IF(A8="","",TODAY())</f>
        <v/>
      </c>
      <c r="Q8" s="55" t="n"/>
      <c r="R8" s="56">
        <f>IF(OR(M8="",N8=""),"",M8-N8)</f>
        <v/>
      </c>
      <c r="S8" s="57">
        <f>IF(OR(R8="",D8="",E8=""),"Ei tietoja",IF(R8&gt;=IF(E8="P",VLOOKUP(MONTH(D8),'📋 Ohjeet'!$A$50:$C$61,2,FALSE()),VLOOKUP(MONTH(D8),'📋 Ohjeet'!$A$50:$C$61,3,FALSE())),"✅ KYLLÄ","❌ EI"))</f>
        <v/>
      </c>
    </row>
    <row r="9" ht="15" customHeight="1" s="30">
      <c r="A9" s="40" t="n"/>
      <c r="B9" s="40" t="n"/>
      <c r="C9" s="40" t="n"/>
      <c r="D9" s="40" t="n"/>
      <c r="E9" s="40" t="n"/>
      <c r="F9" s="40" t="n"/>
      <c r="G9" s="41" t="n"/>
      <c r="H9" s="41" t="n"/>
      <c r="I9" s="41" t="n"/>
      <c r="J9" s="41" t="n"/>
      <c r="K9" s="41" t="n"/>
      <c r="L9" s="41" t="n"/>
      <c r="M9" s="42">
        <f>IF(D9="","",DATEDIF(D9,TODAY(),"Y")+DATEDIF(D9,TODAY(),"YM")/12)</f>
        <v/>
      </c>
      <c r="N9" s="43">
        <f>IF(OR(E9="",G9="",H9="",J9=""),"",IF(E9="P",-9.236+0.0002708*(H9+I9)*(G9-(H9+I9))-0.001663*(M9*(G9-(H9+I9)))+0.007216*(M9*(H9+I9))+0.02292*(J9/G9*100),-9.376+0.0001882*(H9+I9)*(G9-(H9+I9))+0.0022*(M9*(H9+I9))+0.005841*(M9*(H9+I9))-0.002658*(M9*J9)+0.07693*(J9/G9*100)))</f>
        <v/>
      </c>
      <c r="O9" s="44">
        <f>IF(N9="","Ei tiedossa",IF(N9&lt;-1,"Varhainen",IF(N9&lt;0.5,"PHV-huippu","Post-PHV")))</f>
        <v/>
      </c>
      <c r="P9" s="45">
        <f>IF(A9="","",TODAY())</f>
        <v/>
      </c>
      <c r="Q9" s="46" t="n"/>
      <c r="R9" s="47">
        <f>IF(OR(M9="",N9=""),"",M9-N9)</f>
        <v/>
      </c>
      <c r="S9" s="48">
        <f>IF(OR(R9="",D9="",E9=""),"Ei tietoja",IF(R9&gt;=IF(E9="P",VLOOKUP(MONTH(D9),'📋 Ohjeet'!$A$50:$C$61,2,FALSE()),VLOOKUP(MONTH(D9),'📋 Ohjeet'!$A$50:$C$61,3,FALSE())),"✅ KYLLÄ","❌ EI"))</f>
        <v/>
      </c>
    </row>
    <row r="10" ht="15" customHeight="1" s="30">
      <c r="A10" s="49" t="n"/>
      <c r="B10" s="49" t="n"/>
      <c r="C10" s="49" t="n"/>
      <c r="D10" s="49" t="n"/>
      <c r="E10" s="49" t="n"/>
      <c r="F10" s="49" t="n"/>
      <c r="G10" s="50" t="n"/>
      <c r="H10" s="50" t="n"/>
      <c r="I10" s="50" t="n"/>
      <c r="J10" s="50" t="n"/>
      <c r="K10" s="50" t="n"/>
      <c r="L10" s="50" t="n"/>
      <c r="M10" s="51">
        <f>IF(D10="","",DATEDIF(D10,TODAY(),"Y")+DATEDIF(D10,TODAY(),"YM")/12)</f>
        <v/>
      </c>
      <c r="N10" s="52">
        <f>IF(OR(E10="",G10="",H10="",J10=""),"",IF(E10="P",-9.236+0.0002708*(H10+I10)*(G10-(H10+I10))-0.001663*(M10*(G10-(H10+I10)))+0.007216*(M10*(H10+I10))+0.02292*(J10/G10*100),-9.376+0.0001882*(H10+I10)*(G10-(H10+I10))+0.0022*(M10*(H10+I10))+0.005841*(M10*(H10+I10))-0.002658*(M10*J10)+0.07693*(J10/G10*100)))</f>
        <v/>
      </c>
      <c r="O10" s="53">
        <f>IF(N10="","Ei tiedossa",IF(N10&lt;-1,"Varhainen",IF(N10&lt;0.5,"PHV-huippu","Post-PHV")))</f>
        <v/>
      </c>
      <c r="P10" s="54">
        <f>IF(A10="","",TODAY())</f>
        <v/>
      </c>
      <c r="Q10" s="55" t="n"/>
      <c r="R10" s="56">
        <f>IF(OR(M10="",N10=""),"",M10-N10)</f>
        <v/>
      </c>
      <c r="S10" s="57">
        <f>IF(OR(R10="",D10="",E10=""),"Ei tietoja",IF(R10&gt;=IF(E10="P",VLOOKUP(MONTH(D10),'📋 Ohjeet'!$A$50:$C$61,2,FALSE()),VLOOKUP(MONTH(D10),'📋 Ohjeet'!$A$50:$C$61,3,FALSE())),"✅ KYLLÄ","❌ EI"))</f>
        <v/>
      </c>
    </row>
    <row r="11" ht="15" customHeight="1" s="30">
      <c r="A11" s="40" t="n"/>
      <c r="B11" s="40" t="n"/>
      <c r="C11" s="40" t="n"/>
      <c r="D11" s="40" t="n"/>
      <c r="E11" s="40" t="n"/>
      <c r="F11" s="40" t="n"/>
      <c r="G11" s="41" t="n"/>
      <c r="H11" s="41" t="n"/>
      <c r="I11" s="41" t="n"/>
      <c r="J11" s="41" t="n"/>
      <c r="K11" s="41" t="n"/>
      <c r="L11" s="41" t="n"/>
      <c r="M11" s="42">
        <f>IF(D11="","",DATEDIF(D11,TODAY(),"Y")+DATEDIF(D11,TODAY(),"YM")/12)</f>
        <v/>
      </c>
      <c r="N11" s="43">
        <f>IF(OR(E11="",G11="",H11="",J11=""),"",IF(E11="P",-9.236+0.0002708*(H11+I11)*(G11-(H11+I11))-0.001663*(M11*(G11-(H11+I11)))+0.007216*(M11*(H11+I11))+0.02292*(J11/G11*100),-9.376+0.0001882*(H11+I11)*(G11-(H11+I11))+0.0022*(M11*(H11+I11))+0.005841*(M11*(H11+I11))-0.002658*(M11*J11)+0.07693*(J11/G11*100)))</f>
        <v/>
      </c>
      <c r="O11" s="44">
        <f>IF(N11="","Ei tiedossa",IF(N11&lt;-1,"Varhainen",IF(N11&lt;0.5,"PHV-huippu","Post-PHV")))</f>
        <v/>
      </c>
      <c r="P11" s="45">
        <f>IF(A11="","",TODAY())</f>
        <v/>
      </c>
      <c r="Q11" s="46" t="n"/>
      <c r="R11" s="47">
        <f>IF(OR(M11="",N11=""),"",M11-N11)</f>
        <v/>
      </c>
      <c r="S11" s="48">
        <f>IF(OR(R11="",D11="",E11=""),"Ei tietoja",IF(R11&gt;=IF(E11="P",VLOOKUP(MONTH(D11),'📋 Ohjeet'!$A$50:$C$61,2,FALSE()),VLOOKUP(MONTH(D11),'📋 Ohjeet'!$A$50:$C$61,3,FALSE())),"✅ KYLLÄ","❌ EI"))</f>
        <v/>
      </c>
    </row>
    <row r="12" ht="15" customHeight="1" s="30">
      <c r="A12" s="49" t="n"/>
      <c r="B12" s="49" t="n"/>
      <c r="C12" s="49" t="n"/>
      <c r="D12" s="49" t="n"/>
      <c r="E12" s="49" t="n"/>
      <c r="F12" s="49" t="n"/>
      <c r="G12" s="50" t="n"/>
      <c r="H12" s="50" t="n"/>
      <c r="I12" s="50" t="n"/>
      <c r="J12" s="50" t="n"/>
      <c r="K12" s="50" t="n"/>
      <c r="L12" s="50" t="n"/>
      <c r="M12" s="51">
        <f>IF(D12="","",DATEDIF(D12,TODAY(),"Y")+DATEDIF(D12,TODAY(),"YM")/12)</f>
        <v/>
      </c>
      <c r="N12" s="52">
        <f>IF(OR(E12="",G12="",H12="",J12=""),"",IF(E12="P",-9.236+0.0002708*(H12+I12)*(G12-(H12+I12))-0.001663*(M12*(G12-(H12+I12)))+0.007216*(M12*(H12+I12))+0.02292*(J12/G12*100),-9.376+0.0001882*(H12+I12)*(G12-(H12+I12))+0.0022*(M12*(H12+I12))+0.005841*(M12*(H12+I12))-0.002658*(M12*J12)+0.07693*(J12/G12*100)))</f>
        <v/>
      </c>
      <c r="O12" s="53">
        <f>IF(N12="","Ei tiedossa",IF(N12&lt;-1,"Varhainen",IF(N12&lt;0.5,"PHV-huippu","Post-PHV")))</f>
        <v/>
      </c>
      <c r="P12" s="54">
        <f>IF(A12="","",TODAY())</f>
        <v/>
      </c>
      <c r="Q12" s="55" t="n"/>
      <c r="R12" s="56">
        <f>IF(OR(M12="",N12=""),"",M12-N12)</f>
        <v/>
      </c>
      <c r="S12" s="57">
        <f>IF(OR(R12="",D12="",E12=""),"Ei tietoja",IF(R12&gt;=IF(E12="P",VLOOKUP(MONTH(D12),'📋 Ohjeet'!$A$50:$C$61,2,FALSE()),VLOOKUP(MONTH(D12),'📋 Ohjeet'!$A$50:$C$61,3,FALSE())),"✅ KYLLÄ","❌ EI"))</f>
        <v/>
      </c>
    </row>
    <row r="13" ht="15" customHeight="1" s="30">
      <c r="A13" s="40" t="n"/>
      <c r="B13" s="40" t="n"/>
      <c r="C13" s="40" t="n"/>
      <c r="D13" s="40" t="n"/>
      <c r="E13" s="40" t="n"/>
      <c r="F13" s="40" t="n"/>
      <c r="G13" s="41" t="n"/>
      <c r="H13" s="41" t="n"/>
      <c r="I13" s="41" t="n"/>
      <c r="J13" s="41" t="n"/>
      <c r="K13" s="41" t="n"/>
      <c r="L13" s="41" t="n"/>
      <c r="M13" s="42">
        <f>IF(D13="","",DATEDIF(D13,TODAY(),"Y")+DATEDIF(D13,TODAY(),"YM")/12)</f>
        <v/>
      </c>
      <c r="N13" s="43">
        <f>IF(OR(E13="",G13="",H13="",J13=""),"",IF(E13="P",-9.236+0.0002708*(H13+I13)*(G13-(H13+I13))-0.001663*(M13*(G13-(H13+I13)))+0.007216*(M13*(H13+I13))+0.02292*(J13/G13*100),-9.376+0.0001882*(H13+I13)*(G13-(H13+I13))+0.0022*(M13*(H13+I13))+0.005841*(M13*(H13+I13))-0.002658*(M13*J13)+0.07693*(J13/G13*100)))</f>
        <v/>
      </c>
      <c r="O13" s="44">
        <f>IF(N13="","Ei tiedossa",IF(N13&lt;-1,"Varhainen",IF(N13&lt;0.5,"PHV-huippu","Post-PHV")))</f>
        <v/>
      </c>
      <c r="P13" s="45">
        <f>IF(A13="","",TODAY())</f>
        <v/>
      </c>
      <c r="Q13" s="46" t="n"/>
      <c r="R13" s="47">
        <f>IF(OR(M13="",N13=""),"",M13-N13)</f>
        <v/>
      </c>
      <c r="S13" s="48">
        <f>IF(OR(R13="",D13="",E13=""),"Ei tietoja",IF(R13&gt;=IF(E13="P",VLOOKUP(MONTH(D13),'📋 Ohjeet'!$A$50:$C$61,2,FALSE()),VLOOKUP(MONTH(D13),'📋 Ohjeet'!$A$50:$C$61,3,FALSE())),"✅ KYLLÄ","❌ EI"))</f>
        <v/>
      </c>
    </row>
    <row r="14" ht="15" customHeight="1" s="30">
      <c r="A14" s="49" t="n"/>
      <c r="B14" s="49" t="n"/>
      <c r="C14" s="49" t="n"/>
      <c r="D14" s="49" t="n"/>
      <c r="E14" s="49" t="n"/>
      <c r="F14" s="49" t="n"/>
      <c r="G14" s="50" t="n"/>
      <c r="H14" s="50" t="n"/>
      <c r="I14" s="50" t="n"/>
      <c r="J14" s="50" t="n"/>
      <c r="K14" s="50" t="n"/>
      <c r="L14" s="50" t="n"/>
      <c r="M14" s="51">
        <f>IF(D14="","",DATEDIF(D14,TODAY(),"Y")+DATEDIF(D14,TODAY(),"YM")/12)</f>
        <v/>
      </c>
      <c r="N14" s="52">
        <f>IF(OR(E14="",G14="",H14="",J14=""),"",IF(E14="P",-9.236+0.0002708*(H14+I14)*(G14-(H14+I14))-0.001663*(M14*(G14-(H14+I14)))+0.007216*(M14*(H14+I14))+0.02292*(J14/G14*100),-9.376+0.0001882*(H14+I14)*(G14-(H14+I14))+0.0022*(M14*(H14+I14))+0.005841*(M14*(H14+I14))-0.002658*(M14*J14)+0.07693*(J14/G14*100)))</f>
        <v/>
      </c>
      <c r="O14" s="53">
        <f>IF(N14="","Ei tiedossa",IF(N14&lt;-1,"Varhainen",IF(N14&lt;0.5,"PHV-huippu","Post-PHV")))</f>
        <v/>
      </c>
      <c r="P14" s="54">
        <f>IF(A14="","",TODAY())</f>
        <v/>
      </c>
      <c r="Q14" s="55" t="n"/>
      <c r="R14" s="56">
        <f>IF(OR(M14="",N14=""),"",M14-N14)</f>
        <v/>
      </c>
      <c r="S14" s="57">
        <f>IF(OR(R14="",D14="",E14=""),"Ei tietoja",IF(R14&gt;=IF(E14="P",VLOOKUP(MONTH(D14),'📋 Ohjeet'!$A$50:$C$61,2,FALSE()),VLOOKUP(MONTH(D14),'📋 Ohjeet'!$A$50:$C$61,3,FALSE())),"✅ KYLLÄ","❌ EI"))</f>
        <v/>
      </c>
    </row>
    <row r="15" ht="15" customHeight="1" s="30">
      <c r="A15" s="40" t="n"/>
      <c r="B15" s="40" t="n"/>
      <c r="C15" s="40" t="n"/>
      <c r="D15" s="40" t="n"/>
      <c r="E15" s="40" t="n"/>
      <c r="F15" s="40" t="n"/>
      <c r="G15" s="41" t="n"/>
      <c r="H15" s="41" t="n"/>
      <c r="I15" s="41" t="n"/>
      <c r="J15" s="41" t="n"/>
      <c r="K15" s="41" t="n"/>
      <c r="L15" s="41" t="n"/>
      <c r="M15" s="42">
        <f>IF(D15="","",DATEDIF(D15,TODAY(),"Y")+DATEDIF(D15,TODAY(),"YM")/12)</f>
        <v/>
      </c>
      <c r="N15" s="43">
        <f>IF(OR(E15="",G15="",H15="",J15=""),"",IF(E15="P",-9.236+0.0002708*(H15+I15)*(G15-(H15+I15))-0.001663*(M15*(G15-(H15+I15)))+0.007216*(M15*(H15+I15))+0.02292*(J15/G15*100),-9.376+0.0001882*(H15+I15)*(G15-(H15+I15))+0.0022*(M15*(H15+I15))+0.005841*(M15*(H15+I15))-0.002658*(M15*J15)+0.07693*(J15/G15*100)))</f>
        <v/>
      </c>
      <c r="O15" s="44">
        <f>IF(N15="","Ei tiedossa",IF(N15&lt;-1,"Varhainen",IF(N15&lt;0.5,"PHV-huippu","Post-PHV")))</f>
        <v/>
      </c>
      <c r="P15" s="45">
        <f>IF(A15="","",TODAY())</f>
        <v/>
      </c>
      <c r="Q15" s="46" t="n"/>
      <c r="R15" s="47">
        <f>IF(OR(M15="",N15=""),"",M15-N15)</f>
        <v/>
      </c>
      <c r="S15" s="48">
        <f>IF(OR(R15="",D15="",E15=""),"Ei tietoja",IF(R15&gt;=IF(E15="P",VLOOKUP(MONTH(D15),'📋 Ohjeet'!$A$50:$C$61,2,FALSE()),VLOOKUP(MONTH(D15),'📋 Ohjeet'!$A$50:$C$61,3,FALSE())),"✅ KYLLÄ","❌ EI"))</f>
        <v/>
      </c>
    </row>
    <row r="16" ht="15" customHeight="1" s="30">
      <c r="A16" s="49" t="n"/>
      <c r="B16" s="49" t="n"/>
      <c r="C16" s="49" t="n"/>
      <c r="D16" s="49" t="n"/>
      <c r="E16" s="49" t="n"/>
      <c r="F16" s="49" t="n"/>
      <c r="G16" s="50" t="n"/>
      <c r="H16" s="50" t="n"/>
      <c r="I16" s="50" t="n"/>
      <c r="J16" s="50" t="n"/>
      <c r="K16" s="50" t="n"/>
      <c r="L16" s="50" t="n"/>
      <c r="M16" s="51">
        <f>IF(D16="","",DATEDIF(D16,TODAY(),"Y")+DATEDIF(D16,TODAY(),"YM")/12)</f>
        <v/>
      </c>
      <c r="N16" s="52">
        <f>IF(OR(E16="",G16="",H16="",J16=""),"",IF(E16="P",-9.236+0.0002708*(H16+I16)*(G16-(H16+I16))-0.001663*(M16*(G16-(H16+I16)))+0.007216*(M16*(H16+I16))+0.02292*(J16/G16*100),-9.376+0.0001882*(H16+I16)*(G16-(H16+I16))+0.0022*(M16*(H16+I16))+0.005841*(M16*(H16+I16))-0.002658*(M16*J16)+0.07693*(J16/G16*100)))</f>
        <v/>
      </c>
      <c r="O16" s="53">
        <f>IF(N16="","Ei tiedossa",IF(N16&lt;-1,"Varhainen",IF(N16&lt;0.5,"PHV-huippu","Post-PHV")))</f>
        <v/>
      </c>
      <c r="P16" s="54">
        <f>IF(A16="","",TODAY())</f>
        <v/>
      </c>
      <c r="Q16" s="55" t="n"/>
      <c r="R16" s="56">
        <f>IF(OR(M16="",N16=""),"",M16-N16)</f>
        <v/>
      </c>
      <c r="S16" s="57">
        <f>IF(OR(R16="",D16="",E16=""),"Ei tietoja",IF(R16&gt;=IF(E16="P",VLOOKUP(MONTH(D16),'📋 Ohjeet'!$A$50:$C$61,2,FALSE()),VLOOKUP(MONTH(D16),'📋 Ohjeet'!$A$50:$C$61,3,FALSE())),"✅ KYLLÄ","❌ EI"))</f>
        <v/>
      </c>
    </row>
    <row r="17" ht="15" customHeight="1" s="30">
      <c r="A17" s="40" t="n"/>
      <c r="B17" s="40" t="n"/>
      <c r="C17" s="40" t="n"/>
      <c r="D17" s="40" t="n"/>
      <c r="E17" s="40" t="n"/>
      <c r="F17" s="40" t="n"/>
      <c r="G17" s="41" t="n"/>
      <c r="H17" s="41" t="n"/>
      <c r="I17" s="41" t="n"/>
      <c r="J17" s="41" t="n"/>
      <c r="K17" s="41" t="n"/>
      <c r="L17" s="41" t="n"/>
      <c r="M17" s="42">
        <f>IF(D17="","",DATEDIF(D17,TODAY(),"Y")+DATEDIF(D17,TODAY(),"YM")/12)</f>
        <v/>
      </c>
      <c r="N17" s="43">
        <f>IF(OR(E17="",G17="",H17="",J17=""),"",IF(E17="P",-9.236+0.0002708*(H17+I17)*(G17-(H17+I17))-0.001663*(M17*(G17-(H17+I17)))+0.007216*(M17*(H17+I17))+0.02292*(J17/G17*100),-9.376+0.0001882*(H17+I17)*(G17-(H17+I17))+0.0022*(M17*(H17+I17))+0.005841*(M17*(H17+I17))-0.002658*(M17*J17)+0.07693*(J17/G17*100)))</f>
        <v/>
      </c>
      <c r="O17" s="44">
        <f>IF(N17="","Ei tiedossa",IF(N17&lt;-1,"Varhainen",IF(N17&lt;0.5,"PHV-huippu","Post-PHV")))</f>
        <v/>
      </c>
      <c r="P17" s="45">
        <f>IF(A17="","",TODAY())</f>
        <v/>
      </c>
      <c r="Q17" s="46" t="n"/>
      <c r="R17" s="47">
        <f>IF(OR(M17="",N17=""),"",M17-N17)</f>
        <v/>
      </c>
      <c r="S17" s="48">
        <f>IF(OR(R17="",D17="",E17=""),"Ei tietoja",IF(R17&gt;=IF(E17="P",VLOOKUP(MONTH(D17),'📋 Ohjeet'!$A$50:$C$61,2,FALSE()),VLOOKUP(MONTH(D17),'📋 Ohjeet'!$A$50:$C$61,3,FALSE())),"✅ KYLLÄ","❌ EI"))</f>
        <v/>
      </c>
    </row>
    <row r="18" ht="15" customHeight="1" s="30">
      <c r="A18" s="49" t="n"/>
      <c r="B18" s="49" t="n"/>
      <c r="C18" s="49" t="n"/>
      <c r="D18" s="49" t="n"/>
      <c r="E18" s="49" t="n"/>
      <c r="F18" s="49" t="n"/>
      <c r="G18" s="50" t="n"/>
      <c r="H18" s="50" t="n"/>
      <c r="I18" s="50" t="n"/>
      <c r="J18" s="50" t="n"/>
      <c r="K18" s="50" t="n"/>
      <c r="L18" s="50" t="n"/>
      <c r="M18" s="51">
        <f>IF(D18="","",DATEDIF(D18,TODAY(),"Y")+DATEDIF(D18,TODAY(),"YM")/12)</f>
        <v/>
      </c>
      <c r="N18" s="52">
        <f>IF(OR(E18="",G18="",H18="",J18=""),"",IF(E18="P",-9.236+0.0002708*(H18+I18)*(G18-(H18+I18))-0.001663*(M18*(G18-(H18+I18)))+0.007216*(M18*(H18+I18))+0.02292*(J18/G18*100),-9.376+0.0001882*(H18+I18)*(G18-(H18+I18))+0.0022*(M18*(H18+I18))+0.005841*(M18*(H18+I18))-0.002658*(M18*J18)+0.07693*(J18/G18*100)))</f>
        <v/>
      </c>
      <c r="O18" s="53">
        <f>IF(N18="","Ei tiedossa",IF(N18&lt;-1,"Varhainen",IF(N18&lt;0.5,"PHV-huippu","Post-PHV")))</f>
        <v/>
      </c>
      <c r="P18" s="54">
        <f>IF(A18="","",TODAY())</f>
        <v/>
      </c>
      <c r="Q18" s="55" t="n"/>
      <c r="R18" s="56">
        <f>IF(OR(M18="",N18=""),"",M18-N18)</f>
        <v/>
      </c>
      <c r="S18" s="57">
        <f>IF(OR(R18="",D18="",E18=""),"Ei tietoja",IF(R18&gt;=IF(E18="P",VLOOKUP(MONTH(D18),'📋 Ohjeet'!$A$50:$C$61,2,FALSE()),VLOOKUP(MONTH(D18),'📋 Ohjeet'!$A$50:$C$61,3,FALSE())),"✅ KYLLÄ","❌ EI"))</f>
        <v/>
      </c>
    </row>
    <row r="19" ht="15" customHeight="1" s="30">
      <c r="A19" s="40" t="n"/>
      <c r="B19" s="40" t="n"/>
      <c r="C19" s="40" t="n"/>
      <c r="D19" s="40" t="n"/>
      <c r="E19" s="40" t="n"/>
      <c r="F19" s="40" t="n"/>
      <c r="G19" s="41" t="n"/>
      <c r="H19" s="41" t="n"/>
      <c r="I19" s="41" t="n"/>
      <c r="J19" s="41" t="n"/>
      <c r="K19" s="41" t="n"/>
      <c r="L19" s="41" t="n"/>
      <c r="M19" s="42">
        <f>IF(D19="","",DATEDIF(D19,TODAY(),"Y")+DATEDIF(D19,TODAY(),"YM")/12)</f>
        <v/>
      </c>
      <c r="N19" s="43">
        <f>IF(OR(E19="",G19="",H19="",J19=""),"",IF(E19="P",-9.236+0.0002708*(H19+I19)*(G19-(H19+I19))-0.001663*(M19*(G19-(H19+I19)))+0.007216*(M19*(H19+I19))+0.02292*(J19/G19*100),-9.376+0.0001882*(H19+I19)*(G19-(H19+I19))+0.0022*(M19*(H19+I19))+0.005841*(M19*(H19+I19))-0.002658*(M19*J19)+0.07693*(J19/G19*100)))</f>
        <v/>
      </c>
      <c r="O19" s="44">
        <f>IF(N19="","Ei tiedossa",IF(N19&lt;-1,"Varhainen",IF(N19&lt;0.5,"PHV-huippu","Post-PHV")))</f>
        <v/>
      </c>
      <c r="P19" s="45">
        <f>IF(A19="","",TODAY())</f>
        <v/>
      </c>
      <c r="Q19" s="46" t="n"/>
      <c r="R19" s="47">
        <f>IF(OR(M19="",N19=""),"",M19-N19)</f>
        <v/>
      </c>
      <c r="S19" s="48">
        <f>IF(OR(R19="",D19="",E19=""),"Ei tietoja",IF(R19&gt;=IF(E19="P",VLOOKUP(MONTH(D19),'📋 Ohjeet'!$A$50:$C$61,2,FALSE()),VLOOKUP(MONTH(D19),'📋 Ohjeet'!$A$50:$C$61,3,FALSE())),"✅ KYLLÄ","❌ EI"))</f>
        <v/>
      </c>
    </row>
    <row r="20" ht="15" customHeight="1" s="30">
      <c r="A20" s="49" t="n"/>
      <c r="B20" s="49" t="n"/>
      <c r="C20" s="49" t="n"/>
      <c r="D20" s="49" t="n"/>
      <c r="E20" s="49" t="n"/>
      <c r="F20" s="49" t="n"/>
      <c r="G20" s="50" t="n"/>
      <c r="H20" s="50" t="n"/>
      <c r="I20" s="50" t="n"/>
      <c r="J20" s="50" t="n"/>
      <c r="K20" s="50" t="n"/>
      <c r="L20" s="50" t="n"/>
      <c r="M20" s="51">
        <f>IF(D20="","",DATEDIF(D20,TODAY(),"Y")+DATEDIF(D20,TODAY(),"YM")/12)</f>
        <v/>
      </c>
      <c r="N20" s="52">
        <f>IF(OR(E20="",G20="",H20="",J20=""),"",IF(E20="P",-9.236+0.0002708*(H20+I20)*(G20-(H20+I20))-0.001663*(M20*(G20-(H20+I20)))+0.007216*(M20*(H20+I20))+0.02292*(J20/G20*100),-9.376+0.0001882*(H20+I20)*(G20-(H20+I20))+0.0022*(M20*(H20+I20))+0.005841*(M20*(H20+I20))-0.002658*(M20*J20)+0.07693*(J20/G20*100)))</f>
        <v/>
      </c>
      <c r="O20" s="53">
        <f>IF(N20="","Ei tiedossa",IF(N20&lt;-1,"Varhainen",IF(N20&lt;0.5,"PHV-huippu","Post-PHV")))</f>
        <v/>
      </c>
      <c r="P20" s="54">
        <f>IF(A20="","",TODAY())</f>
        <v/>
      </c>
      <c r="Q20" s="55" t="n"/>
      <c r="R20" s="56">
        <f>IF(OR(M20="",N20=""),"",M20-N20)</f>
        <v/>
      </c>
      <c r="S20" s="57">
        <f>IF(OR(R20="",D20="",E20=""),"Ei tietoja",IF(R20&gt;=IF(E20="P",VLOOKUP(MONTH(D20),'📋 Ohjeet'!$A$50:$C$61,2,FALSE()),VLOOKUP(MONTH(D20),'📋 Ohjeet'!$A$50:$C$61,3,FALSE())),"✅ KYLLÄ","❌ EI"))</f>
        <v/>
      </c>
    </row>
    <row r="21" ht="15" customHeight="1" s="30">
      <c r="A21" s="40" t="n"/>
      <c r="B21" s="40" t="n"/>
      <c r="C21" s="40" t="n"/>
      <c r="D21" s="40" t="n"/>
      <c r="E21" s="40" t="n"/>
      <c r="F21" s="40" t="n"/>
      <c r="G21" s="41" t="n"/>
      <c r="H21" s="41" t="n"/>
      <c r="I21" s="41" t="n"/>
      <c r="J21" s="41" t="n"/>
      <c r="K21" s="41" t="n"/>
      <c r="L21" s="41" t="n"/>
      <c r="M21" s="42">
        <f>IF(D21="","",DATEDIF(D21,TODAY(),"Y")+DATEDIF(D21,TODAY(),"YM")/12)</f>
        <v/>
      </c>
      <c r="N21" s="43">
        <f>IF(OR(E21="",G21="",H21="",J21=""),"",IF(E21="P",-9.236+0.0002708*(H21+I21)*(G21-(H21+I21))-0.001663*(M21*(G21-(H21+I21)))+0.007216*(M21*(H21+I21))+0.02292*(J21/G21*100),-9.376+0.0001882*(H21+I21)*(G21-(H21+I21))+0.0022*(M21*(H21+I21))+0.005841*(M21*(H21+I21))-0.002658*(M21*J21)+0.07693*(J21/G21*100)))</f>
        <v/>
      </c>
      <c r="O21" s="44">
        <f>IF(N21="","Ei tiedossa",IF(N21&lt;-1,"Varhainen",IF(N21&lt;0.5,"PHV-huippu","Post-PHV")))</f>
        <v/>
      </c>
      <c r="P21" s="45">
        <f>IF(A21="","",TODAY())</f>
        <v/>
      </c>
      <c r="Q21" s="46" t="n"/>
      <c r="R21" s="47">
        <f>IF(OR(M21="",N21=""),"",M21-N21)</f>
        <v/>
      </c>
      <c r="S21" s="48">
        <f>IF(OR(R21="",D21="",E21=""),"Ei tietoja",IF(R21&gt;=IF(E21="P",VLOOKUP(MONTH(D21),'📋 Ohjeet'!$A$50:$C$61,2,FALSE()),VLOOKUP(MONTH(D21),'📋 Ohjeet'!$A$50:$C$61,3,FALSE())),"✅ KYLLÄ","❌ EI"))</f>
        <v/>
      </c>
    </row>
    <row r="22" ht="15" customHeight="1" s="30">
      <c r="A22" s="49" t="n"/>
      <c r="B22" s="49" t="n"/>
      <c r="C22" s="49" t="n"/>
      <c r="D22" s="49" t="n"/>
      <c r="E22" s="49" t="n"/>
      <c r="F22" s="49" t="n"/>
      <c r="G22" s="50" t="n"/>
      <c r="H22" s="50" t="n"/>
      <c r="I22" s="50" t="n"/>
      <c r="J22" s="50" t="n"/>
      <c r="K22" s="50" t="n"/>
      <c r="L22" s="50" t="n"/>
      <c r="M22" s="51">
        <f>IF(D22="","",DATEDIF(D22,TODAY(),"Y")+DATEDIF(D22,TODAY(),"YM")/12)</f>
        <v/>
      </c>
      <c r="N22" s="52">
        <f>IF(OR(E22="",G22="",H22="",J22=""),"",IF(E22="P",-9.236+0.0002708*(H22+I22)*(G22-(H22+I22))-0.001663*(M22*(G22-(H22+I22)))+0.007216*(M22*(H22+I22))+0.02292*(J22/G22*100),-9.376+0.0001882*(H22+I22)*(G22-(H22+I22))+0.0022*(M22*(H22+I22))+0.005841*(M22*(H22+I22))-0.002658*(M22*J22)+0.07693*(J22/G22*100)))</f>
        <v/>
      </c>
      <c r="O22" s="53">
        <f>IF(N22="","Ei tiedossa",IF(N22&lt;-1,"Varhainen",IF(N22&lt;0.5,"PHV-huippu","Post-PHV")))</f>
        <v/>
      </c>
      <c r="P22" s="54">
        <f>IF(A22="","",TODAY())</f>
        <v/>
      </c>
      <c r="Q22" s="55" t="n"/>
      <c r="R22" s="56">
        <f>IF(OR(M22="",N22=""),"",M22-N22)</f>
        <v/>
      </c>
      <c r="S22" s="57">
        <f>IF(OR(R22="",D22="",E22=""),"Ei tietoja",IF(R22&gt;=IF(E22="P",VLOOKUP(MONTH(D22),'📋 Ohjeet'!$A$50:$C$61,2,FALSE()),VLOOKUP(MONTH(D22),'📋 Ohjeet'!$A$50:$C$61,3,FALSE())),"✅ KYLLÄ","❌ EI"))</f>
        <v/>
      </c>
    </row>
    <row r="23" ht="15" customHeight="1" s="30">
      <c r="A23" s="40" t="n"/>
      <c r="B23" s="40" t="n"/>
      <c r="C23" s="40" t="n"/>
      <c r="D23" s="40" t="n"/>
      <c r="E23" s="40" t="n"/>
      <c r="F23" s="40" t="n"/>
      <c r="G23" s="41" t="n"/>
      <c r="H23" s="41" t="n"/>
      <c r="I23" s="41" t="n"/>
      <c r="J23" s="41" t="n"/>
      <c r="K23" s="41" t="n"/>
      <c r="L23" s="41" t="n"/>
      <c r="M23" s="42">
        <f>IF(D23="","",DATEDIF(D23,TODAY(),"Y")+DATEDIF(D23,TODAY(),"YM")/12)</f>
        <v/>
      </c>
      <c r="N23" s="43">
        <f>IF(OR(E23="",G23="",H23="",J23=""),"",IF(E23="P",-9.236+0.0002708*(H23+I23)*(G23-(H23+I23))-0.001663*(M23*(G23-(H23+I23)))+0.007216*(M23*(H23+I23))+0.02292*(J23/G23*100),-9.376+0.0001882*(H23+I23)*(G23-(H23+I23))+0.0022*(M23*(H23+I23))+0.005841*(M23*(H23+I23))-0.002658*(M23*J23)+0.07693*(J23/G23*100)))</f>
        <v/>
      </c>
      <c r="O23" s="44">
        <f>IF(N23="","Ei tiedossa",IF(N23&lt;-1,"Varhainen",IF(N23&lt;0.5,"PHV-huippu","Post-PHV")))</f>
        <v/>
      </c>
      <c r="P23" s="45">
        <f>IF(A23="","",TODAY())</f>
        <v/>
      </c>
      <c r="Q23" s="46" t="n"/>
      <c r="R23" s="47">
        <f>IF(OR(M23="",N23=""),"",M23-N23)</f>
        <v/>
      </c>
      <c r="S23" s="48">
        <f>IF(OR(R23="",D23="",E23=""),"Ei tietoja",IF(R23&gt;=IF(E23="P",VLOOKUP(MONTH(D23),'📋 Ohjeet'!$A$50:$C$61,2,FALSE()),VLOOKUP(MONTH(D23),'📋 Ohjeet'!$A$50:$C$61,3,FALSE())),"✅ KYLLÄ","❌ EI"))</f>
        <v/>
      </c>
    </row>
    <row r="24" ht="15" customHeight="1" s="30">
      <c r="A24" s="49" t="n"/>
      <c r="B24" s="49" t="n"/>
      <c r="C24" s="49" t="n"/>
      <c r="D24" s="49" t="n"/>
      <c r="E24" s="49" t="n"/>
      <c r="F24" s="49" t="n"/>
      <c r="G24" s="50" t="n"/>
      <c r="H24" s="50" t="n"/>
      <c r="I24" s="50" t="n"/>
      <c r="J24" s="50" t="n"/>
      <c r="K24" s="50" t="n"/>
      <c r="L24" s="50" t="n"/>
      <c r="M24" s="51">
        <f>IF(D24="","",DATEDIF(D24,TODAY(),"Y")+DATEDIF(D24,TODAY(),"YM")/12)</f>
        <v/>
      </c>
      <c r="N24" s="52">
        <f>IF(OR(E24="",G24="",H24="",J24=""),"",IF(E24="P",-9.236+0.0002708*(H24+I24)*(G24-(H24+I24))-0.001663*(M24*(G24-(H24+I24)))+0.007216*(M24*(H24+I24))+0.02292*(J24/G24*100),-9.376+0.0001882*(H24+I24)*(G24-(H24+I24))+0.0022*(M24*(H24+I24))+0.005841*(M24*(H24+I24))-0.002658*(M24*J24)+0.07693*(J24/G24*100)))</f>
        <v/>
      </c>
      <c r="O24" s="53">
        <f>IF(N24="","Ei tiedossa",IF(N24&lt;-1,"Varhainen",IF(N24&lt;0.5,"PHV-huippu","Post-PHV")))</f>
        <v/>
      </c>
      <c r="P24" s="54">
        <f>IF(A24="","",TODAY())</f>
        <v/>
      </c>
      <c r="Q24" s="55" t="n"/>
      <c r="R24" s="56">
        <f>IF(OR(M24="",N24=""),"",M24-N24)</f>
        <v/>
      </c>
      <c r="S24" s="57">
        <f>IF(OR(R24="",D24="",E24=""),"Ei tietoja",IF(R24&gt;=IF(E24="P",VLOOKUP(MONTH(D24),'📋 Ohjeet'!$A$50:$C$61,2,FALSE()),VLOOKUP(MONTH(D24),'📋 Ohjeet'!$A$50:$C$61,3,FALSE())),"✅ KYLLÄ","❌ EI"))</f>
        <v/>
      </c>
    </row>
    <row r="25" ht="15" customHeight="1" s="30">
      <c r="A25" s="40" t="n"/>
      <c r="B25" s="40" t="n"/>
      <c r="C25" s="40" t="n"/>
      <c r="D25" s="40" t="n"/>
      <c r="E25" s="40" t="n"/>
      <c r="F25" s="40" t="n"/>
      <c r="G25" s="41" t="n"/>
      <c r="H25" s="41" t="n"/>
      <c r="I25" s="41" t="n"/>
      <c r="J25" s="41" t="n"/>
      <c r="K25" s="41" t="n"/>
      <c r="L25" s="41" t="n"/>
      <c r="M25" s="42">
        <f>IF(D25="","",DATEDIF(D25,TODAY(),"Y")+DATEDIF(D25,TODAY(),"YM")/12)</f>
        <v/>
      </c>
      <c r="N25" s="43">
        <f>IF(OR(E25="",G25="",H25="",J25=""),"",IF(E25="P",-9.236+0.0002708*(H25+I25)*(G25-(H25+I25))-0.001663*(M25*(G25-(H25+I25)))+0.007216*(M25*(H25+I25))+0.02292*(J25/G25*100),-9.376+0.0001882*(H25+I25)*(G25-(H25+I25))+0.0022*(M25*(H25+I25))+0.005841*(M25*(H25+I25))-0.002658*(M25*J25)+0.07693*(J25/G25*100)))</f>
        <v/>
      </c>
      <c r="O25" s="44">
        <f>IF(N25="","Ei tiedossa",IF(N25&lt;-1,"Varhainen",IF(N25&lt;0.5,"PHV-huippu","Post-PHV")))</f>
        <v/>
      </c>
      <c r="P25" s="45">
        <f>IF(A25="","",TODAY())</f>
        <v/>
      </c>
      <c r="Q25" s="46" t="n"/>
      <c r="R25" s="47">
        <f>IF(OR(M25="",N25=""),"",M25-N25)</f>
        <v/>
      </c>
      <c r="S25" s="48">
        <f>IF(OR(R25="",D25="",E25=""),"Ei tietoja",IF(R25&gt;=IF(E25="P",VLOOKUP(MONTH(D25),'📋 Ohjeet'!$A$50:$C$61,2,FALSE()),VLOOKUP(MONTH(D25),'📋 Ohjeet'!$A$50:$C$61,3,FALSE())),"✅ KYLLÄ","❌ EI"))</f>
        <v/>
      </c>
    </row>
    <row r="26" ht="15" customHeight="1" s="30">
      <c r="A26" s="49" t="n"/>
      <c r="B26" s="49" t="n"/>
      <c r="C26" s="49" t="n"/>
      <c r="D26" s="49" t="n"/>
      <c r="E26" s="49" t="n"/>
      <c r="F26" s="49" t="n"/>
      <c r="G26" s="50" t="n"/>
      <c r="H26" s="50" t="n"/>
      <c r="I26" s="50" t="n"/>
      <c r="J26" s="50" t="n"/>
      <c r="K26" s="50" t="n"/>
      <c r="L26" s="50" t="n"/>
      <c r="M26" s="51">
        <f>IF(D26="","",DATEDIF(D26,TODAY(),"Y")+DATEDIF(D26,TODAY(),"YM")/12)</f>
        <v/>
      </c>
      <c r="N26" s="52">
        <f>IF(OR(E26="",G26="",H26="",J26=""),"",IF(E26="P",-9.236+0.0002708*(H26+I26)*(G26-(H26+I26))-0.001663*(M26*(G26-(H26+I26)))+0.007216*(M26*(H26+I26))+0.02292*(J26/G26*100),-9.376+0.0001882*(H26+I26)*(G26-(H26+I26))+0.0022*(M26*(H26+I26))+0.005841*(M26*(H26+I26))-0.002658*(M26*J26)+0.07693*(J26/G26*100)))</f>
        <v/>
      </c>
      <c r="O26" s="53">
        <f>IF(N26="","Ei tiedossa",IF(N26&lt;-1,"Varhainen",IF(N26&lt;0.5,"PHV-huippu","Post-PHV")))</f>
        <v/>
      </c>
      <c r="P26" s="54">
        <f>IF(A26="","",TODAY())</f>
        <v/>
      </c>
      <c r="Q26" s="55" t="n"/>
      <c r="R26" s="56">
        <f>IF(OR(M26="",N26=""),"",M26-N26)</f>
        <v/>
      </c>
      <c r="S26" s="57">
        <f>IF(OR(R26="",D26="",E26=""),"Ei tietoja",IF(R26&gt;=IF(E26="P",VLOOKUP(MONTH(D26),'📋 Ohjeet'!$A$50:$C$61,2,FALSE()),VLOOKUP(MONTH(D26),'📋 Ohjeet'!$A$50:$C$61,3,FALSE())),"✅ KYLLÄ","❌ EI"))</f>
        <v/>
      </c>
    </row>
    <row r="27" ht="15" customHeight="1" s="30">
      <c r="A27" s="40" t="n"/>
      <c r="B27" s="40" t="n"/>
      <c r="C27" s="40" t="n"/>
      <c r="D27" s="40" t="n"/>
      <c r="E27" s="40" t="n"/>
      <c r="F27" s="40" t="n"/>
      <c r="G27" s="41" t="n"/>
      <c r="H27" s="41" t="n"/>
      <c r="I27" s="41" t="n"/>
      <c r="J27" s="41" t="n"/>
      <c r="K27" s="41" t="n"/>
      <c r="L27" s="41" t="n"/>
      <c r="M27" s="42">
        <f>IF(D27="","",DATEDIF(D27,TODAY(),"Y")+DATEDIF(D27,TODAY(),"YM")/12)</f>
        <v/>
      </c>
      <c r="N27" s="43">
        <f>IF(OR(E27="",G27="",H27="",J27=""),"",IF(E27="P",-9.236+0.0002708*(H27+I27)*(G27-(H27+I27))-0.001663*(M27*(G27-(H27+I27)))+0.007216*(M27*(H27+I27))+0.02292*(J27/G27*100),-9.376+0.0001882*(H27+I27)*(G27-(H27+I27))+0.0022*(M27*(H27+I27))+0.005841*(M27*(H27+I27))-0.002658*(M27*J27)+0.07693*(J27/G27*100)))</f>
        <v/>
      </c>
      <c r="O27" s="44">
        <f>IF(N27="","Ei tiedossa",IF(N27&lt;-1,"Varhainen",IF(N27&lt;0.5,"PHV-huippu","Post-PHV")))</f>
        <v/>
      </c>
      <c r="P27" s="45">
        <f>IF(A27="","",TODAY())</f>
        <v/>
      </c>
      <c r="Q27" s="46" t="n"/>
      <c r="R27" s="47">
        <f>IF(OR(M27="",N27=""),"",M27-N27)</f>
        <v/>
      </c>
      <c r="S27" s="48">
        <f>IF(OR(R27="",D27="",E27=""),"Ei tietoja",IF(R27&gt;=IF(E27="P",VLOOKUP(MONTH(D27),'📋 Ohjeet'!$A$50:$C$61,2,FALSE()),VLOOKUP(MONTH(D27),'📋 Ohjeet'!$A$50:$C$61,3,FALSE())),"✅ KYLLÄ","❌ EI"))</f>
        <v/>
      </c>
    </row>
    <row r="28" ht="15" customHeight="1" s="30">
      <c r="A28" s="49" t="n"/>
      <c r="B28" s="49" t="n"/>
      <c r="C28" s="49" t="n"/>
      <c r="D28" s="49" t="n"/>
      <c r="E28" s="49" t="n"/>
      <c r="F28" s="49" t="n"/>
      <c r="G28" s="50" t="n"/>
      <c r="H28" s="50" t="n"/>
      <c r="I28" s="50" t="n"/>
      <c r="J28" s="50" t="n"/>
      <c r="K28" s="50" t="n"/>
      <c r="L28" s="50" t="n"/>
      <c r="M28" s="51">
        <f>IF(D28="","",DATEDIF(D28,TODAY(),"Y")+DATEDIF(D28,TODAY(),"YM")/12)</f>
        <v/>
      </c>
      <c r="N28" s="52">
        <f>IF(OR(E28="",G28="",H28="",J28=""),"",IF(E28="P",-9.236+0.0002708*(H28+I28)*(G28-(H28+I28))-0.001663*(M28*(G28-(H28+I28)))+0.007216*(M28*(H28+I28))+0.02292*(J28/G28*100),-9.376+0.0001882*(H28+I28)*(G28-(H28+I28))+0.0022*(M28*(H28+I28))+0.005841*(M28*(H28+I28))-0.002658*(M28*J28)+0.07693*(J28/G28*100)))</f>
        <v/>
      </c>
      <c r="O28" s="53">
        <f>IF(N28="","Ei tiedossa",IF(N28&lt;-1,"Varhainen",IF(N28&lt;0.5,"PHV-huippu","Post-PHV")))</f>
        <v/>
      </c>
      <c r="P28" s="54">
        <f>IF(A28="","",TODAY())</f>
        <v/>
      </c>
      <c r="Q28" s="55" t="n"/>
      <c r="R28" s="56">
        <f>IF(OR(M28="",N28=""),"",M28-N28)</f>
        <v/>
      </c>
      <c r="S28" s="57">
        <f>IF(OR(R28="",D28="",E28=""),"Ei tietoja",IF(R28&gt;=IF(E28="P",VLOOKUP(MONTH(D28),'📋 Ohjeet'!$A$50:$C$61,2,FALSE()),VLOOKUP(MONTH(D28),'📋 Ohjeet'!$A$50:$C$61,3,FALSE())),"✅ KYLLÄ","❌ EI"))</f>
        <v/>
      </c>
    </row>
    <row r="29" ht="15" customHeight="1" s="30">
      <c r="A29" s="40" t="n"/>
      <c r="B29" s="40" t="n"/>
      <c r="C29" s="40" t="n"/>
      <c r="D29" s="40" t="n"/>
      <c r="E29" s="40" t="n"/>
      <c r="F29" s="40" t="n"/>
      <c r="G29" s="41" t="n"/>
      <c r="H29" s="41" t="n"/>
      <c r="I29" s="41" t="n"/>
      <c r="J29" s="41" t="n"/>
      <c r="K29" s="41" t="n"/>
      <c r="L29" s="41" t="n"/>
      <c r="M29" s="42">
        <f>IF(D29="","",DATEDIF(D29,TODAY(),"Y")+DATEDIF(D29,TODAY(),"YM")/12)</f>
        <v/>
      </c>
      <c r="N29" s="43">
        <f>IF(OR(E29="",G29="",H29="",J29=""),"",IF(E29="P",-9.236+0.0002708*(H29+I29)*(G29-(H29+I29))-0.001663*(M29*(G29-(H29+I29)))+0.007216*(M29*(H29+I29))+0.02292*(J29/G29*100),-9.376+0.0001882*(H29+I29)*(G29-(H29+I29))+0.0022*(M29*(H29+I29))+0.005841*(M29*(H29+I29))-0.002658*(M29*J29)+0.07693*(J29/G29*100)))</f>
        <v/>
      </c>
      <c r="O29" s="44">
        <f>IF(N29="","Ei tiedossa",IF(N29&lt;-1,"Varhainen",IF(N29&lt;0.5,"PHV-huippu","Post-PHV")))</f>
        <v/>
      </c>
      <c r="P29" s="45">
        <f>IF(A29="","",TODAY())</f>
        <v/>
      </c>
      <c r="Q29" s="46" t="n"/>
      <c r="R29" s="47">
        <f>IF(OR(M29="",N29=""),"",M29-N29)</f>
        <v/>
      </c>
      <c r="S29" s="48">
        <f>IF(OR(R29="",D29="",E29=""),"Ei tietoja",IF(R29&gt;=IF(E29="P",VLOOKUP(MONTH(D29),'📋 Ohjeet'!$A$50:$C$61,2,FALSE()),VLOOKUP(MONTH(D29),'📋 Ohjeet'!$A$50:$C$61,3,FALSE())),"✅ KYLLÄ","❌ EI"))</f>
        <v/>
      </c>
    </row>
    <row r="30" ht="15" customHeight="1" s="30">
      <c r="A30" s="49" t="n"/>
      <c r="B30" s="49" t="n"/>
      <c r="C30" s="49" t="n"/>
      <c r="D30" s="49" t="n"/>
      <c r="E30" s="49" t="n"/>
      <c r="F30" s="49" t="n"/>
      <c r="G30" s="50" t="n"/>
      <c r="H30" s="50" t="n"/>
      <c r="I30" s="50" t="n"/>
      <c r="J30" s="50" t="n"/>
      <c r="K30" s="50" t="n"/>
      <c r="L30" s="50" t="n"/>
      <c r="M30" s="51">
        <f>IF(D30="","",DATEDIF(D30,TODAY(),"Y")+DATEDIF(D30,TODAY(),"YM")/12)</f>
        <v/>
      </c>
      <c r="N30" s="52">
        <f>IF(OR(E30="",G30="",H30="",J30=""),"",IF(E30="P",-9.236+0.0002708*(H30+I30)*(G30-(H30+I30))-0.001663*(M30*(G30-(H30+I30)))+0.007216*(M30*(H30+I30))+0.02292*(J30/G30*100),-9.376+0.0001882*(H30+I30)*(G30-(H30+I30))+0.0022*(M30*(H30+I30))+0.005841*(M30*(H30+I30))-0.002658*(M30*J30)+0.07693*(J30/G30*100)))</f>
        <v/>
      </c>
      <c r="O30" s="53">
        <f>IF(N30="","Ei tiedossa",IF(N30&lt;-1,"Varhainen",IF(N30&lt;0.5,"PHV-huippu","Post-PHV")))</f>
        <v/>
      </c>
      <c r="P30" s="54">
        <f>IF(A30="","",TODAY())</f>
        <v/>
      </c>
      <c r="Q30" s="55" t="n"/>
      <c r="R30" s="56">
        <f>IF(OR(M30="",N30=""),"",M30-N30)</f>
        <v/>
      </c>
      <c r="S30" s="57">
        <f>IF(OR(R30="",D30="",E30=""),"Ei tietoja",IF(R30&gt;=IF(E30="P",VLOOKUP(MONTH(D30),'📋 Ohjeet'!$A$50:$C$61,2,FALSE()),VLOOKUP(MONTH(D30),'📋 Ohjeet'!$A$50:$C$61,3,FALSE())),"✅ KYLLÄ","❌ EI"))</f>
        <v/>
      </c>
    </row>
    <row r="31" ht="15" customHeight="1" s="30">
      <c r="A31" s="40" t="n"/>
      <c r="B31" s="40" t="n"/>
      <c r="C31" s="40" t="n"/>
      <c r="D31" s="40" t="n"/>
      <c r="E31" s="40" t="n"/>
      <c r="F31" s="40" t="n"/>
      <c r="G31" s="41" t="n"/>
      <c r="H31" s="41" t="n"/>
      <c r="I31" s="41" t="n"/>
      <c r="J31" s="41" t="n"/>
      <c r="K31" s="41" t="n"/>
      <c r="L31" s="41" t="n"/>
      <c r="M31" s="42">
        <f>IF(D31="","",DATEDIF(D31,TODAY(),"Y")+DATEDIF(D31,TODAY(),"YM")/12)</f>
        <v/>
      </c>
      <c r="N31" s="43">
        <f>IF(OR(E31="",G31="",H31="",J31=""),"",IF(E31="P",-9.236+0.0002708*(H31+I31)*(G31-(H31+I31))-0.001663*(M31*(G31-(H31+I31)))+0.007216*(M31*(H31+I31))+0.02292*(J31/G31*100),-9.376+0.0001882*(H31+I31)*(G31-(H31+I31))+0.0022*(M31*(H31+I31))+0.005841*(M31*(H31+I31))-0.002658*(M31*J31)+0.07693*(J31/G31*100)))</f>
        <v/>
      </c>
      <c r="O31" s="44">
        <f>IF(N31="","Ei tiedossa",IF(N31&lt;-1,"Varhainen",IF(N31&lt;0.5,"PHV-huippu","Post-PHV")))</f>
        <v/>
      </c>
      <c r="P31" s="45">
        <f>IF(A31="","",TODAY())</f>
        <v/>
      </c>
      <c r="Q31" s="46" t="n"/>
      <c r="R31" s="47">
        <f>IF(OR(M31="",N31=""),"",M31-N31)</f>
        <v/>
      </c>
      <c r="S31" s="48">
        <f>IF(OR(R31="",D31="",E31=""),"Ei tietoja",IF(R31&gt;=IF(E31="P",VLOOKUP(MONTH(D31),'📋 Ohjeet'!$A$50:$C$61,2,FALSE()),VLOOKUP(MONTH(D31),'📋 Ohjeet'!$A$50:$C$61,3,FALSE())),"✅ KYLLÄ","❌ EI"))</f>
        <v/>
      </c>
    </row>
    <row r="32" ht="15" customHeight="1" s="30">
      <c r="A32" s="49" t="n"/>
      <c r="B32" s="49" t="n"/>
      <c r="C32" s="49" t="n"/>
      <c r="D32" s="49" t="n"/>
      <c r="E32" s="49" t="n"/>
      <c r="F32" s="49" t="n"/>
      <c r="G32" s="50" t="n"/>
      <c r="H32" s="50" t="n"/>
      <c r="I32" s="50" t="n"/>
      <c r="J32" s="50" t="n"/>
      <c r="K32" s="50" t="n"/>
      <c r="L32" s="50" t="n"/>
      <c r="M32" s="51">
        <f>IF(D32="","",DATEDIF(D32,TODAY(),"Y")+DATEDIF(D32,TODAY(),"YM")/12)</f>
        <v/>
      </c>
      <c r="N32" s="52">
        <f>IF(OR(E32="",G32="",H32="",J32=""),"",IF(E32="P",-9.236+0.0002708*(H32+I32)*(G32-(H32+I32))-0.001663*(M32*(G32-(H32+I32)))+0.007216*(M32*(H32+I32))+0.02292*(J32/G32*100),-9.376+0.0001882*(H32+I32)*(G32-(H32+I32))+0.0022*(M32*(H32+I32))+0.005841*(M32*(H32+I32))-0.002658*(M32*J32)+0.07693*(J32/G32*100)))</f>
        <v/>
      </c>
      <c r="O32" s="53">
        <f>IF(N32="","Ei tiedossa",IF(N32&lt;-1,"Varhainen",IF(N32&lt;0.5,"PHV-huippu","Post-PHV")))</f>
        <v/>
      </c>
      <c r="P32" s="54">
        <f>IF(A32="","",TODAY())</f>
        <v/>
      </c>
      <c r="Q32" s="55" t="n"/>
      <c r="R32" s="56">
        <f>IF(OR(M32="",N32=""),"",M32-N32)</f>
        <v/>
      </c>
      <c r="S32" s="57">
        <f>IF(OR(R32="",D32="",E32=""),"Ei tietoja",IF(R32&gt;=IF(E32="P",VLOOKUP(MONTH(D32),'📋 Ohjeet'!$A$50:$C$61,2,FALSE()),VLOOKUP(MONTH(D32),'📋 Ohjeet'!$A$50:$C$61,3,FALSE())),"✅ KYLLÄ","❌ EI"))</f>
        <v/>
      </c>
    </row>
    <row r="33" ht="15" customHeight="1" s="30">
      <c r="A33" s="40" t="n"/>
      <c r="B33" s="40" t="n"/>
      <c r="C33" s="40" t="n"/>
      <c r="D33" s="40" t="n"/>
      <c r="E33" s="40" t="n"/>
      <c r="F33" s="40" t="n"/>
      <c r="G33" s="41" t="n"/>
      <c r="H33" s="41" t="n"/>
      <c r="I33" s="41" t="n"/>
      <c r="J33" s="41" t="n"/>
      <c r="K33" s="41" t="n"/>
      <c r="L33" s="41" t="n"/>
      <c r="M33" s="42">
        <f>IF(D33="","",DATEDIF(D33,TODAY(),"Y")+DATEDIF(D33,TODAY(),"YM")/12)</f>
        <v/>
      </c>
      <c r="N33" s="43">
        <f>IF(OR(E33="",G33="",H33="",J33=""),"",IF(E33="P",-9.236+0.0002708*(H33+I33)*(G33-(H33+I33))-0.001663*(M33*(G33-(H33+I33)))+0.007216*(M33*(H33+I33))+0.02292*(J33/G33*100),-9.376+0.0001882*(H33+I33)*(G33-(H33+I33))+0.0022*(M33*(H33+I33))+0.005841*(M33*(H33+I33))-0.002658*(M33*J33)+0.07693*(J33/G33*100)))</f>
        <v/>
      </c>
      <c r="O33" s="44">
        <f>IF(N33="","Ei tiedossa",IF(N33&lt;-1,"Varhainen",IF(N33&lt;0.5,"PHV-huippu","Post-PHV")))</f>
        <v/>
      </c>
      <c r="P33" s="45">
        <f>IF(A33="","",TODAY())</f>
        <v/>
      </c>
      <c r="Q33" s="46" t="n"/>
      <c r="R33" s="47">
        <f>IF(OR(M33="",N33=""),"",M33-N33)</f>
        <v/>
      </c>
      <c r="S33" s="48">
        <f>IF(OR(R33="",D33="",E33=""),"Ei tietoja",IF(R33&gt;=IF(E33="P",VLOOKUP(MONTH(D33),'📋 Ohjeet'!$A$50:$C$61,2,FALSE()),VLOOKUP(MONTH(D33),'📋 Ohjeet'!$A$50:$C$61,3,FALSE())),"✅ KYLLÄ","❌ EI"))</f>
        <v/>
      </c>
    </row>
    <row r="34" ht="15" customHeight="1" s="30">
      <c r="A34" s="49" t="n"/>
      <c r="B34" s="49" t="n"/>
      <c r="C34" s="49" t="n"/>
      <c r="D34" s="49" t="n"/>
      <c r="E34" s="49" t="n"/>
      <c r="F34" s="49" t="n"/>
      <c r="G34" s="50" t="n"/>
      <c r="H34" s="50" t="n"/>
      <c r="I34" s="50" t="n"/>
      <c r="J34" s="50" t="n"/>
      <c r="K34" s="50" t="n"/>
      <c r="L34" s="50" t="n"/>
      <c r="M34" s="51">
        <f>IF(D34="","",DATEDIF(D34,TODAY(),"Y")+DATEDIF(D34,TODAY(),"YM")/12)</f>
        <v/>
      </c>
      <c r="N34" s="52">
        <f>IF(OR(E34="",G34="",H34="",J34=""),"",IF(E34="P",-9.236+0.0002708*(H34+I34)*(G34-(H34+I34))-0.001663*(M34*(G34-(H34+I34)))+0.007216*(M34*(H34+I34))+0.02292*(J34/G34*100),-9.376+0.0001882*(H34+I34)*(G34-(H34+I34))+0.0022*(M34*(H34+I34))+0.005841*(M34*(H34+I34))-0.002658*(M34*J34)+0.07693*(J34/G34*100)))</f>
        <v/>
      </c>
      <c r="O34" s="53">
        <f>IF(N34="","Ei tiedossa",IF(N34&lt;-1,"Varhainen",IF(N34&lt;0.5,"PHV-huippu","Post-PHV")))</f>
        <v/>
      </c>
      <c r="P34" s="54">
        <f>IF(A34="","",TODAY())</f>
        <v/>
      </c>
      <c r="Q34" s="55" t="n"/>
      <c r="R34" s="56">
        <f>IF(OR(M34="",N34=""),"",M34-N34)</f>
        <v/>
      </c>
      <c r="S34" s="57">
        <f>IF(OR(R34="",D34="",E34=""),"Ei tietoja",IF(R34&gt;=IF(E34="P",VLOOKUP(MONTH(D34),'📋 Ohjeet'!$A$50:$C$61,2,FALSE()),VLOOKUP(MONTH(D34),'📋 Ohjeet'!$A$50:$C$61,3,FALSE())),"✅ KYLLÄ","❌ EI"))</f>
        <v/>
      </c>
    </row>
    <row r="35" ht="15" customHeight="1" s="30">
      <c r="A35" s="40" t="n"/>
      <c r="B35" s="40" t="n"/>
      <c r="C35" s="40" t="n"/>
      <c r="D35" s="40" t="n"/>
      <c r="E35" s="40" t="n"/>
      <c r="F35" s="40" t="n"/>
      <c r="G35" s="41" t="n"/>
      <c r="H35" s="41" t="n"/>
      <c r="I35" s="41" t="n"/>
      <c r="J35" s="41" t="n"/>
      <c r="K35" s="41" t="n"/>
      <c r="L35" s="41" t="n"/>
      <c r="M35" s="42">
        <f>IF(D35="","",DATEDIF(D35,TODAY(),"Y")+DATEDIF(D35,TODAY(),"YM")/12)</f>
        <v/>
      </c>
      <c r="N35" s="43">
        <f>IF(OR(E35="",G35="",H35="",J35=""),"",IF(E35="P",-9.236+0.0002708*(H35+I35)*(G35-(H35+I35))-0.001663*(M35*(G35-(H35+I35)))+0.007216*(M35*(H35+I35))+0.02292*(J35/G35*100),-9.376+0.0001882*(H35+I35)*(G35-(H35+I35))+0.0022*(M35*(H35+I35))+0.005841*(M35*(H35+I35))-0.002658*(M35*J35)+0.07693*(J35/G35*100)))</f>
        <v/>
      </c>
      <c r="O35" s="44">
        <f>IF(N35="","Ei tiedossa",IF(N35&lt;-1,"Varhainen",IF(N35&lt;0.5,"PHV-huippu","Post-PHV")))</f>
        <v/>
      </c>
      <c r="P35" s="45">
        <f>IF(A35="","",TODAY())</f>
        <v/>
      </c>
      <c r="Q35" s="46" t="n"/>
      <c r="R35" s="47">
        <f>IF(OR(M35="",N35=""),"",M35-N35)</f>
        <v/>
      </c>
      <c r="S35" s="48">
        <f>IF(OR(R35="",D35="",E35=""),"Ei tietoja",IF(R35&gt;=IF(E35="P",VLOOKUP(MONTH(D35),'📋 Ohjeet'!$A$50:$C$61,2,FALSE()),VLOOKUP(MONTH(D35),'📋 Ohjeet'!$A$50:$C$61,3,FALSE())),"✅ KYLLÄ","❌ EI"))</f>
        <v/>
      </c>
    </row>
    <row r="36" ht="15" customHeight="1" s="30">
      <c r="A36" s="49" t="n"/>
      <c r="B36" s="49" t="n"/>
      <c r="C36" s="49" t="n"/>
      <c r="D36" s="49" t="n"/>
      <c r="E36" s="49" t="n"/>
      <c r="F36" s="49" t="n"/>
      <c r="G36" s="50" t="n"/>
      <c r="H36" s="50" t="n"/>
      <c r="I36" s="50" t="n"/>
      <c r="J36" s="50" t="n"/>
      <c r="K36" s="50" t="n"/>
      <c r="L36" s="50" t="n"/>
      <c r="M36" s="51">
        <f>IF(D36="","",DATEDIF(D36,TODAY(),"Y")+DATEDIF(D36,TODAY(),"YM")/12)</f>
        <v/>
      </c>
      <c r="N36" s="52">
        <f>IF(OR(E36="",G36="",H36="",J36=""),"",IF(E36="P",-9.236+0.0002708*(H36+I36)*(G36-(H36+I36))-0.001663*(M36*(G36-(H36+I36)))+0.007216*(M36*(H36+I36))+0.02292*(J36/G36*100),-9.376+0.0001882*(H36+I36)*(G36-(H36+I36))+0.0022*(M36*(H36+I36))+0.005841*(M36*(H36+I36))-0.002658*(M36*J36)+0.07693*(J36/G36*100)))</f>
        <v/>
      </c>
      <c r="O36" s="53">
        <f>IF(N36="","Ei tiedossa",IF(N36&lt;-1,"Varhainen",IF(N36&lt;0.5,"PHV-huippu","Post-PHV")))</f>
        <v/>
      </c>
      <c r="P36" s="54">
        <f>IF(A36="","",TODAY())</f>
        <v/>
      </c>
      <c r="Q36" s="55" t="n"/>
      <c r="R36" s="56">
        <f>IF(OR(M36="",N36=""),"",M36-N36)</f>
        <v/>
      </c>
      <c r="S36" s="57">
        <f>IF(OR(R36="",D36="",E36=""),"Ei tietoja",IF(R36&gt;=IF(E36="P",VLOOKUP(MONTH(D36),'📋 Ohjeet'!$A$50:$C$61,2,FALSE()),VLOOKUP(MONTH(D36),'📋 Ohjeet'!$A$50:$C$61,3,FALSE())),"✅ KYLLÄ","❌ EI"))</f>
        <v/>
      </c>
    </row>
    <row r="37" ht="15" customHeight="1" s="30">
      <c r="A37" s="40" t="n"/>
      <c r="B37" s="40" t="n"/>
      <c r="C37" s="40" t="n"/>
      <c r="D37" s="40" t="n"/>
      <c r="E37" s="40" t="n"/>
      <c r="F37" s="40" t="n"/>
      <c r="G37" s="41" t="n"/>
      <c r="H37" s="41" t="n"/>
      <c r="I37" s="41" t="n"/>
      <c r="J37" s="41" t="n"/>
      <c r="K37" s="41" t="n"/>
      <c r="L37" s="41" t="n"/>
      <c r="M37" s="42">
        <f>IF(D37="","",DATEDIF(D37,TODAY(),"Y")+DATEDIF(D37,TODAY(),"YM")/12)</f>
        <v/>
      </c>
      <c r="N37" s="43">
        <f>IF(OR(E37="",G37="",H37="",J37=""),"",IF(E37="P",-9.236+0.0002708*(H37+I37)*(G37-(H37+I37))-0.001663*(M37*(G37-(H37+I37)))+0.007216*(M37*(H37+I37))+0.02292*(J37/G37*100),-9.376+0.0001882*(H37+I37)*(G37-(H37+I37))+0.0022*(M37*(H37+I37))+0.005841*(M37*(H37+I37))-0.002658*(M37*J37)+0.07693*(J37/G37*100)))</f>
        <v/>
      </c>
      <c r="O37" s="44">
        <f>IF(N37="","Ei tiedossa",IF(N37&lt;-1,"Varhainen",IF(N37&lt;0.5,"PHV-huippu","Post-PHV")))</f>
        <v/>
      </c>
      <c r="P37" s="45">
        <f>IF(A37="","",TODAY())</f>
        <v/>
      </c>
      <c r="Q37" s="46" t="n"/>
      <c r="R37" s="47">
        <f>IF(OR(M37="",N37=""),"",M37-N37)</f>
        <v/>
      </c>
      <c r="S37" s="48">
        <f>IF(OR(R37="",D37="",E37=""),"Ei tietoja",IF(R37&gt;=IF(E37="P",VLOOKUP(MONTH(D37),'📋 Ohjeet'!$A$50:$C$61,2,FALSE()),VLOOKUP(MONTH(D37),'📋 Ohjeet'!$A$50:$C$61,3,FALSE())),"✅ KYLLÄ","❌ EI"))</f>
        <v/>
      </c>
    </row>
    <row r="38" ht="15" customHeight="1" s="30">
      <c r="A38" s="49" t="n"/>
      <c r="B38" s="49" t="n"/>
      <c r="C38" s="49" t="n"/>
      <c r="D38" s="49" t="n"/>
      <c r="E38" s="49" t="n"/>
      <c r="F38" s="49" t="n"/>
      <c r="G38" s="50" t="n"/>
      <c r="H38" s="50" t="n"/>
      <c r="I38" s="50" t="n"/>
      <c r="J38" s="50" t="n"/>
      <c r="K38" s="50" t="n"/>
      <c r="L38" s="50" t="n"/>
      <c r="M38" s="51">
        <f>IF(D38="","",DATEDIF(D38,TODAY(),"Y")+DATEDIF(D38,TODAY(),"YM")/12)</f>
        <v/>
      </c>
      <c r="N38" s="52">
        <f>IF(OR(E38="",G38="",H38="",J38=""),"",IF(E38="P",-9.236+0.0002708*(H38+I38)*(G38-(H38+I38))-0.001663*(M38*(G38-(H38+I38)))+0.007216*(M38*(H38+I38))+0.02292*(J38/G38*100),-9.376+0.0001882*(H38+I38)*(G38-(H38+I38))+0.0022*(M38*(H38+I38))+0.005841*(M38*(H38+I38))-0.002658*(M38*J38)+0.07693*(J38/G38*100)))</f>
        <v/>
      </c>
      <c r="O38" s="53">
        <f>IF(N38="","Ei tiedossa",IF(N38&lt;-1,"Varhainen",IF(N38&lt;0.5,"PHV-huippu","Post-PHV")))</f>
        <v/>
      </c>
      <c r="P38" s="54">
        <f>IF(A38="","",TODAY())</f>
        <v/>
      </c>
      <c r="Q38" s="55" t="n"/>
      <c r="R38" s="56">
        <f>IF(OR(M38="",N38=""),"",M38-N38)</f>
        <v/>
      </c>
      <c r="S38" s="57">
        <f>IF(OR(R38="",D38="",E38=""),"Ei tietoja",IF(R38&gt;=IF(E38="P",VLOOKUP(MONTH(D38),'📋 Ohjeet'!$A$50:$C$61,2,FALSE()),VLOOKUP(MONTH(D38),'📋 Ohjeet'!$A$50:$C$61,3,FALSE())),"✅ KYLLÄ","❌ EI"))</f>
        <v/>
      </c>
    </row>
    <row r="39" ht="15" customHeight="1" s="30">
      <c r="A39" s="40" t="n"/>
      <c r="B39" s="40" t="n"/>
      <c r="C39" s="40" t="n"/>
      <c r="D39" s="40" t="n"/>
      <c r="E39" s="40" t="n"/>
      <c r="F39" s="40" t="n"/>
      <c r="G39" s="41" t="n"/>
      <c r="H39" s="41" t="n"/>
      <c r="I39" s="41" t="n"/>
      <c r="J39" s="41" t="n"/>
      <c r="K39" s="41" t="n"/>
      <c r="L39" s="41" t="n"/>
      <c r="M39" s="42">
        <f>IF(D39="","",DATEDIF(D39,TODAY(),"Y")+DATEDIF(D39,TODAY(),"YM")/12)</f>
        <v/>
      </c>
      <c r="N39" s="43">
        <f>IF(OR(E39="",G39="",H39="",J39=""),"",IF(E39="P",-9.236+0.0002708*(H39+I39)*(G39-(H39+I39))-0.001663*(M39*(G39-(H39+I39)))+0.007216*(M39*(H39+I39))+0.02292*(J39/G39*100),-9.376+0.0001882*(H39+I39)*(G39-(H39+I39))+0.0022*(M39*(H39+I39))+0.005841*(M39*(H39+I39))-0.002658*(M39*J39)+0.07693*(J39/G39*100)))</f>
        <v/>
      </c>
      <c r="O39" s="44">
        <f>IF(N39="","Ei tiedossa",IF(N39&lt;-1,"Varhainen",IF(N39&lt;0.5,"PHV-huippu","Post-PHV")))</f>
        <v/>
      </c>
      <c r="P39" s="45">
        <f>IF(A39="","",TODAY())</f>
        <v/>
      </c>
      <c r="Q39" s="46" t="n"/>
      <c r="R39" s="47">
        <f>IF(OR(M39="",N39=""),"",M39-N39)</f>
        <v/>
      </c>
      <c r="S39" s="48">
        <f>IF(OR(R39="",D39="",E39=""),"Ei tietoja",IF(R39&gt;=IF(E39="P",VLOOKUP(MONTH(D39),'📋 Ohjeet'!$A$50:$C$61,2,FALSE()),VLOOKUP(MONTH(D39),'📋 Ohjeet'!$A$50:$C$61,3,FALSE())),"✅ KYLLÄ","❌ EI"))</f>
        <v/>
      </c>
    </row>
    <row r="40" ht="15" customHeight="1" s="30">
      <c r="A40" s="49" t="n"/>
      <c r="B40" s="49" t="n"/>
      <c r="C40" s="49" t="n"/>
      <c r="D40" s="49" t="n"/>
      <c r="E40" s="49" t="n"/>
      <c r="F40" s="49" t="n"/>
      <c r="G40" s="50" t="n"/>
      <c r="H40" s="50" t="n"/>
      <c r="I40" s="50" t="n"/>
      <c r="J40" s="50" t="n"/>
      <c r="K40" s="50" t="n"/>
      <c r="L40" s="50" t="n"/>
      <c r="M40" s="51">
        <f>IF(D40="","",DATEDIF(D40,TODAY(),"Y")+DATEDIF(D40,TODAY(),"YM")/12)</f>
        <v/>
      </c>
      <c r="N40" s="52">
        <f>IF(OR(E40="",G40="",H40="",J40=""),"",IF(E40="P",-9.236+0.0002708*(H40+I40)*(G40-(H40+I40))-0.001663*(M40*(G40-(H40+I40)))+0.007216*(M40*(H40+I40))+0.02292*(J40/G40*100),-9.376+0.0001882*(H40+I40)*(G40-(H40+I40))+0.0022*(M40*(H40+I40))+0.005841*(M40*(H40+I40))-0.002658*(M40*J40)+0.07693*(J40/G40*100)))</f>
        <v/>
      </c>
      <c r="O40" s="53">
        <f>IF(N40="","Ei tiedossa",IF(N40&lt;-1,"Varhainen",IF(N40&lt;0.5,"PHV-huippu","Post-PHV")))</f>
        <v/>
      </c>
      <c r="P40" s="54">
        <f>IF(A40="","",TODAY())</f>
        <v/>
      </c>
      <c r="Q40" s="55" t="n"/>
      <c r="R40" s="56">
        <f>IF(OR(M40="",N40=""),"",M40-N40)</f>
        <v/>
      </c>
      <c r="S40" s="57">
        <f>IF(OR(R40="",D40="",E40=""),"Ei tietoja",IF(R40&gt;=IF(E40="P",VLOOKUP(MONTH(D40),'📋 Ohjeet'!$A$50:$C$61,2,FALSE()),VLOOKUP(MONTH(D40),'📋 Ohjeet'!$A$50:$C$61,3,FALSE())),"✅ KYLLÄ","❌ EI"))</f>
        <v/>
      </c>
    </row>
    <row r="41" ht="15" customHeight="1" s="30">
      <c r="A41" s="40" t="n"/>
      <c r="B41" s="40" t="n"/>
      <c r="C41" s="40" t="n"/>
      <c r="D41" s="40" t="n"/>
      <c r="E41" s="40" t="n"/>
      <c r="F41" s="40" t="n"/>
      <c r="G41" s="41" t="n"/>
      <c r="H41" s="41" t="n"/>
      <c r="I41" s="41" t="n"/>
      <c r="J41" s="41" t="n"/>
      <c r="K41" s="41" t="n"/>
      <c r="L41" s="41" t="n"/>
      <c r="M41" s="42">
        <f>IF(D41="","",DATEDIF(D41,TODAY(),"Y")+DATEDIF(D41,TODAY(),"YM")/12)</f>
        <v/>
      </c>
      <c r="N41" s="43">
        <f>IF(OR(E41="",G41="",H41="",J41=""),"",IF(E41="P",-9.236+0.0002708*(H41+I41)*(G41-(H41+I41))-0.001663*(M41*(G41-(H41+I41)))+0.007216*(M41*(H41+I41))+0.02292*(J41/G41*100),-9.376+0.0001882*(H41+I41)*(G41-(H41+I41))+0.0022*(M41*(H41+I41))+0.005841*(M41*(H41+I41))-0.002658*(M41*J41)+0.07693*(J41/G41*100)))</f>
        <v/>
      </c>
      <c r="O41" s="44">
        <f>IF(N41="","Ei tiedossa",IF(N41&lt;-1,"Varhainen",IF(N41&lt;0.5,"PHV-huippu","Post-PHV")))</f>
        <v/>
      </c>
      <c r="P41" s="45">
        <f>IF(A41="","",TODAY())</f>
        <v/>
      </c>
      <c r="Q41" s="46" t="n"/>
      <c r="R41" s="47">
        <f>IF(OR(M41="",N41=""),"",M41-N41)</f>
        <v/>
      </c>
      <c r="S41" s="48">
        <f>IF(OR(R41="",D41="",E41=""),"Ei tietoja",IF(R41&gt;=IF(E41="P",VLOOKUP(MONTH(D41),'📋 Ohjeet'!$A$50:$C$61,2,FALSE()),VLOOKUP(MONTH(D41),'📋 Ohjeet'!$A$50:$C$61,3,FALSE())),"✅ KYLLÄ","❌ EI"))</f>
        <v/>
      </c>
    </row>
    <row r="42" ht="15" customHeight="1" s="30">
      <c r="A42" s="49" t="n"/>
      <c r="B42" s="49" t="n"/>
      <c r="C42" s="49" t="n"/>
      <c r="D42" s="49" t="n"/>
      <c r="E42" s="49" t="n"/>
      <c r="F42" s="49" t="n"/>
      <c r="G42" s="50" t="n"/>
      <c r="H42" s="50" t="n"/>
      <c r="I42" s="50" t="n"/>
      <c r="J42" s="50" t="n"/>
      <c r="K42" s="50" t="n"/>
      <c r="L42" s="50" t="n"/>
      <c r="M42" s="51">
        <f>IF(D42="","",DATEDIF(D42,TODAY(),"Y")+DATEDIF(D42,TODAY(),"YM")/12)</f>
        <v/>
      </c>
      <c r="N42" s="52">
        <f>IF(OR(E42="",G42="",H42="",J42=""),"",IF(E42="P",-9.236+0.0002708*(H42+I42)*(G42-(H42+I42))-0.001663*(M42*(G42-(H42+I42)))+0.007216*(M42*(H42+I42))+0.02292*(J42/G42*100),-9.376+0.0001882*(H42+I42)*(G42-(H42+I42))+0.0022*(M42*(H42+I42))+0.005841*(M42*(H42+I42))-0.002658*(M42*J42)+0.07693*(J42/G42*100)))</f>
        <v/>
      </c>
      <c r="O42" s="53">
        <f>IF(N42="","Ei tiedossa",IF(N42&lt;-1,"Varhainen",IF(N42&lt;0.5,"PHV-huippu","Post-PHV")))</f>
        <v/>
      </c>
      <c r="P42" s="54">
        <f>IF(A42="","",TODAY())</f>
        <v/>
      </c>
      <c r="Q42" s="55" t="n"/>
      <c r="R42" s="56">
        <f>IF(OR(M42="",N42=""),"",M42-N42)</f>
        <v/>
      </c>
      <c r="S42" s="57">
        <f>IF(OR(R42="",D42="",E42=""),"Ei tietoja",IF(R42&gt;=IF(E42="P",VLOOKUP(MONTH(D42),'📋 Ohjeet'!$A$50:$C$61,2,FALSE()),VLOOKUP(MONTH(D42),'📋 Ohjeet'!$A$50:$C$61,3,FALSE())),"✅ KYLLÄ","❌ EI"))</f>
        <v/>
      </c>
    </row>
    <row r="43" ht="15" customHeight="1" s="30">
      <c r="A43" s="40" t="n"/>
      <c r="B43" s="40" t="n"/>
      <c r="C43" s="40" t="n"/>
      <c r="D43" s="40" t="n"/>
      <c r="E43" s="40" t="n"/>
      <c r="F43" s="40" t="n"/>
      <c r="G43" s="41" t="n"/>
      <c r="H43" s="41" t="n"/>
      <c r="I43" s="41" t="n"/>
      <c r="J43" s="41" t="n"/>
      <c r="K43" s="41" t="n"/>
      <c r="L43" s="41" t="n"/>
      <c r="M43" s="42">
        <f>IF(D43="","",DATEDIF(D43,TODAY(),"Y")+DATEDIF(D43,TODAY(),"YM")/12)</f>
        <v/>
      </c>
      <c r="N43" s="43">
        <f>IF(OR(E43="",G43="",H43="",J43=""),"",IF(E43="P",-9.236+0.0002708*(H43+I43)*(G43-(H43+I43))-0.001663*(M43*(G43-(H43+I43)))+0.007216*(M43*(H43+I43))+0.02292*(J43/G43*100),-9.376+0.0001882*(H43+I43)*(G43-(H43+I43))+0.0022*(M43*(H43+I43))+0.005841*(M43*(H43+I43))-0.002658*(M43*J43)+0.07693*(J43/G43*100)))</f>
        <v/>
      </c>
      <c r="O43" s="44">
        <f>IF(N43="","Ei tiedossa",IF(N43&lt;-1,"Varhainen",IF(N43&lt;0.5,"PHV-huippu","Post-PHV")))</f>
        <v/>
      </c>
      <c r="P43" s="45">
        <f>IF(A43="","",TODAY())</f>
        <v/>
      </c>
      <c r="Q43" s="46" t="n"/>
      <c r="R43" s="47">
        <f>IF(OR(M43="",N43=""),"",M43-N43)</f>
        <v/>
      </c>
      <c r="S43" s="48">
        <f>IF(OR(R43="",D43="",E43=""),"Ei tietoja",IF(R43&gt;=IF(E43="P",VLOOKUP(MONTH(D43),'📋 Ohjeet'!$A$50:$C$61,2,FALSE()),VLOOKUP(MONTH(D43),'📋 Ohjeet'!$A$50:$C$61,3,FALSE())),"✅ KYLLÄ","❌ EI"))</f>
        <v/>
      </c>
    </row>
    <row r="44" ht="15" customHeight="1" s="30">
      <c r="A44" s="49" t="n"/>
      <c r="B44" s="49" t="n"/>
      <c r="C44" s="49" t="n"/>
      <c r="D44" s="49" t="n"/>
      <c r="E44" s="49" t="n"/>
      <c r="F44" s="49" t="n"/>
      <c r="G44" s="50" t="n"/>
      <c r="H44" s="50" t="n"/>
      <c r="I44" s="50" t="n"/>
      <c r="J44" s="50" t="n"/>
      <c r="K44" s="50" t="n"/>
      <c r="L44" s="50" t="n"/>
      <c r="M44" s="51">
        <f>IF(D44="","",DATEDIF(D44,TODAY(),"Y")+DATEDIF(D44,TODAY(),"YM")/12)</f>
        <v/>
      </c>
      <c r="N44" s="52">
        <f>IF(OR(E44="",G44="",H44="",J44=""),"",IF(E44="P",-9.236+0.0002708*(H44+I44)*(G44-(H44+I44))-0.001663*(M44*(G44-(H44+I44)))+0.007216*(M44*(H44+I44))+0.02292*(J44/G44*100),-9.376+0.0001882*(H44+I44)*(G44-(H44+I44))+0.0022*(M44*(H44+I44))+0.005841*(M44*(H44+I44))-0.002658*(M44*J44)+0.07693*(J44/G44*100)))</f>
        <v/>
      </c>
      <c r="O44" s="53">
        <f>IF(N44="","Ei tiedossa",IF(N44&lt;-1,"Varhainen",IF(N44&lt;0.5,"PHV-huippu","Post-PHV")))</f>
        <v/>
      </c>
      <c r="P44" s="54">
        <f>IF(A44="","",TODAY())</f>
        <v/>
      </c>
      <c r="Q44" s="55" t="n"/>
      <c r="R44" s="56">
        <f>IF(OR(M44="",N44=""),"",M44-N44)</f>
        <v/>
      </c>
      <c r="S44" s="57">
        <f>IF(OR(R44="",D44="",E44=""),"Ei tietoja",IF(R44&gt;=IF(E44="P",VLOOKUP(MONTH(D44),'📋 Ohjeet'!$A$50:$C$61,2,FALSE()),VLOOKUP(MONTH(D44),'📋 Ohjeet'!$A$50:$C$61,3,FALSE())),"✅ KYLLÄ","❌ EI"))</f>
        <v/>
      </c>
    </row>
    <row r="45" ht="15" customHeight="1" s="30">
      <c r="A45" s="40" t="n"/>
      <c r="B45" s="40" t="n"/>
      <c r="C45" s="40" t="n"/>
      <c r="D45" s="40" t="n"/>
      <c r="E45" s="40" t="n"/>
      <c r="F45" s="40" t="n"/>
      <c r="G45" s="41" t="n"/>
      <c r="H45" s="41" t="n"/>
      <c r="I45" s="41" t="n"/>
      <c r="J45" s="41" t="n"/>
      <c r="K45" s="41" t="n"/>
      <c r="L45" s="41" t="n"/>
      <c r="M45" s="42">
        <f>IF(D45="","",DATEDIF(D45,TODAY(),"Y")+DATEDIF(D45,TODAY(),"YM")/12)</f>
        <v/>
      </c>
      <c r="N45" s="43">
        <f>IF(OR(E45="",G45="",H45="",J45=""),"",IF(E45="P",-9.236+0.0002708*(H45+I45)*(G45-(H45+I45))-0.001663*(M45*(G45-(H45+I45)))+0.007216*(M45*(H45+I45))+0.02292*(J45/G45*100),-9.376+0.0001882*(H45+I45)*(G45-(H45+I45))+0.0022*(M45*(H45+I45))+0.005841*(M45*(H45+I45))-0.002658*(M45*J45)+0.07693*(J45/G45*100)))</f>
        <v/>
      </c>
      <c r="O45" s="44">
        <f>IF(N45="","Ei tiedossa",IF(N45&lt;-1,"Varhainen",IF(N45&lt;0.5,"PHV-huippu","Post-PHV")))</f>
        <v/>
      </c>
      <c r="P45" s="45">
        <f>IF(A45="","",TODAY())</f>
        <v/>
      </c>
      <c r="Q45" s="46" t="n"/>
      <c r="R45" s="47">
        <f>IF(OR(M45="",N45=""),"",M45-N45)</f>
        <v/>
      </c>
      <c r="S45" s="48">
        <f>IF(OR(R45="",D45="",E45=""),"Ei tietoja",IF(R45&gt;=IF(E45="P",VLOOKUP(MONTH(D45),'📋 Ohjeet'!$A$50:$C$61,2,FALSE()),VLOOKUP(MONTH(D45),'📋 Ohjeet'!$A$50:$C$61,3,FALSE())),"✅ KYLLÄ","❌ EI"))</f>
        <v/>
      </c>
    </row>
    <row r="46" ht="15" customHeight="1" s="30">
      <c r="A46" s="49" t="n"/>
      <c r="B46" s="49" t="n"/>
      <c r="C46" s="49" t="n"/>
      <c r="D46" s="49" t="n"/>
      <c r="E46" s="49" t="n"/>
      <c r="F46" s="49" t="n"/>
      <c r="G46" s="50" t="n"/>
      <c r="H46" s="50" t="n"/>
      <c r="I46" s="50" t="n"/>
      <c r="J46" s="50" t="n"/>
      <c r="K46" s="50" t="n"/>
      <c r="L46" s="50" t="n"/>
      <c r="M46" s="51">
        <f>IF(D46="","",DATEDIF(D46,TODAY(),"Y")+DATEDIF(D46,TODAY(),"YM")/12)</f>
        <v/>
      </c>
      <c r="N46" s="52">
        <f>IF(OR(E46="",G46="",H46="",J46=""),"",IF(E46="P",-9.236+0.0002708*(H46+I46)*(G46-(H46+I46))-0.001663*(M46*(G46-(H46+I46)))+0.007216*(M46*(H46+I46))+0.02292*(J46/G46*100),-9.376+0.0001882*(H46+I46)*(G46-(H46+I46))+0.0022*(M46*(H46+I46))+0.005841*(M46*(H46+I46))-0.002658*(M46*J46)+0.07693*(J46/G46*100)))</f>
        <v/>
      </c>
      <c r="O46" s="53">
        <f>IF(N46="","Ei tiedossa",IF(N46&lt;-1,"Varhainen",IF(N46&lt;0.5,"PHV-huippu","Post-PHV")))</f>
        <v/>
      </c>
      <c r="P46" s="54">
        <f>IF(A46="","",TODAY())</f>
        <v/>
      </c>
      <c r="Q46" s="55" t="n"/>
      <c r="R46" s="56">
        <f>IF(OR(M46="",N46=""),"",M46-N46)</f>
        <v/>
      </c>
      <c r="S46" s="57">
        <f>IF(OR(R46="",D46="",E46=""),"Ei tietoja",IF(R46&gt;=IF(E46="P",VLOOKUP(MONTH(D46),'📋 Ohjeet'!$A$50:$C$61,2,FALSE()),VLOOKUP(MONTH(D46),'📋 Ohjeet'!$A$50:$C$61,3,FALSE())),"✅ KYLLÄ","❌ EI"))</f>
        <v/>
      </c>
    </row>
    <row r="47" ht="15" customHeight="1" s="30">
      <c r="A47" s="40" t="n"/>
      <c r="B47" s="40" t="n"/>
      <c r="C47" s="40" t="n"/>
      <c r="D47" s="40" t="n"/>
      <c r="E47" s="40" t="n"/>
      <c r="F47" s="40" t="n"/>
      <c r="G47" s="41" t="n"/>
      <c r="H47" s="41" t="n"/>
      <c r="I47" s="41" t="n"/>
      <c r="J47" s="41" t="n"/>
      <c r="K47" s="41" t="n"/>
      <c r="L47" s="41" t="n"/>
      <c r="M47" s="42">
        <f>IF(D47="","",DATEDIF(D47,TODAY(),"Y")+DATEDIF(D47,TODAY(),"YM")/12)</f>
        <v/>
      </c>
      <c r="N47" s="43">
        <f>IF(OR(E47="",G47="",H47="",J47=""),"",IF(E47="P",-9.236+0.0002708*(H47+I47)*(G47-(H47+I47))-0.001663*(M47*(G47-(H47+I47)))+0.007216*(M47*(H47+I47))+0.02292*(J47/G47*100),-9.376+0.0001882*(H47+I47)*(G47-(H47+I47))+0.0022*(M47*(H47+I47))+0.005841*(M47*(H47+I47))-0.002658*(M47*J47)+0.07693*(J47/G47*100)))</f>
        <v/>
      </c>
      <c r="O47" s="44">
        <f>IF(N47="","Ei tiedossa",IF(N47&lt;-1,"Varhainen",IF(N47&lt;0.5,"PHV-huippu","Post-PHV")))</f>
        <v/>
      </c>
      <c r="P47" s="45">
        <f>IF(A47="","",TODAY())</f>
        <v/>
      </c>
      <c r="Q47" s="46" t="n"/>
      <c r="R47" s="47">
        <f>IF(OR(M47="",N47=""),"",M47-N47)</f>
        <v/>
      </c>
      <c r="S47" s="48">
        <f>IF(OR(R47="",D47="",E47=""),"Ei tietoja",IF(R47&gt;=IF(E47="P",VLOOKUP(MONTH(D47),'📋 Ohjeet'!$A$50:$C$61,2,FALSE()),VLOOKUP(MONTH(D47),'📋 Ohjeet'!$A$50:$C$61,3,FALSE())),"✅ KYLLÄ","❌ EI"))</f>
        <v/>
      </c>
    </row>
    <row r="48" ht="15" customHeight="1" s="30">
      <c r="A48" s="49" t="n"/>
      <c r="B48" s="49" t="n"/>
      <c r="C48" s="49" t="n"/>
      <c r="D48" s="49" t="n"/>
      <c r="E48" s="49" t="n"/>
      <c r="F48" s="49" t="n"/>
      <c r="G48" s="50" t="n"/>
      <c r="H48" s="50" t="n"/>
      <c r="I48" s="50" t="n"/>
      <c r="J48" s="50" t="n"/>
      <c r="K48" s="50" t="n"/>
      <c r="L48" s="50" t="n"/>
      <c r="M48" s="51">
        <f>IF(D48="","",DATEDIF(D48,TODAY(),"Y")+DATEDIF(D48,TODAY(),"YM")/12)</f>
        <v/>
      </c>
      <c r="N48" s="52">
        <f>IF(OR(E48="",G48="",H48="",J48=""),"",IF(E48="P",-9.236+0.0002708*(H48+I48)*(G48-(H48+I48))-0.001663*(M48*(G48-(H48+I48)))+0.007216*(M48*(H48+I48))+0.02292*(J48/G48*100),-9.376+0.0001882*(H48+I48)*(G48-(H48+I48))+0.0022*(M48*(H48+I48))+0.005841*(M48*(H48+I48))-0.002658*(M48*J48)+0.07693*(J48/G48*100)))</f>
        <v/>
      </c>
      <c r="O48" s="53">
        <f>IF(N48="","Ei tiedossa",IF(N48&lt;-1,"Varhainen",IF(N48&lt;0.5,"PHV-huippu","Post-PHV")))</f>
        <v/>
      </c>
      <c r="P48" s="54">
        <f>IF(A48="","",TODAY())</f>
        <v/>
      </c>
      <c r="Q48" s="55" t="n"/>
      <c r="R48" s="56">
        <f>IF(OR(M48="",N48=""),"",M48-N48)</f>
        <v/>
      </c>
      <c r="S48" s="57">
        <f>IF(OR(R48="",D48="",E48=""),"Ei tietoja",IF(R48&gt;=IF(E48="P",VLOOKUP(MONTH(D48),'📋 Ohjeet'!$A$50:$C$61,2,FALSE()),VLOOKUP(MONTH(D48),'📋 Ohjeet'!$A$50:$C$61,3,FALSE())),"✅ KYLLÄ","❌ EI"))</f>
        <v/>
      </c>
    </row>
    <row r="49" ht="15" customHeight="1" s="30">
      <c r="A49" s="40" t="n"/>
      <c r="B49" s="40" t="n"/>
      <c r="C49" s="40" t="n"/>
      <c r="D49" s="40" t="n"/>
      <c r="E49" s="40" t="n"/>
      <c r="F49" s="40" t="n"/>
      <c r="G49" s="41" t="n"/>
      <c r="H49" s="41" t="n"/>
      <c r="I49" s="41" t="n"/>
      <c r="J49" s="41" t="n"/>
      <c r="K49" s="41" t="n"/>
      <c r="L49" s="41" t="n"/>
      <c r="M49" s="42">
        <f>IF(D49="","",DATEDIF(D49,TODAY(),"Y")+DATEDIF(D49,TODAY(),"YM")/12)</f>
        <v/>
      </c>
      <c r="N49" s="43">
        <f>IF(OR(E49="",G49="",H49="",J49=""),"",IF(E49="P",-9.236+0.0002708*(H49+I49)*(G49-(H49+I49))-0.001663*(M49*(G49-(H49+I49)))+0.007216*(M49*(H49+I49))+0.02292*(J49/G49*100),-9.376+0.0001882*(H49+I49)*(G49-(H49+I49))+0.0022*(M49*(H49+I49))+0.005841*(M49*(H49+I49))-0.002658*(M49*J49)+0.07693*(J49/G49*100)))</f>
        <v/>
      </c>
      <c r="O49" s="44">
        <f>IF(N49="","Ei tiedossa",IF(N49&lt;-1,"Varhainen",IF(N49&lt;0.5,"PHV-huippu","Post-PHV")))</f>
        <v/>
      </c>
      <c r="P49" s="45">
        <f>IF(A49="","",TODAY())</f>
        <v/>
      </c>
      <c r="Q49" s="46" t="n"/>
      <c r="R49" s="47">
        <f>IF(OR(M49="",N49=""),"",M49-N49)</f>
        <v/>
      </c>
      <c r="S49" s="48">
        <f>IF(OR(R49="",D49="",E49=""),"Ei tietoja",IF(R49&gt;=IF(E49="P",VLOOKUP(MONTH(D49),'📋 Ohjeet'!$A$50:$C$61,2,FALSE()),VLOOKUP(MONTH(D49),'📋 Ohjeet'!$A$50:$C$61,3,FALSE())),"✅ KYLLÄ","❌ EI"))</f>
        <v/>
      </c>
    </row>
    <row r="50" ht="15" customHeight="1" s="30">
      <c r="A50" s="49" t="n"/>
      <c r="B50" s="49" t="n"/>
      <c r="C50" s="49" t="n"/>
      <c r="D50" s="49" t="n"/>
      <c r="E50" s="49" t="n"/>
      <c r="F50" s="49" t="n"/>
      <c r="G50" s="50" t="n"/>
      <c r="H50" s="50" t="n"/>
      <c r="I50" s="50" t="n"/>
      <c r="J50" s="50" t="n"/>
      <c r="K50" s="50" t="n"/>
      <c r="L50" s="50" t="n"/>
      <c r="M50" s="51">
        <f>IF(D50="","",DATEDIF(D50,TODAY(),"Y")+DATEDIF(D50,TODAY(),"YM")/12)</f>
        <v/>
      </c>
      <c r="N50" s="52">
        <f>IF(OR(E50="",G50="",H50="",J50=""),"",IF(E50="P",-9.236+0.0002708*(H50+I50)*(G50-(H50+I50))-0.001663*(M50*(G50-(H50+I50)))+0.007216*(M50*(H50+I50))+0.02292*(J50/G50*100),-9.376+0.0001882*(H50+I50)*(G50-(H50+I50))+0.0022*(M50*(H50+I50))+0.005841*(M50*(H50+I50))-0.002658*(M50*J50)+0.07693*(J50/G50*100)))</f>
        <v/>
      </c>
      <c r="O50" s="53">
        <f>IF(N50="","Ei tiedossa",IF(N50&lt;-1,"Varhainen",IF(N50&lt;0.5,"PHV-huippu","Post-PHV")))</f>
        <v/>
      </c>
      <c r="P50" s="54">
        <f>IF(A50="","",TODAY())</f>
        <v/>
      </c>
      <c r="Q50" s="55" t="n"/>
      <c r="R50" s="56">
        <f>IF(OR(M50="",N50=""),"",M50-N50)</f>
        <v/>
      </c>
      <c r="S50" s="57">
        <f>IF(OR(R50="",D50="",E50=""),"Ei tietoja",IF(R50&gt;=IF(E50="P",VLOOKUP(MONTH(D50),'📋 Ohjeet'!$A$50:$C$61,2,FALSE()),VLOOKUP(MONTH(D50),'📋 Ohjeet'!$A$50:$C$61,3,FALSE())),"✅ KYLLÄ","❌ EI"))</f>
        <v/>
      </c>
    </row>
    <row r="51" ht="15" customHeight="1" s="30">
      <c r="A51" s="40" t="n"/>
      <c r="B51" s="40" t="n"/>
      <c r="C51" s="40" t="n"/>
      <c r="D51" s="40" t="n"/>
      <c r="E51" s="40" t="n"/>
      <c r="F51" s="40" t="n"/>
      <c r="G51" s="41" t="n"/>
      <c r="H51" s="41" t="n"/>
      <c r="I51" s="41" t="n"/>
      <c r="J51" s="41" t="n"/>
      <c r="K51" s="41" t="n"/>
      <c r="L51" s="41" t="n"/>
      <c r="M51" s="42">
        <f>IF(D51="","",DATEDIF(D51,TODAY(),"Y")+DATEDIF(D51,TODAY(),"YM")/12)</f>
        <v/>
      </c>
      <c r="N51" s="43">
        <f>IF(OR(E51="",G51="",H51="",J51=""),"",IF(E51="P",-9.236+0.0002708*(H51+I51)*(G51-(H51+I51))-0.001663*(M51*(G51-(H51+I51)))+0.007216*(M51*(H51+I51))+0.02292*(J51/G51*100),-9.376+0.0001882*(H51+I51)*(G51-(H51+I51))+0.0022*(M51*(H51+I51))+0.005841*(M51*(H51+I51))-0.002658*(M51*J51)+0.07693*(J51/G51*100)))</f>
        <v/>
      </c>
      <c r="O51" s="44">
        <f>IF(N51="","Ei tiedossa",IF(N51&lt;-1,"Varhainen",IF(N51&lt;0.5,"PHV-huippu","Post-PHV")))</f>
        <v/>
      </c>
      <c r="P51" s="45">
        <f>IF(A51="","",TODAY())</f>
        <v/>
      </c>
      <c r="Q51" s="46" t="n"/>
      <c r="R51" s="47">
        <f>IF(OR(M51="",N51=""),"",M51-N51)</f>
        <v/>
      </c>
      <c r="S51" s="48">
        <f>IF(OR(R51="",D51="",E51=""),"Ei tietoja",IF(R51&gt;=IF(E51="P",VLOOKUP(MONTH(D51),'📋 Ohjeet'!$A$50:$C$61,2,FALSE()),VLOOKUP(MONTH(D51),'📋 Ohjeet'!$A$50:$C$61,3,FALSE())),"✅ KYLLÄ","❌ EI"))</f>
        <v/>
      </c>
    </row>
    <row r="52" ht="15" customHeight="1" s="30">
      <c r="A52" s="49" t="n"/>
      <c r="B52" s="49" t="n"/>
      <c r="C52" s="49" t="n"/>
      <c r="D52" s="49" t="n"/>
      <c r="E52" s="49" t="n"/>
      <c r="F52" s="49" t="n"/>
      <c r="G52" s="50" t="n"/>
      <c r="H52" s="50" t="n"/>
      <c r="I52" s="50" t="n"/>
      <c r="J52" s="50" t="n"/>
      <c r="K52" s="50" t="n"/>
      <c r="L52" s="50" t="n"/>
      <c r="M52" s="51">
        <f>IF(D52="","",DATEDIF(D52,TODAY(),"Y")+DATEDIF(D52,TODAY(),"YM")/12)</f>
        <v/>
      </c>
      <c r="N52" s="52">
        <f>IF(OR(E52="",G52="",H52="",J52=""),"",IF(E52="P",-9.236+0.0002708*(H52+I52)*(G52-(H52+I52))-0.001663*(M52*(G52-(H52+I52)))+0.007216*(M52*(H52+I52))+0.02292*(J52/G52*100),-9.376+0.0001882*(H52+I52)*(G52-(H52+I52))+0.0022*(M52*(H52+I52))+0.005841*(M52*(H52+I52))-0.002658*(M52*J52)+0.07693*(J52/G52*100)))</f>
        <v/>
      </c>
      <c r="O52" s="53">
        <f>IF(N52="","Ei tiedossa",IF(N52&lt;-1,"Varhainen",IF(N52&lt;0.5,"PHV-huippu","Post-PHV")))</f>
        <v/>
      </c>
      <c r="P52" s="54">
        <f>IF(A52="","",TODAY())</f>
        <v/>
      </c>
      <c r="Q52" s="55" t="n"/>
      <c r="R52" s="56">
        <f>IF(OR(M52="",N52=""),"",M52-N52)</f>
        <v/>
      </c>
      <c r="S52" s="57">
        <f>IF(OR(R52="",D52="",E52=""),"Ei tietoja",IF(R52&gt;=IF(E52="P",VLOOKUP(MONTH(D52),'📋 Ohjeet'!$A$50:$C$61,2,FALSE()),VLOOKUP(MONTH(D52),'📋 Ohjeet'!$A$50:$C$61,3,FALSE())),"✅ KYLLÄ","❌ EI"))</f>
        <v/>
      </c>
    </row>
    <row r="53" ht="15" customHeight="1" s="30">
      <c r="A53" s="40" t="n"/>
      <c r="B53" s="40" t="n"/>
      <c r="C53" s="40" t="n"/>
      <c r="D53" s="40" t="n"/>
      <c r="E53" s="40" t="n"/>
      <c r="F53" s="40" t="n"/>
      <c r="G53" s="41" t="n"/>
      <c r="H53" s="41" t="n"/>
      <c r="I53" s="41" t="n"/>
      <c r="J53" s="41" t="n"/>
      <c r="K53" s="41" t="n"/>
      <c r="L53" s="41" t="n"/>
      <c r="M53" s="42">
        <f>IF(D53="","",DATEDIF(D53,TODAY(),"Y")+DATEDIF(D53,TODAY(),"YM")/12)</f>
        <v/>
      </c>
      <c r="N53" s="43">
        <f>IF(OR(E53="",G53="",H53="",J53=""),"",IF(E53="P",-9.236+0.0002708*(H53+I53)*(G53-(H53+I53))-0.001663*(M53*(G53-(H53+I53)))+0.007216*(M53*(H53+I53))+0.02292*(J53/G53*100),-9.376+0.0001882*(H53+I53)*(G53-(H53+I53))+0.0022*(M53*(H53+I53))+0.005841*(M53*(H53+I53))-0.002658*(M53*J53)+0.07693*(J53/G53*100)))</f>
        <v/>
      </c>
      <c r="O53" s="44">
        <f>IF(N53="","Ei tiedossa",IF(N53&lt;-1,"Varhainen",IF(N53&lt;0.5,"PHV-huippu","Post-PHV")))</f>
        <v/>
      </c>
      <c r="P53" s="45">
        <f>IF(A53="","",TODAY())</f>
        <v/>
      </c>
      <c r="Q53" s="46" t="n"/>
      <c r="R53" s="47">
        <f>IF(OR(M53="",N53=""),"",M53-N53)</f>
        <v/>
      </c>
      <c r="S53" s="48">
        <f>IF(OR(R53="",D53="",E53=""),"Ei tietoja",IF(R53&gt;=IF(E53="P",VLOOKUP(MONTH(D53),'📋 Ohjeet'!$A$50:$C$61,2,FALSE()),VLOOKUP(MONTH(D53),'📋 Ohjeet'!$A$50:$C$61,3,FALSE())),"✅ KYLLÄ","❌ EI"))</f>
        <v/>
      </c>
    </row>
    <row r="54" ht="15" customHeight="1" s="30">
      <c r="A54" s="49" t="n"/>
      <c r="B54" s="49" t="n"/>
      <c r="C54" s="49" t="n"/>
      <c r="D54" s="49" t="n"/>
      <c r="E54" s="49" t="n"/>
      <c r="F54" s="49" t="n"/>
      <c r="G54" s="50" t="n"/>
      <c r="H54" s="50" t="n"/>
      <c r="I54" s="50" t="n"/>
      <c r="J54" s="50" t="n"/>
      <c r="K54" s="50" t="n"/>
      <c r="L54" s="50" t="n"/>
      <c r="M54" s="51">
        <f>IF(D54="","",DATEDIF(D54,TODAY(),"Y")+DATEDIF(D54,TODAY(),"YM")/12)</f>
        <v/>
      </c>
      <c r="N54" s="52">
        <f>IF(OR(E54="",G54="",H54="",J54=""),"",IF(E54="P",-9.236+0.0002708*(H54+I54)*(G54-(H54+I54))-0.001663*(M54*(G54-(H54+I54)))+0.007216*(M54*(H54+I54))+0.02292*(J54/G54*100),-9.376+0.0001882*(H54+I54)*(G54-(H54+I54))+0.0022*(M54*(H54+I54))+0.005841*(M54*(H54+I54))-0.002658*(M54*J54)+0.07693*(J54/G54*100)))</f>
        <v/>
      </c>
      <c r="O54" s="53">
        <f>IF(N54="","Ei tiedossa",IF(N54&lt;-1,"Varhainen",IF(N54&lt;0.5,"PHV-huippu","Post-PHV")))</f>
        <v/>
      </c>
      <c r="P54" s="54">
        <f>IF(A54="","",TODAY())</f>
        <v/>
      </c>
      <c r="Q54" s="55" t="n"/>
      <c r="R54" s="56">
        <f>IF(OR(M54="",N54=""),"",M54-N54)</f>
        <v/>
      </c>
      <c r="S54" s="57">
        <f>IF(OR(R54="",D54="",E54=""),"Ei tietoja",IF(R54&gt;=IF(E54="P",VLOOKUP(MONTH(D54),'📋 Ohjeet'!$A$50:$C$61,2,FALSE()),VLOOKUP(MONTH(D54),'📋 Ohjeet'!$A$50:$C$61,3,FALSE())),"✅ KYLLÄ","❌ EI"))</f>
        <v/>
      </c>
    </row>
  </sheetData>
  <mergeCells count="3">
    <mergeCell ref="A3:Q3"/>
    <mergeCell ref="A2:Q2"/>
    <mergeCell ref="A1:Q1"/>
  </mergeCells>
  <dataValidations count="1">
    <dataValidation sqref="E5:E54" showDropDown="0" showInputMessage="1" showErrorMessage="1" allowBlank="1" errorTitle="Virheellinen arvo" error="Käytä P (Poika) tai T (Tyttö)" promptTitle="Sukupuoli" prompt="Syötä P (Poika) tai T (Tyttö)" type="list" errorStyle="stop" operator="between">
      <formula1>"P,T"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S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9" min="1" max="1"/>
    <col width="16" customWidth="1" style="29" min="2" max="2"/>
    <col width="14" customWidth="1" style="29" min="3" max="4"/>
    <col width="12" customWidth="1" style="29" min="5" max="5"/>
    <col width="16" customWidth="1" style="29" min="6" max="6"/>
    <col width="13" customWidth="1" style="29" min="7" max="7"/>
    <col width="16" customWidth="1" style="29" min="8" max="9"/>
    <col width="12" customWidth="1" style="29" min="10" max="10"/>
    <col width="15" customWidth="1" style="29" min="11" max="12"/>
    <col width="14" customWidth="1" style="29" min="13" max="16"/>
    <col width="22" customWidth="1" style="29" min="17" max="17"/>
    <col width="14" customWidth="1" style="29" min="18" max="19"/>
  </cols>
  <sheetData>
    <row r="1" ht="27.75" customHeight="1" s="30">
      <c r="A1" s="36" t="inlineStr">
        <is>
          <t>TalentMaster™ — Pelaajapohja U15</t>
        </is>
      </c>
    </row>
    <row r="2" ht="18" customHeight="1" s="30">
      <c r="A2" s="37" t="inlineStr">
        <is>
          <t>🔵 Pakollinen kenttä   🟢 Mirwald-mittaus (biologinen ikä)   🟡 Lasketaan automaattisesti — ÄLÄ MUOKKAA   🟣 PHV-ikä &amp; Yli-ikäisyyssääntö (automaattinen)   ⬜ Vapaaehtoinen</t>
        </is>
      </c>
    </row>
    <row r="3" ht="18" customHeight="1" s="30">
      <c r="A3" s="38" t="inlineStr">
        <is>
          <t>⚠️  Älä muuta sarakkeiden järjestystä tai poista otsikkorivejä. Tallenna .xlsx-muodossa ja lataa suoraan TalentMasterin Tuo dataa -välilehdeltä. PalloID on pakollinen — se tunnistaa pelaajan järjestelmässä.</t>
        </is>
      </c>
    </row>
    <row r="4" ht="39.75" customHeight="1" s="30">
      <c r="A4" s="39" t="inlineStr">
        <is>
          <t>PalloID *</t>
        </is>
      </c>
      <c r="B4" s="39" t="inlineStr">
        <is>
          <t>Sukunimi *</t>
        </is>
      </c>
      <c r="C4" s="39" t="inlineStr">
        <is>
          <t>Etunimi *</t>
        </is>
      </c>
      <c r="D4" s="39" t="inlineStr">
        <is>
          <t>Syntymäaika *</t>
        </is>
      </c>
      <c r="E4" s="39" t="inlineStr">
        <is>
          <t>Sukupuoli *</t>
        </is>
      </c>
      <c r="F4" s="39" t="inlineStr">
        <is>
          <t>Joukkue *</t>
        </is>
      </c>
      <c r="G4" s="39" t="inlineStr">
        <is>
          <t>Pituus (cm) *</t>
        </is>
      </c>
      <c r="H4" s="39" t="inlineStr">
        <is>
          <t>Istumapituus (cm) *</t>
        </is>
      </c>
      <c r="I4" s="39" t="inlineStr">
        <is>
          <t>Penkin korkeus (cm)</t>
        </is>
      </c>
      <c r="J4" s="39" t="inlineStr">
        <is>
          <t>Paino (kg) *</t>
        </is>
      </c>
      <c r="K4" s="39" t="inlineStr">
        <is>
          <t>Äidin pituus (cm)</t>
        </is>
      </c>
      <c r="L4" s="39" t="inlineStr">
        <is>
          <t>Isän pituus (cm)</t>
        </is>
      </c>
      <c r="M4" s="39" t="inlineStr">
        <is>
          <t>Ikä mitt.hetkellä</t>
        </is>
      </c>
      <c r="N4" s="39" t="inlineStr">
        <is>
          <t>Maturity Offset</t>
        </is>
      </c>
      <c r="O4" s="39" t="inlineStr">
        <is>
          <t>PHV-tila</t>
        </is>
      </c>
      <c r="P4" s="39" t="inlineStr">
        <is>
          <t>Laskentapäivä</t>
        </is>
      </c>
      <c r="Q4" s="39" t="inlineStr">
        <is>
          <t>Huomio</t>
        </is>
      </c>
      <c r="R4" s="39" t="inlineStr">
        <is>
          <t>PHV-ikä (vuotta)</t>
        </is>
      </c>
      <c r="S4" s="39" t="inlineStr">
        <is>
          <t>Yli-ikäisyys
(Palloliitto)</t>
        </is>
      </c>
    </row>
    <row r="5" ht="15" customHeight="1" s="30">
      <c r="A5" s="40" t="n"/>
      <c r="B5" s="40" t="n"/>
      <c r="C5" s="40" t="n"/>
      <c r="D5" s="40" t="n"/>
      <c r="E5" s="40" t="n"/>
      <c r="F5" s="40" t="n"/>
      <c r="G5" s="41" t="n"/>
      <c r="H5" s="41" t="n"/>
      <c r="I5" s="41" t="n"/>
      <c r="J5" s="41" t="n"/>
      <c r="K5" s="41" t="n"/>
      <c r="L5" s="41" t="n"/>
      <c r="M5" s="42">
        <f>IF(D5="","",DATEDIF(D5,TODAY(),"Y")+DATEDIF(D5,TODAY(),"YM")/12)</f>
        <v/>
      </c>
      <c r="N5" s="43">
        <f>IF(OR(E5="",G5="",H5="",J5=""),"",IF(E5="P",-9.236+0.0002708*(H5+I5)*(G5-(H5+I5))-0.001663*(M5*(G5-(H5+I5)))+0.007216*(M5*(H5+I5))+0.02292*(J5/G5*100),-9.376+0.0001882*(H5+I5)*(G5-(H5+I5))+0.0022*(M5*(H5+I5))+0.005841*(M5*(H5+I5))-0.002658*(M5*J5)+0.07693*(J5/G5*100)))</f>
        <v/>
      </c>
      <c r="O5" s="44">
        <f>IF(N5="","Ei tiedossa",IF(N5&lt;-1,"Varhainen",IF(N5&lt;0.5,"PHV-huippu","Post-PHV")))</f>
        <v/>
      </c>
      <c r="P5" s="45">
        <f>IF(A5="","",TODAY())</f>
        <v/>
      </c>
      <c r="Q5" s="46" t="n"/>
      <c r="R5" s="47">
        <f>IF(OR(M5="",N5=""),"",M5-N5)</f>
        <v/>
      </c>
      <c r="S5" s="48">
        <f>IF(OR(R5="",D5="",E5=""),"Ei tietoja",IF(R5&gt;=IF(E5="P",VLOOKUP(MONTH(D5),'📋 Ohjeet'!$A$50:$C$61,2,FALSE()),VLOOKUP(MONTH(D5),'📋 Ohjeet'!$A$50:$C$61,3,FALSE())),"✅ KYLLÄ","❌ EI"))</f>
        <v/>
      </c>
    </row>
    <row r="6" ht="15" customHeight="1" s="30">
      <c r="A6" s="49" t="n"/>
      <c r="B6" s="49" t="n"/>
      <c r="C6" s="49" t="n"/>
      <c r="D6" s="49" t="n"/>
      <c r="E6" s="49" t="n"/>
      <c r="F6" s="49" t="n"/>
      <c r="G6" s="50" t="n"/>
      <c r="H6" s="50" t="n"/>
      <c r="I6" s="50" t="n"/>
      <c r="J6" s="50" t="n"/>
      <c r="K6" s="50" t="n"/>
      <c r="L6" s="50" t="n"/>
      <c r="M6" s="51">
        <f>IF(D6="","",DATEDIF(D6,TODAY(),"Y")+DATEDIF(D6,TODAY(),"YM")/12)</f>
        <v/>
      </c>
      <c r="N6" s="52">
        <f>IF(OR(E6="",G6="",H6="",J6=""),"",IF(E6="P",-9.236+0.0002708*(H6+I6)*(G6-(H6+I6))-0.001663*(M6*(G6-(H6+I6)))+0.007216*(M6*(H6+I6))+0.02292*(J6/G6*100),-9.376+0.0001882*(H6+I6)*(G6-(H6+I6))+0.0022*(M6*(H6+I6))+0.005841*(M6*(H6+I6))-0.002658*(M6*J6)+0.07693*(J6/G6*100)))</f>
        <v/>
      </c>
      <c r="O6" s="53">
        <f>IF(N6="","Ei tiedossa",IF(N6&lt;-1,"Varhainen",IF(N6&lt;0.5,"PHV-huippu","Post-PHV")))</f>
        <v/>
      </c>
      <c r="P6" s="54">
        <f>IF(A6="","",TODAY())</f>
        <v/>
      </c>
      <c r="Q6" s="55" t="n"/>
      <c r="R6" s="56">
        <f>IF(OR(M6="",N6=""),"",M6-N6)</f>
        <v/>
      </c>
      <c r="S6" s="57">
        <f>IF(OR(R6="",D6="",E6=""),"Ei tietoja",IF(R6&gt;=IF(E6="P",VLOOKUP(MONTH(D6),'📋 Ohjeet'!$A$50:$C$61,2,FALSE()),VLOOKUP(MONTH(D6),'📋 Ohjeet'!$A$50:$C$61,3,FALSE())),"✅ KYLLÄ","❌ EI"))</f>
        <v/>
      </c>
    </row>
    <row r="7" ht="15" customHeight="1" s="30">
      <c r="A7" s="40" t="n"/>
      <c r="B7" s="40" t="n"/>
      <c r="C7" s="40" t="n"/>
      <c r="D7" s="40" t="n"/>
      <c r="E7" s="40" t="n"/>
      <c r="F7" s="40" t="n"/>
      <c r="G7" s="41" t="n"/>
      <c r="H7" s="41" t="n"/>
      <c r="I7" s="41" t="n"/>
      <c r="J7" s="41" t="n"/>
      <c r="K7" s="41" t="n"/>
      <c r="L7" s="41" t="n"/>
      <c r="M7" s="42">
        <f>IF(D7="","",DATEDIF(D7,TODAY(),"Y")+DATEDIF(D7,TODAY(),"YM")/12)</f>
        <v/>
      </c>
      <c r="N7" s="43">
        <f>IF(OR(E7="",G7="",H7="",J7=""),"",IF(E7="P",-9.236+0.0002708*(H7+I7)*(G7-(H7+I7))-0.001663*(M7*(G7-(H7+I7)))+0.007216*(M7*(H7+I7))+0.02292*(J7/G7*100),-9.376+0.0001882*(H7+I7)*(G7-(H7+I7))+0.0022*(M7*(H7+I7))+0.005841*(M7*(H7+I7))-0.002658*(M7*J7)+0.07693*(J7/G7*100)))</f>
        <v/>
      </c>
      <c r="O7" s="44">
        <f>IF(N7="","Ei tiedossa",IF(N7&lt;-1,"Varhainen",IF(N7&lt;0.5,"PHV-huippu","Post-PHV")))</f>
        <v/>
      </c>
      <c r="P7" s="45">
        <f>IF(A7="","",TODAY())</f>
        <v/>
      </c>
      <c r="Q7" s="46" t="n"/>
      <c r="R7" s="47">
        <f>IF(OR(M7="",N7=""),"",M7-N7)</f>
        <v/>
      </c>
      <c r="S7" s="48">
        <f>IF(OR(R7="",D7="",E7=""),"Ei tietoja",IF(R7&gt;=IF(E7="P",VLOOKUP(MONTH(D7),'📋 Ohjeet'!$A$50:$C$61,2,FALSE()),VLOOKUP(MONTH(D7),'📋 Ohjeet'!$A$50:$C$61,3,FALSE())),"✅ KYLLÄ","❌ EI"))</f>
        <v/>
      </c>
    </row>
    <row r="8" ht="15" customHeight="1" s="30">
      <c r="A8" s="49" t="n"/>
      <c r="B8" s="49" t="n"/>
      <c r="C8" s="49" t="n"/>
      <c r="D8" s="49" t="n"/>
      <c r="E8" s="49" t="n"/>
      <c r="F8" s="49" t="n"/>
      <c r="G8" s="50" t="n"/>
      <c r="H8" s="50" t="n"/>
      <c r="I8" s="50" t="n"/>
      <c r="J8" s="50" t="n"/>
      <c r="K8" s="50" t="n"/>
      <c r="L8" s="50" t="n"/>
      <c r="M8" s="51">
        <f>IF(D8="","",DATEDIF(D8,TODAY(),"Y")+DATEDIF(D8,TODAY(),"YM")/12)</f>
        <v/>
      </c>
      <c r="N8" s="52">
        <f>IF(OR(E8="",G8="",H8="",J8=""),"",IF(E8="P",-9.236+0.0002708*(H8+I8)*(G8-(H8+I8))-0.001663*(M8*(G8-(H8+I8)))+0.007216*(M8*(H8+I8))+0.02292*(J8/G8*100),-9.376+0.0001882*(H8+I8)*(G8-(H8+I8))+0.0022*(M8*(H8+I8))+0.005841*(M8*(H8+I8))-0.002658*(M8*J8)+0.07693*(J8/G8*100)))</f>
        <v/>
      </c>
      <c r="O8" s="53">
        <f>IF(N8="","Ei tiedossa",IF(N8&lt;-1,"Varhainen",IF(N8&lt;0.5,"PHV-huippu","Post-PHV")))</f>
        <v/>
      </c>
      <c r="P8" s="54">
        <f>IF(A8="","",TODAY())</f>
        <v/>
      </c>
      <c r="Q8" s="55" t="n"/>
      <c r="R8" s="56">
        <f>IF(OR(M8="",N8=""),"",M8-N8)</f>
        <v/>
      </c>
      <c r="S8" s="57">
        <f>IF(OR(R8="",D8="",E8=""),"Ei tietoja",IF(R8&gt;=IF(E8="P",VLOOKUP(MONTH(D8),'📋 Ohjeet'!$A$50:$C$61,2,FALSE()),VLOOKUP(MONTH(D8),'📋 Ohjeet'!$A$50:$C$61,3,FALSE())),"✅ KYLLÄ","❌ EI"))</f>
        <v/>
      </c>
    </row>
    <row r="9" ht="15" customHeight="1" s="30">
      <c r="A9" s="40" t="n"/>
      <c r="B9" s="40" t="n"/>
      <c r="C9" s="40" t="n"/>
      <c r="D9" s="40" t="n"/>
      <c r="E9" s="40" t="n"/>
      <c r="F9" s="40" t="n"/>
      <c r="G9" s="41" t="n"/>
      <c r="H9" s="41" t="n"/>
      <c r="I9" s="41" t="n"/>
      <c r="J9" s="41" t="n"/>
      <c r="K9" s="41" t="n"/>
      <c r="L9" s="41" t="n"/>
      <c r="M9" s="42">
        <f>IF(D9="","",DATEDIF(D9,TODAY(),"Y")+DATEDIF(D9,TODAY(),"YM")/12)</f>
        <v/>
      </c>
      <c r="N9" s="43">
        <f>IF(OR(E9="",G9="",H9="",J9=""),"",IF(E9="P",-9.236+0.0002708*(H9+I9)*(G9-(H9+I9))-0.001663*(M9*(G9-(H9+I9)))+0.007216*(M9*(H9+I9))+0.02292*(J9/G9*100),-9.376+0.0001882*(H9+I9)*(G9-(H9+I9))+0.0022*(M9*(H9+I9))+0.005841*(M9*(H9+I9))-0.002658*(M9*J9)+0.07693*(J9/G9*100)))</f>
        <v/>
      </c>
      <c r="O9" s="44">
        <f>IF(N9="","Ei tiedossa",IF(N9&lt;-1,"Varhainen",IF(N9&lt;0.5,"PHV-huippu","Post-PHV")))</f>
        <v/>
      </c>
      <c r="P9" s="45">
        <f>IF(A9="","",TODAY())</f>
        <v/>
      </c>
      <c r="Q9" s="46" t="n"/>
      <c r="R9" s="47">
        <f>IF(OR(M9="",N9=""),"",M9-N9)</f>
        <v/>
      </c>
      <c r="S9" s="48">
        <f>IF(OR(R9="",D9="",E9=""),"Ei tietoja",IF(R9&gt;=IF(E9="P",VLOOKUP(MONTH(D9),'📋 Ohjeet'!$A$50:$C$61,2,FALSE()),VLOOKUP(MONTH(D9),'📋 Ohjeet'!$A$50:$C$61,3,FALSE())),"✅ KYLLÄ","❌ EI"))</f>
        <v/>
      </c>
    </row>
    <row r="10" ht="15" customHeight="1" s="30">
      <c r="A10" s="49" t="n"/>
      <c r="B10" s="49" t="n"/>
      <c r="C10" s="49" t="n"/>
      <c r="D10" s="49" t="n"/>
      <c r="E10" s="49" t="n"/>
      <c r="F10" s="49" t="n"/>
      <c r="G10" s="50" t="n"/>
      <c r="H10" s="50" t="n"/>
      <c r="I10" s="50" t="n"/>
      <c r="J10" s="50" t="n"/>
      <c r="K10" s="50" t="n"/>
      <c r="L10" s="50" t="n"/>
      <c r="M10" s="51">
        <f>IF(D10="","",DATEDIF(D10,TODAY(),"Y")+DATEDIF(D10,TODAY(),"YM")/12)</f>
        <v/>
      </c>
      <c r="N10" s="52">
        <f>IF(OR(E10="",G10="",H10="",J10=""),"",IF(E10="P",-9.236+0.0002708*(H10+I10)*(G10-(H10+I10))-0.001663*(M10*(G10-(H10+I10)))+0.007216*(M10*(H10+I10))+0.02292*(J10/G10*100),-9.376+0.0001882*(H10+I10)*(G10-(H10+I10))+0.0022*(M10*(H10+I10))+0.005841*(M10*(H10+I10))-0.002658*(M10*J10)+0.07693*(J10/G10*100)))</f>
        <v/>
      </c>
      <c r="O10" s="53">
        <f>IF(N10="","Ei tiedossa",IF(N10&lt;-1,"Varhainen",IF(N10&lt;0.5,"PHV-huippu","Post-PHV")))</f>
        <v/>
      </c>
      <c r="P10" s="54">
        <f>IF(A10="","",TODAY())</f>
        <v/>
      </c>
      <c r="Q10" s="55" t="n"/>
      <c r="R10" s="56">
        <f>IF(OR(M10="",N10=""),"",M10-N10)</f>
        <v/>
      </c>
      <c r="S10" s="57">
        <f>IF(OR(R10="",D10="",E10=""),"Ei tietoja",IF(R10&gt;=IF(E10="P",VLOOKUP(MONTH(D10),'📋 Ohjeet'!$A$50:$C$61,2,FALSE()),VLOOKUP(MONTH(D10),'📋 Ohjeet'!$A$50:$C$61,3,FALSE())),"✅ KYLLÄ","❌ EI"))</f>
        <v/>
      </c>
    </row>
    <row r="11" ht="15" customHeight="1" s="30">
      <c r="A11" s="40" t="n"/>
      <c r="B11" s="40" t="n"/>
      <c r="C11" s="40" t="n"/>
      <c r="D11" s="40" t="n"/>
      <c r="E11" s="40" t="n"/>
      <c r="F11" s="40" t="n"/>
      <c r="G11" s="41" t="n"/>
      <c r="H11" s="41" t="n"/>
      <c r="I11" s="41" t="n"/>
      <c r="J11" s="41" t="n"/>
      <c r="K11" s="41" t="n"/>
      <c r="L11" s="41" t="n"/>
      <c r="M11" s="42">
        <f>IF(D11="","",DATEDIF(D11,TODAY(),"Y")+DATEDIF(D11,TODAY(),"YM")/12)</f>
        <v/>
      </c>
      <c r="N11" s="43">
        <f>IF(OR(E11="",G11="",H11="",J11=""),"",IF(E11="P",-9.236+0.0002708*(H11+I11)*(G11-(H11+I11))-0.001663*(M11*(G11-(H11+I11)))+0.007216*(M11*(H11+I11))+0.02292*(J11/G11*100),-9.376+0.0001882*(H11+I11)*(G11-(H11+I11))+0.0022*(M11*(H11+I11))+0.005841*(M11*(H11+I11))-0.002658*(M11*J11)+0.07693*(J11/G11*100)))</f>
        <v/>
      </c>
      <c r="O11" s="44">
        <f>IF(N11="","Ei tiedossa",IF(N11&lt;-1,"Varhainen",IF(N11&lt;0.5,"PHV-huippu","Post-PHV")))</f>
        <v/>
      </c>
      <c r="P11" s="45">
        <f>IF(A11="","",TODAY())</f>
        <v/>
      </c>
      <c r="Q11" s="46" t="n"/>
      <c r="R11" s="47">
        <f>IF(OR(M11="",N11=""),"",M11-N11)</f>
        <v/>
      </c>
      <c r="S11" s="48">
        <f>IF(OR(R11="",D11="",E11=""),"Ei tietoja",IF(R11&gt;=IF(E11="P",VLOOKUP(MONTH(D11),'📋 Ohjeet'!$A$50:$C$61,2,FALSE()),VLOOKUP(MONTH(D11),'📋 Ohjeet'!$A$50:$C$61,3,FALSE())),"✅ KYLLÄ","❌ EI"))</f>
        <v/>
      </c>
    </row>
    <row r="12" ht="15" customHeight="1" s="30">
      <c r="A12" s="49" t="n"/>
      <c r="B12" s="49" t="n"/>
      <c r="C12" s="49" t="n"/>
      <c r="D12" s="49" t="n"/>
      <c r="E12" s="49" t="n"/>
      <c r="F12" s="49" t="n"/>
      <c r="G12" s="50" t="n"/>
      <c r="H12" s="50" t="n"/>
      <c r="I12" s="50" t="n"/>
      <c r="J12" s="50" t="n"/>
      <c r="K12" s="50" t="n"/>
      <c r="L12" s="50" t="n"/>
      <c r="M12" s="51">
        <f>IF(D12="","",DATEDIF(D12,TODAY(),"Y")+DATEDIF(D12,TODAY(),"YM")/12)</f>
        <v/>
      </c>
      <c r="N12" s="52">
        <f>IF(OR(E12="",G12="",H12="",J12=""),"",IF(E12="P",-9.236+0.0002708*(H12+I12)*(G12-(H12+I12))-0.001663*(M12*(G12-(H12+I12)))+0.007216*(M12*(H12+I12))+0.02292*(J12/G12*100),-9.376+0.0001882*(H12+I12)*(G12-(H12+I12))+0.0022*(M12*(H12+I12))+0.005841*(M12*(H12+I12))-0.002658*(M12*J12)+0.07693*(J12/G12*100)))</f>
        <v/>
      </c>
      <c r="O12" s="53">
        <f>IF(N12="","Ei tiedossa",IF(N12&lt;-1,"Varhainen",IF(N12&lt;0.5,"PHV-huippu","Post-PHV")))</f>
        <v/>
      </c>
      <c r="P12" s="54">
        <f>IF(A12="","",TODAY())</f>
        <v/>
      </c>
      <c r="Q12" s="55" t="n"/>
      <c r="R12" s="56">
        <f>IF(OR(M12="",N12=""),"",M12-N12)</f>
        <v/>
      </c>
      <c r="S12" s="57">
        <f>IF(OR(R12="",D12="",E12=""),"Ei tietoja",IF(R12&gt;=IF(E12="P",VLOOKUP(MONTH(D12),'📋 Ohjeet'!$A$50:$C$61,2,FALSE()),VLOOKUP(MONTH(D12),'📋 Ohjeet'!$A$50:$C$61,3,FALSE())),"✅ KYLLÄ","❌ EI"))</f>
        <v/>
      </c>
    </row>
    <row r="13" ht="15" customHeight="1" s="30">
      <c r="A13" s="40" t="n"/>
      <c r="B13" s="40" t="n"/>
      <c r="C13" s="40" t="n"/>
      <c r="D13" s="40" t="n"/>
      <c r="E13" s="40" t="n"/>
      <c r="F13" s="40" t="n"/>
      <c r="G13" s="41" t="n"/>
      <c r="H13" s="41" t="n"/>
      <c r="I13" s="41" t="n"/>
      <c r="J13" s="41" t="n"/>
      <c r="K13" s="41" t="n"/>
      <c r="L13" s="41" t="n"/>
      <c r="M13" s="42">
        <f>IF(D13="","",DATEDIF(D13,TODAY(),"Y")+DATEDIF(D13,TODAY(),"YM")/12)</f>
        <v/>
      </c>
      <c r="N13" s="43">
        <f>IF(OR(E13="",G13="",H13="",J13=""),"",IF(E13="P",-9.236+0.0002708*(H13+I13)*(G13-(H13+I13))-0.001663*(M13*(G13-(H13+I13)))+0.007216*(M13*(H13+I13))+0.02292*(J13/G13*100),-9.376+0.0001882*(H13+I13)*(G13-(H13+I13))+0.0022*(M13*(H13+I13))+0.005841*(M13*(H13+I13))-0.002658*(M13*J13)+0.07693*(J13/G13*100)))</f>
        <v/>
      </c>
      <c r="O13" s="44">
        <f>IF(N13="","Ei tiedossa",IF(N13&lt;-1,"Varhainen",IF(N13&lt;0.5,"PHV-huippu","Post-PHV")))</f>
        <v/>
      </c>
      <c r="P13" s="45">
        <f>IF(A13="","",TODAY())</f>
        <v/>
      </c>
      <c r="Q13" s="46" t="n"/>
      <c r="R13" s="47">
        <f>IF(OR(M13="",N13=""),"",M13-N13)</f>
        <v/>
      </c>
      <c r="S13" s="48">
        <f>IF(OR(R13="",D13="",E13=""),"Ei tietoja",IF(R13&gt;=IF(E13="P",VLOOKUP(MONTH(D13),'📋 Ohjeet'!$A$50:$C$61,2,FALSE()),VLOOKUP(MONTH(D13),'📋 Ohjeet'!$A$50:$C$61,3,FALSE())),"✅ KYLLÄ","❌ EI"))</f>
        <v/>
      </c>
    </row>
    <row r="14" ht="15" customHeight="1" s="30">
      <c r="A14" s="49" t="n"/>
      <c r="B14" s="49" t="n"/>
      <c r="C14" s="49" t="n"/>
      <c r="D14" s="49" t="n"/>
      <c r="E14" s="49" t="n"/>
      <c r="F14" s="49" t="n"/>
      <c r="G14" s="50" t="n"/>
      <c r="H14" s="50" t="n"/>
      <c r="I14" s="50" t="n"/>
      <c r="J14" s="50" t="n"/>
      <c r="K14" s="50" t="n"/>
      <c r="L14" s="50" t="n"/>
      <c r="M14" s="51">
        <f>IF(D14="","",DATEDIF(D14,TODAY(),"Y")+DATEDIF(D14,TODAY(),"YM")/12)</f>
        <v/>
      </c>
      <c r="N14" s="52">
        <f>IF(OR(E14="",G14="",H14="",J14=""),"",IF(E14="P",-9.236+0.0002708*(H14+I14)*(G14-(H14+I14))-0.001663*(M14*(G14-(H14+I14)))+0.007216*(M14*(H14+I14))+0.02292*(J14/G14*100),-9.376+0.0001882*(H14+I14)*(G14-(H14+I14))+0.0022*(M14*(H14+I14))+0.005841*(M14*(H14+I14))-0.002658*(M14*J14)+0.07693*(J14/G14*100)))</f>
        <v/>
      </c>
      <c r="O14" s="53">
        <f>IF(N14="","Ei tiedossa",IF(N14&lt;-1,"Varhainen",IF(N14&lt;0.5,"PHV-huippu","Post-PHV")))</f>
        <v/>
      </c>
      <c r="P14" s="54">
        <f>IF(A14="","",TODAY())</f>
        <v/>
      </c>
      <c r="Q14" s="55" t="n"/>
      <c r="R14" s="56">
        <f>IF(OR(M14="",N14=""),"",M14-N14)</f>
        <v/>
      </c>
      <c r="S14" s="57">
        <f>IF(OR(R14="",D14="",E14=""),"Ei tietoja",IF(R14&gt;=IF(E14="P",VLOOKUP(MONTH(D14),'📋 Ohjeet'!$A$50:$C$61,2,FALSE()),VLOOKUP(MONTH(D14),'📋 Ohjeet'!$A$50:$C$61,3,FALSE())),"✅ KYLLÄ","❌ EI"))</f>
        <v/>
      </c>
    </row>
    <row r="15" ht="15" customHeight="1" s="30">
      <c r="A15" s="40" t="n"/>
      <c r="B15" s="40" t="n"/>
      <c r="C15" s="40" t="n"/>
      <c r="D15" s="40" t="n"/>
      <c r="E15" s="40" t="n"/>
      <c r="F15" s="40" t="n"/>
      <c r="G15" s="41" t="n"/>
      <c r="H15" s="41" t="n"/>
      <c r="I15" s="41" t="n"/>
      <c r="J15" s="41" t="n"/>
      <c r="K15" s="41" t="n"/>
      <c r="L15" s="41" t="n"/>
      <c r="M15" s="42">
        <f>IF(D15="","",DATEDIF(D15,TODAY(),"Y")+DATEDIF(D15,TODAY(),"YM")/12)</f>
        <v/>
      </c>
      <c r="N15" s="43">
        <f>IF(OR(E15="",G15="",H15="",J15=""),"",IF(E15="P",-9.236+0.0002708*(H15+I15)*(G15-(H15+I15))-0.001663*(M15*(G15-(H15+I15)))+0.007216*(M15*(H15+I15))+0.02292*(J15/G15*100),-9.376+0.0001882*(H15+I15)*(G15-(H15+I15))+0.0022*(M15*(H15+I15))+0.005841*(M15*(H15+I15))-0.002658*(M15*J15)+0.07693*(J15/G15*100)))</f>
        <v/>
      </c>
      <c r="O15" s="44">
        <f>IF(N15="","Ei tiedossa",IF(N15&lt;-1,"Varhainen",IF(N15&lt;0.5,"PHV-huippu","Post-PHV")))</f>
        <v/>
      </c>
      <c r="P15" s="45">
        <f>IF(A15="","",TODAY())</f>
        <v/>
      </c>
      <c r="Q15" s="46" t="n"/>
      <c r="R15" s="47">
        <f>IF(OR(M15="",N15=""),"",M15-N15)</f>
        <v/>
      </c>
      <c r="S15" s="48">
        <f>IF(OR(R15="",D15="",E15=""),"Ei tietoja",IF(R15&gt;=IF(E15="P",VLOOKUP(MONTH(D15),'📋 Ohjeet'!$A$50:$C$61,2,FALSE()),VLOOKUP(MONTH(D15),'📋 Ohjeet'!$A$50:$C$61,3,FALSE())),"✅ KYLLÄ","❌ EI"))</f>
        <v/>
      </c>
    </row>
    <row r="16" ht="15" customHeight="1" s="30">
      <c r="A16" s="49" t="n"/>
      <c r="B16" s="49" t="n"/>
      <c r="C16" s="49" t="n"/>
      <c r="D16" s="49" t="n"/>
      <c r="E16" s="49" t="n"/>
      <c r="F16" s="49" t="n"/>
      <c r="G16" s="50" t="n"/>
      <c r="H16" s="50" t="n"/>
      <c r="I16" s="50" t="n"/>
      <c r="J16" s="50" t="n"/>
      <c r="K16" s="50" t="n"/>
      <c r="L16" s="50" t="n"/>
      <c r="M16" s="51">
        <f>IF(D16="","",DATEDIF(D16,TODAY(),"Y")+DATEDIF(D16,TODAY(),"YM")/12)</f>
        <v/>
      </c>
      <c r="N16" s="52">
        <f>IF(OR(E16="",G16="",H16="",J16=""),"",IF(E16="P",-9.236+0.0002708*(H16+I16)*(G16-(H16+I16))-0.001663*(M16*(G16-(H16+I16)))+0.007216*(M16*(H16+I16))+0.02292*(J16/G16*100),-9.376+0.0001882*(H16+I16)*(G16-(H16+I16))+0.0022*(M16*(H16+I16))+0.005841*(M16*(H16+I16))-0.002658*(M16*J16)+0.07693*(J16/G16*100)))</f>
        <v/>
      </c>
      <c r="O16" s="53">
        <f>IF(N16="","Ei tiedossa",IF(N16&lt;-1,"Varhainen",IF(N16&lt;0.5,"PHV-huippu","Post-PHV")))</f>
        <v/>
      </c>
      <c r="P16" s="54">
        <f>IF(A16="","",TODAY())</f>
        <v/>
      </c>
      <c r="Q16" s="55" t="n"/>
      <c r="R16" s="56">
        <f>IF(OR(M16="",N16=""),"",M16-N16)</f>
        <v/>
      </c>
      <c r="S16" s="57">
        <f>IF(OR(R16="",D16="",E16=""),"Ei tietoja",IF(R16&gt;=IF(E16="P",VLOOKUP(MONTH(D16),'📋 Ohjeet'!$A$50:$C$61,2,FALSE()),VLOOKUP(MONTH(D16),'📋 Ohjeet'!$A$50:$C$61,3,FALSE())),"✅ KYLLÄ","❌ EI"))</f>
        <v/>
      </c>
    </row>
    <row r="17" ht="15" customHeight="1" s="30">
      <c r="A17" s="40" t="n"/>
      <c r="B17" s="40" t="n"/>
      <c r="C17" s="40" t="n"/>
      <c r="D17" s="40" t="n"/>
      <c r="E17" s="40" t="n"/>
      <c r="F17" s="40" t="n"/>
      <c r="G17" s="41" t="n"/>
      <c r="H17" s="41" t="n"/>
      <c r="I17" s="41" t="n"/>
      <c r="J17" s="41" t="n"/>
      <c r="K17" s="41" t="n"/>
      <c r="L17" s="41" t="n"/>
      <c r="M17" s="42">
        <f>IF(D17="","",DATEDIF(D17,TODAY(),"Y")+DATEDIF(D17,TODAY(),"YM")/12)</f>
        <v/>
      </c>
      <c r="N17" s="43">
        <f>IF(OR(E17="",G17="",H17="",J17=""),"",IF(E17="P",-9.236+0.0002708*(H17+I17)*(G17-(H17+I17))-0.001663*(M17*(G17-(H17+I17)))+0.007216*(M17*(H17+I17))+0.02292*(J17/G17*100),-9.376+0.0001882*(H17+I17)*(G17-(H17+I17))+0.0022*(M17*(H17+I17))+0.005841*(M17*(H17+I17))-0.002658*(M17*J17)+0.07693*(J17/G17*100)))</f>
        <v/>
      </c>
      <c r="O17" s="44">
        <f>IF(N17="","Ei tiedossa",IF(N17&lt;-1,"Varhainen",IF(N17&lt;0.5,"PHV-huippu","Post-PHV")))</f>
        <v/>
      </c>
      <c r="P17" s="45">
        <f>IF(A17="","",TODAY())</f>
        <v/>
      </c>
      <c r="Q17" s="46" t="n"/>
      <c r="R17" s="47">
        <f>IF(OR(M17="",N17=""),"",M17-N17)</f>
        <v/>
      </c>
      <c r="S17" s="48">
        <f>IF(OR(R17="",D17="",E17=""),"Ei tietoja",IF(R17&gt;=IF(E17="P",VLOOKUP(MONTH(D17),'📋 Ohjeet'!$A$50:$C$61,2,FALSE()),VLOOKUP(MONTH(D17),'📋 Ohjeet'!$A$50:$C$61,3,FALSE())),"✅ KYLLÄ","❌ EI"))</f>
        <v/>
      </c>
    </row>
    <row r="18" ht="15" customHeight="1" s="30">
      <c r="A18" s="49" t="n"/>
      <c r="B18" s="49" t="n"/>
      <c r="C18" s="49" t="n"/>
      <c r="D18" s="49" t="n"/>
      <c r="E18" s="49" t="n"/>
      <c r="F18" s="49" t="n"/>
      <c r="G18" s="50" t="n"/>
      <c r="H18" s="50" t="n"/>
      <c r="I18" s="50" t="n"/>
      <c r="J18" s="50" t="n"/>
      <c r="K18" s="50" t="n"/>
      <c r="L18" s="50" t="n"/>
      <c r="M18" s="51">
        <f>IF(D18="","",DATEDIF(D18,TODAY(),"Y")+DATEDIF(D18,TODAY(),"YM")/12)</f>
        <v/>
      </c>
      <c r="N18" s="52">
        <f>IF(OR(E18="",G18="",H18="",J18=""),"",IF(E18="P",-9.236+0.0002708*(H18+I18)*(G18-(H18+I18))-0.001663*(M18*(G18-(H18+I18)))+0.007216*(M18*(H18+I18))+0.02292*(J18/G18*100),-9.376+0.0001882*(H18+I18)*(G18-(H18+I18))+0.0022*(M18*(H18+I18))+0.005841*(M18*(H18+I18))-0.002658*(M18*J18)+0.07693*(J18/G18*100)))</f>
        <v/>
      </c>
      <c r="O18" s="53">
        <f>IF(N18="","Ei tiedossa",IF(N18&lt;-1,"Varhainen",IF(N18&lt;0.5,"PHV-huippu","Post-PHV")))</f>
        <v/>
      </c>
      <c r="P18" s="54">
        <f>IF(A18="","",TODAY())</f>
        <v/>
      </c>
      <c r="Q18" s="55" t="n"/>
      <c r="R18" s="56">
        <f>IF(OR(M18="",N18=""),"",M18-N18)</f>
        <v/>
      </c>
      <c r="S18" s="57">
        <f>IF(OR(R18="",D18="",E18=""),"Ei tietoja",IF(R18&gt;=IF(E18="P",VLOOKUP(MONTH(D18),'📋 Ohjeet'!$A$50:$C$61,2,FALSE()),VLOOKUP(MONTH(D18),'📋 Ohjeet'!$A$50:$C$61,3,FALSE())),"✅ KYLLÄ","❌ EI"))</f>
        <v/>
      </c>
    </row>
    <row r="19" ht="15" customHeight="1" s="30">
      <c r="A19" s="40" t="n"/>
      <c r="B19" s="40" t="n"/>
      <c r="C19" s="40" t="n"/>
      <c r="D19" s="40" t="n"/>
      <c r="E19" s="40" t="n"/>
      <c r="F19" s="40" t="n"/>
      <c r="G19" s="41" t="n"/>
      <c r="H19" s="41" t="n"/>
      <c r="I19" s="41" t="n"/>
      <c r="J19" s="41" t="n"/>
      <c r="K19" s="41" t="n"/>
      <c r="L19" s="41" t="n"/>
      <c r="M19" s="42">
        <f>IF(D19="","",DATEDIF(D19,TODAY(),"Y")+DATEDIF(D19,TODAY(),"YM")/12)</f>
        <v/>
      </c>
      <c r="N19" s="43">
        <f>IF(OR(E19="",G19="",H19="",J19=""),"",IF(E19="P",-9.236+0.0002708*(H19+I19)*(G19-(H19+I19))-0.001663*(M19*(G19-(H19+I19)))+0.007216*(M19*(H19+I19))+0.02292*(J19/G19*100),-9.376+0.0001882*(H19+I19)*(G19-(H19+I19))+0.0022*(M19*(H19+I19))+0.005841*(M19*(H19+I19))-0.002658*(M19*J19)+0.07693*(J19/G19*100)))</f>
        <v/>
      </c>
      <c r="O19" s="44">
        <f>IF(N19="","Ei tiedossa",IF(N19&lt;-1,"Varhainen",IF(N19&lt;0.5,"PHV-huippu","Post-PHV")))</f>
        <v/>
      </c>
      <c r="P19" s="45">
        <f>IF(A19="","",TODAY())</f>
        <v/>
      </c>
      <c r="Q19" s="46" t="n"/>
      <c r="R19" s="47">
        <f>IF(OR(M19="",N19=""),"",M19-N19)</f>
        <v/>
      </c>
      <c r="S19" s="48">
        <f>IF(OR(R19="",D19="",E19=""),"Ei tietoja",IF(R19&gt;=IF(E19="P",VLOOKUP(MONTH(D19),'📋 Ohjeet'!$A$50:$C$61,2,FALSE()),VLOOKUP(MONTH(D19),'📋 Ohjeet'!$A$50:$C$61,3,FALSE())),"✅ KYLLÄ","❌ EI"))</f>
        <v/>
      </c>
    </row>
    <row r="20" ht="15" customHeight="1" s="30">
      <c r="A20" s="49" t="n"/>
      <c r="B20" s="49" t="n"/>
      <c r="C20" s="49" t="n"/>
      <c r="D20" s="49" t="n"/>
      <c r="E20" s="49" t="n"/>
      <c r="F20" s="49" t="n"/>
      <c r="G20" s="50" t="n"/>
      <c r="H20" s="50" t="n"/>
      <c r="I20" s="50" t="n"/>
      <c r="J20" s="50" t="n"/>
      <c r="K20" s="50" t="n"/>
      <c r="L20" s="50" t="n"/>
      <c r="M20" s="51">
        <f>IF(D20="","",DATEDIF(D20,TODAY(),"Y")+DATEDIF(D20,TODAY(),"YM")/12)</f>
        <v/>
      </c>
      <c r="N20" s="52">
        <f>IF(OR(E20="",G20="",H20="",J20=""),"",IF(E20="P",-9.236+0.0002708*(H20+I20)*(G20-(H20+I20))-0.001663*(M20*(G20-(H20+I20)))+0.007216*(M20*(H20+I20))+0.02292*(J20/G20*100),-9.376+0.0001882*(H20+I20)*(G20-(H20+I20))+0.0022*(M20*(H20+I20))+0.005841*(M20*(H20+I20))-0.002658*(M20*J20)+0.07693*(J20/G20*100)))</f>
        <v/>
      </c>
      <c r="O20" s="53">
        <f>IF(N20="","Ei tiedossa",IF(N20&lt;-1,"Varhainen",IF(N20&lt;0.5,"PHV-huippu","Post-PHV")))</f>
        <v/>
      </c>
      <c r="P20" s="54">
        <f>IF(A20="","",TODAY())</f>
        <v/>
      </c>
      <c r="Q20" s="55" t="n"/>
      <c r="R20" s="56">
        <f>IF(OR(M20="",N20=""),"",M20-N20)</f>
        <v/>
      </c>
      <c r="S20" s="57">
        <f>IF(OR(R20="",D20="",E20=""),"Ei tietoja",IF(R20&gt;=IF(E20="P",VLOOKUP(MONTH(D20),'📋 Ohjeet'!$A$50:$C$61,2,FALSE()),VLOOKUP(MONTH(D20),'📋 Ohjeet'!$A$50:$C$61,3,FALSE())),"✅ KYLLÄ","❌ EI"))</f>
        <v/>
      </c>
    </row>
    <row r="21" ht="15" customHeight="1" s="30">
      <c r="A21" s="40" t="n"/>
      <c r="B21" s="40" t="n"/>
      <c r="C21" s="40" t="n"/>
      <c r="D21" s="40" t="n"/>
      <c r="E21" s="40" t="n"/>
      <c r="F21" s="40" t="n"/>
      <c r="G21" s="41" t="n"/>
      <c r="H21" s="41" t="n"/>
      <c r="I21" s="41" t="n"/>
      <c r="J21" s="41" t="n"/>
      <c r="K21" s="41" t="n"/>
      <c r="L21" s="41" t="n"/>
      <c r="M21" s="42">
        <f>IF(D21="","",DATEDIF(D21,TODAY(),"Y")+DATEDIF(D21,TODAY(),"YM")/12)</f>
        <v/>
      </c>
      <c r="N21" s="43">
        <f>IF(OR(E21="",G21="",H21="",J21=""),"",IF(E21="P",-9.236+0.0002708*(H21+I21)*(G21-(H21+I21))-0.001663*(M21*(G21-(H21+I21)))+0.007216*(M21*(H21+I21))+0.02292*(J21/G21*100),-9.376+0.0001882*(H21+I21)*(G21-(H21+I21))+0.0022*(M21*(H21+I21))+0.005841*(M21*(H21+I21))-0.002658*(M21*J21)+0.07693*(J21/G21*100)))</f>
        <v/>
      </c>
      <c r="O21" s="44">
        <f>IF(N21="","Ei tiedossa",IF(N21&lt;-1,"Varhainen",IF(N21&lt;0.5,"PHV-huippu","Post-PHV")))</f>
        <v/>
      </c>
      <c r="P21" s="45">
        <f>IF(A21="","",TODAY())</f>
        <v/>
      </c>
      <c r="Q21" s="46" t="n"/>
      <c r="R21" s="47">
        <f>IF(OR(M21="",N21=""),"",M21-N21)</f>
        <v/>
      </c>
      <c r="S21" s="48">
        <f>IF(OR(R21="",D21="",E21=""),"Ei tietoja",IF(R21&gt;=IF(E21="P",VLOOKUP(MONTH(D21),'📋 Ohjeet'!$A$50:$C$61,2,FALSE()),VLOOKUP(MONTH(D21),'📋 Ohjeet'!$A$50:$C$61,3,FALSE())),"✅ KYLLÄ","❌ EI"))</f>
        <v/>
      </c>
    </row>
    <row r="22" ht="15" customHeight="1" s="30">
      <c r="A22" s="49" t="n"/>
      <c r="B22" s="49" t="n"/>
      <c r="C22" s="49" t="n"/>
      <c r="D22" s="49" t="n"/>
      <c r="E22" s="49" t="n"/>
      <c r="F22" s="49" t="n"/>
      <c r="G22" s="50" t="n"/>
      <c r="H22" s="50" t="n"/>
      <c r="I22" s="50" t="n"/>
      <c r="J22" s="50" t="n"/>
      <c r="K22" s="50" t="n"/>
      <c r="L22" s="50" t="n"/>
      <c r="M22" s="51">
        <f>IF(D22="","",DATEDIF(D22,TODAY(),"Y")+DATEDIF(D22,TODAY(),"YM")/12)</f>
        <v/>
      </c>
      <c r="N22" s="52">
        <f>IF(OR(E22="",G22="",H22="",J22=""),"",IF(E22="P",-9.236+0.0002708*(H22+I22)*(G22-(H22+I22))-0.001663*(M22*(G22-(H22+I22)))+0.007216*(M22*(H22+I22))+0.02292*(J22/G22*100),-9.376+0.0001882*(H22+I22)*(G22-(H22+I22))+0.0022*(M22*(H22+I22))+0.005841*(M22*(H22+I22))-0.002658*(M22*J22)+0.07693*(J22/G22*100)))</f>
        <v/>
      </c>
      <c r="O22" s="53">
        <f>IF(N22="","Ei tiedossa",IF(N22&lt;-1,"Varhainen",IF(N22&lt;0.5,"PHV-huippu","Post-PHV")))</f>
        <v/>
      </c>
      <c r="P22" s="54">
        <f>IF(A22="","",TODAY())</f>
        <v/>
      </c>
      <c r="Q22" s="55" t="n"/>
      <c r="R22" s="56">
        <f>IF(OR(M22="",N22=""),"",M22-N22)</f>
        <v/>
      </c>
      <c r="S22" s="57">
        <f>IF(OR(R22="",D22="",E22=""),"Ei tietoja",IF(R22&gt;=IF(E22="P",VLOOKUP(MONTH(D22),'📋 Ohjeet'!$A$50:$C$61,2,FALSE()),VLOOKUP(MONTH(D22),'📋 Ohjeet'!$A$50:$C$61,3,FALSE())),"✅ KYLLÄ","❌ EI"))</f>
        <v/>
      </c>
    </row>
    <row r="23" ht="15" customHeight="1" s="30">
      <c r="A23" s="40" t="n"/>
      <c r="B23" s="40" t="n"/>
      <c r="C23" s="40" t="n"/>
      <c r="D23" s="40" t="n"/>
      <c r="E23" s="40" t="n"/>
      <c r="F23" s="40" t="n"/>
      <c r="G23" s="41" t="n"/>
      <c r="H23" s="41" t="n"/>
      <c r="I23" s="41" t="n"/>
      <c r="J23" s="41" t="n"/>
      <c r="K23" s="41" t="n"/>
      <c r="L23" s="41" t="n"/>
      <c r="M23" s="42">
        <f>IF(D23="","",DATEDIF(D23,TODAY(),"Y")+DATEDIF(D23,TODAY(),"YM")/12)</f>
        <v/>
      </c>
      <c r="N23" s="43">
        <f>IF(OR(E23="",G23="",H23="",J23=""),"",IF(E23="P",-9.236+0.0002708*(H23+I23)*(G23-(H23+I23))-0.001663*(M23*(G23-(H23+I23)))+0.007216*(M23*(H23+I23))+0.02292*(J23/G23*100),-9.376+0.0001882*(H23+I23)*(G23-(H23+I23))+0.0022*(M23*(H23+I23))+0.005841*(M23*(H23+I23))-0.002658*(M23*J23)+0.07693*(J23/G23*100)))</f>
        <v/>
      </c>
      <c r="O23" s="44">
        <f>IF(N23="","Ei tiedossa",IF(N23&lt;-1,"Varhainen",IF(N23&lt;0.5,"PHV-huippu","Post-PHV")))</f>
        <v/>
      </c>
      <c r="P23" s="45">
        <f>IF(A23="","",TODAY())</f>
        <v/>
      </c>
      <c r="Q23" s="46" t="n"/>
      <c r="R23" s="47">
        <f>IF(OR(M23="",N23=""),"",M23-N23)</f>
        <v/>
      </c>
      <c r="S23" s="48">
        <f>IF(OR(R23="",D23="",E23=""),"Ei tietoja",IF(R23&gt;=IF(E23="P",VLOOKUP(MONTH(D23),'📋 Ohjeet'!$A$50:$C$61,2,FALSE()),VLOOKUP(MONTH(D23),'📋 Ohjeet'!$A$50:$C$61,3,FALSE())),"✅ KYLLÄ","❌ EI"))</f>
        <v/>
      </c>
    </row>
    <row r="24" ht="15" customHeight="1" s="30">
      <c r="A24" s="49" t="n"/>
      <c r="B24" s="49" t="n"/>
      <c r="C24" s="49" t="n"/>
      <c r="D24" s="49" t="n"/>
      <c r="E24" s="49" t="n"/>
      <c r="F24" s="49" t="n"/>
      <c r="G24" s="50" t="n"/>
      <c r="H24" s="50" t="n"/>
      <c r="I24" s="50" t="n"/>
      <c r="J24" s="50" t="n"/>
      <c r="K24" s="50" t="n"/>
      <c r="L24" s="50" t="n"/>
      <c r="M24" s="51">
        <f>IF(D24="","",DATEDIF(D24,TODAY(),"Y")+DATEDIF(D24,TODAY(),"YM")/12)</f>
        <v/>
      </c>
      <c r="N24" s="52">
        <f>IF(OR(E24="",G24="",H24="",J24=""),"",IF(E24="P",-9.236+0.0002708*(H24+I24)*(G24-(H24+I24))-0.001663*(M24*(G24-(H24+I24)))+0.007216*(M24*(H24+I24))+0.02292*(J24/G24*100),-9.376+0.0001882*(H24+I24)*(G24-(H24+I24))+0.0022*(M24*(H24+I24))+0.005841*(M24*(H24+I24))-0.002658*(M24*J24)+0.07693*(J24/G24*100)))</f>
        <v/>
      </c>
      <c r="O24" s="53">
        <f>IF(N24="","Ei tiedossa",IF(N24&lt;-1,"Varhainen",IF(N24&lt;0.5,"PHV-huippu","Post-PHV")))</f>
        <v/>
      </c>
      <c r="P24" s="54">
        <f>IF(A24="","",TODAY())</f>
        <v/>
      </c>
      <c r="Q24" s="55" t="n"/>
      <c r="R24" s="56">
        <f>IF(OR(M24="",N24=""),"",M24-N24)</f>
        <v/>
      </c>
      <c r="S24" s="57">
        <f>IF(OR(R24="",D24="",E24=""),"Ei tietoja",IF(R24&gt;=IF(E24="P",VLOOKUP(MONTH(D24),'📋 Ohjeet'!$A$50:$C$61,2,FALSE()),VLOOKUP(MONTH(D24),'📋 Ohjeet'!$A$50:$C$61,3,FALSE())),"✅ KYLLÄ","❌ EI"))</f>
        <v/>
      </c>
    </row>
    <row r="25" ht="15" customHeight="1" s="30">
      <c r="A25" s="40" t="n"/>
      <c r="B25" s="40" t="n"/>
      <c r="C25" s="40" t="n"/>
      <c r="D25" s="40" t="n"/>
      <c r="E25" s="40" t="n"/>
      <c r="F25" s="40" t="n"/>
      <c r="G25" s="41" t="n"/>
      <c r="H25" s="41" t="n"/>
      <c r="I25" s="41" t="n"/>
      <c r="J25" s="41" t="n"/>
      <c r="K25" s="41" t="n"/>
      <c r="L25" s="41" t="n"/>
      <c r="M25" s="42">
        <f>IF(D25="","",DATEDIF(D25,TODAY(),"Y")+DATEDIF(D25,TODAY(),"YM")/12)</f>
        <v/>
      </c>
      <c r="N25" s="43">
        <f>IF(OR(E25="",G25="",H25="",J25=""),"",IF(E25="P",-9.236+0.0002708*(H25+I25)*(G25-(H25+I25))-0.001663*(M25*(G25-(H25+I25)))+0.007216*(M25*(H25+I25))+0.02292*(J25/G25*100),-9.376+0.0001882*(H25+I25)*(G25-(H25+I25))+0.0022*(M25*(H25+I25))+0.005841*(M25*(H25+I25))-0.002658*(M25*J25)+0.07693*(J25/G25*100)))</f>
        <v/>
      </c>
      <c r="O25" s="44">
        <f>IF(N25="","Ei tiedossa",IF(N25&lt;-1,"Varhainen",IF(N25&lt;0.5,"PHV-huippu","Post-PHV")))</f>
        <v/>
      </c>
      <c r="P25" s="45">
        <f>IF(A25="","",TODAY())</f>
        <v/>
      </c>
      <c r="Q25" s="46" t="n"/>
      <c r="R25" s="47">
        <f>IF(OR(M25="",N25=""),"",M25-N25)</f>
        <v/>
      </c>
      <c r="S25" s="48">
        <f>IF(OR(R25="",D25="",E25=""),"Ei tietoja",IF(R25&gt;=IF(E25="P",VLOOKUP(MONTH(D25),'📋 Ohjeet'!$A$50:$C$61,2,FALSE()),VLOOKUP(MONTH(D25),'📋 Ohjeet'!$A$50:$C$61,3,FALSE())),"✅ KYLLÄ","❌ EI"))</f>
        <v/>
      </c>
    </row>
    <row r="26" ht="15" customHeight="1" s="30">
      <c r="A26" s="49" t="n"/>
      <c r="B26" s="49" t="n"/>
      <c r="C26" s="49" t="n"/>
      <c r="D26" s="49" t="n"/>
      <c r="E26" s="49" t="n"/>
      <c r="F26" s="49" t="n"/>
      <c r="G26" s="50" t="n"/>
      <c r="H26" s="50" t="n"/>
      <c r="I26" s="50" t="n"/>
      <c r="J26" s="50" t="n"/>
      <c r="K26" s="50" t="n"/>
      <c r="L26" s="50" t="n"/>
      <c r="M26" s="51">
        <f>IF(D26="","",DATEDIF(D26,TODAY(),"Y")+DATEDIF(D26,TODAY(),"YM")/12)</f>
        <v/>
      </c>
      <c r="N26" s="52">
        <f>IF(OR(E26="",G26="",H26="",J26=""),"",IF(E26="P",-9.236+0.0002708*(H26+I26)*(G26-(H26+I26))-0.001663*(M26*(G26-(H26+I26)))+0.007216*(M26*(H26+I26))+0.02292*(J26/G26*100),-9.376+0.0001882*(H26+I26)*(G26-(H26+I26))+0.0022*(M26*(H26+I26))+0.005841*(M26*(H26+I26))-0.002658*(M26*J26)+0.07693*(J26/G26*100)))</f>
        <v/>
      </c>
      <c r="O26" s="53">
        <f>IF(N26="","Ei tiedossa",IF(N26&lt;-1,"Varhainen",IF(N26&lt;0.5,"PHV-huippu","Post-PHV")))</f>
        <v/>
      </c>
      <c r="P26" s="54">
        <f>IF(A26="","",TODAY())</f>
        <v/>
      </c>
      <c r="Q26" s="55" t="n"/>
      <c r="R26" s="56">
        <f>IF(OR(M26="",N26=""),"",M26-N26)</f>
        <v/>
      </c>
      <c r="S26" s="57">
        <f>IF(OR(R26="",D26="",E26=""),"Ei tietoja",IF(R26&gt;=IF(E26="P",VLOOKUP(MONTH(D26),'📋 Ohjeet'!$A$50:$C$61,2,FALSE()),VLOOKUP(MONTH(D26),'📋 Ohjeet'!$A$50:$C$61,3,FALSE())),"✅ KYLLÄ","❌ EI"))</f>
        <v/>
      </c>
    </row>
    <row r="27" ht="15" customHeight="1" s="30">
      <c r="A27" s="40" t="n"/>
      <c r="B27" s="40" t="n"/>
      <c r="C27" s="40" t="n"/>
      <c r="D27" s="40" t="n"/>
      <c r="E27" s="40" t="n"/>
      <c r="F27" s="40" t="n"/>
      <c r="G27" s="41" t="n"/>
      <c r="H27" s="41" t="n"/>
      <c r="I27" s="41" t="n"/>
      <c r="J27" s="41" t="n"/>
      <c r="K27" s="41" t="n"/>
      <c r="L27" s="41" t="n"/>
      <c r="M27" s="42">
        <f>IF(D27="","",DATEDIF(D27,TODAY(),"Y")+DATEDIF(D27,TODAY(),"YM")/12)</f>
        <v/>
      </c>
      <c r="N27" s="43">
        <f>IF(OR(E27="",G27="",H27="",J27=""),"",IF(E27="P",-9.236+0.0002708*(H27+I27)*(G27-(H27+I27))-0.001663*(M27*(G27-(H27+I27)))+0.007216*(M27*(H27+I27))+0.02292*(J27/G27*100),-9.376+0.0001882*(H27+I27)*(G27-(H27+I27))+0.0022*(M27*(H27+I27))+0.005841*(M27*(H27+I27))-0.002658*(M27*J27)+0.07693*(J27/G27*100)))</f>
        <v/>
      </c>
      <c r="O27" s="44">
        <f>IF(N27="","Ei tiedossa",IF(N27&lt;-1,"Varhainen",IF(N27&lt;0.5,"PHV-huippu","Post-PHV")))</f>
        <v/>
      </c>
      <c r="P27" s="45">
        <f>IF(A27="","",TODAY())</f>
        <v/>
      </c>
      <c r="Q27" s="46" t="n"/>
      <c r="R27" s="47">
        <f>IF(OR(M27="",N27=""),"",M27-N27)</f>
        <v/>
      </c>
      <c r="S27" s="48">
        <f>IF(OR(R27="",D27="",E27=""),"Ei tietoja",IF(R27&gt;=IF(E27="P",VLOOKUP(MONTH(D27),'📋 Ohjeet'!$A$50:$C$61,2,FALSE()),VLOOKUP(MONTH(D27),'📋 Ohjeet'!$A$50:$C$61,3,FALSE())),"✅ KYLLÄ","❌ EI"))</f>
        <v/>
      </c>
    </row>
    <row r="28" ht="15" customHeight="1" s="30">
      <c r="A28" s="49" t="n"/>
      <c r="B28" s="49" t="n"/>
      <c r="C28" s="49" t="n"/>
      <c r="D28" s="49" t="n"/>
      <c r="E28" s="49" t="n"/>
      <c r="F28" s="49" t="n"/>
      <c r="G28" s="50" t="n"/>
      <c r="H28" s="50" t="n"/>
      <c r="I28" s="50" t="n"/>
      <c r="J28" s="50" t="n"/>
      <c r="K28" s="50" t="n"/>
      <c r="L28" s="50" t="n"/>
      <c r="M28" s="51">
        <f>IF(D28="","",DATEDIF(D28,TODAY(),"Y")+DATEDIF(D28,TODAY(),"YM")/12)</f>
        <v/>
      </c>
      <c r="N28" s="52">
        <f>IF(OR(E28="",G28="",H28="",J28=""),"",IF(E28="P",-9.236+0.0002708*(H28+I28)*(G28-(H28+I28))-0.001663*(M28*(G28-(H28+I28)))+0.007216*(M28*(H28+I28))+0.02292*(J28/G28*100),-9.376+0.0001882*(H28+I28)*(G28-(H28+I28))+0.0022*(M28*(H28+I28))+0.005841*(M28*(H28+I28))-0.002658*(M28*J28)+0.07693*(J28/G28*100)))</f>
        <v/>
      </c>
      <c r="O28" s="53">
        <f>IF(N28="","Ei tiedossa",IF(N28&lt;-1,"Varhainen",IF(N28&lt;0.5,"PHV-huippu","Post-PHV")))</f>
        <v/>
      </c>
      <c r="P28" s="54">
        <f>IF(A28="","",TODAY())</f>
        <v/>
      </c>
      <c r="Q28" s="55" t="n"/>
      <c r="R28" s="56">
        <f>IF(OR(M28="",N28=""),"",M28-N28)</f>
        <v/>
      </c>
      <c r="S28" s="57">
        <f>IF(OR(R28="",D28="",E28=""),"Ei tietoja",IF(R28&gt;=IF(E28="P",VLOOKUP(MONTH(D28),'📋 Ohjeet'!$A$50:$C$61,2,FALSE()),VLOOKUP(MONTH(D28),'📋 Ohjeet'!$A$50:$C$61,3,FALSE())),"✅ KYLLÄ","❌ EI"))</f>
        <v/>
      </c>
    </row>
    <row r="29" ht="15" customHeight="1" s="30">
      <c r="A29" s="40" t="n"/>
      <c r="B29" s="40" t="n"/>
      <c r="C29" s="40" t="n"/>
      <c r="D29" s="40" t="n"/>
      <c r="E29" s="40" t="n"/>
      <c r="F29" s="40" t="n"/>
      <c r="G29" s="41" t="n"/>
      <c r="H29" s="41" t="n"/>
      <c r="I29" s="41" t="n"/>
      <c r="J29" s="41" t="n"/>
      <c r="K29" s="41" t="n"/>
      <c r="L29" s="41" t="n"/>
      <c r="M29" s="42">
        <f>IF(D29="","",DATEDIF(D29,TODAY(),"Y")+DATEDIF(D29,TODAY(),"YM")/12)</f>
        <v/>
      </c>
      <c r="N29" s="43">
        <f>IF(OR(E29="",G29="",H29="",J29=""),"",IF(E29="P",-9.236+0.0002708*(H29+I29)*(G29-(H29+I29))-0.001663*(M29*(G29-(H29+I29)))+0.007216*(M29*(H29+I29))+0.02292*(J29/G29*100),-9.376+0.0001882*(H29+I29)*(G29-(H29+I29))+0.0022*(M29*(H29+I29))+0.005841*(M29*(H29+I29))-0.002658*(M29*J29)+0.07693*(J29/G29*100)))</f>
        <v/>
      </c>
      <c r="O29" s="44">
        <f>IF(N29="","Ei tiedossa",IF(N29&lt;-1,"Varhainen",IF(N29&lt;0.5,"PHV-huippu","Post-PHV")))</f>
        <v/>
      </c>
      <c r="P29" s="45">
        <f>IF(A29="","",TODAY())</f>
        <v/>
      </c>
      <c r="Q29" s="46" t="n"/>
      <c r="R29" s="47">
        <f>IF(OR(M29="",N29=""),"",M29-N29)</f>
        <v/>
      </c>
      <c r="S29" s="48">
        <f>IF(OR(R29="",D29="",E29=""),"Ei tietoja",IF(R29&gt;=IF(E29="P",VLOOKUP(MONTH(D29),'📋 Ohjeet'!$A$50:$C$61,2,FALSE()),VLOOKUP(MONTH(D29),'📋 Ohjeet'!$A$50:$C$61,3,FALSE())),"✅ KYLLÄ","❌ EI"))</f>
        <v/>
      </c>
    </row>
    <row r="30" ht="15" customHeight="1" s="30">
      <c r="A30" s="49" t="n"/>
      <c r="B30" s="49" t="n"/>
      <c r="C30" s="49" t="n"/>
      <c r="D30" s="49" t="n"/>
      <c r="E30" s="49" t="n"/>
      <c r="F30" s="49" t="n"/>
      <c r="G30" s="50" t="n"/>
      <c r="H30" s="50" t="n"/>
      <c r="I30" s="50" t="n"/>
      <c r="J30" s="50" t="n"/>
      <c r="K30" s="50" t="n"/>
      <c r="L30" s="50" t="n"/>
      <c r="M30" s="51">
        <f>IF(D30="","",DATEDIF(D30,TODAY(),"Y")+DATEDIF(D30,TODAY(),"YM")/12)</f>
        <v/>
      </c>
      <c r="N30" s="52">
        <f>IF(OR(E30="",G30="",H30="",J30=""),"",IF(E30="P",-9.236+0.0002708*(H30+I30)*(G30-(H30+I30))-0.001663*(M30*(G30-(H30+I30)))+0.007216*(M30*(H30+I30))+0.02292*(J30/G30*100),-9.376+0.0001882*(H30+I30)*(G30-(H30+I30))+0.0022*(M30*(H30+I30))+0.005841*(M30*(H30+I30))-0.002658*(M30*J30)+0.07693*(J30/G30*100)))</f>
        <v/>
      </c>
      <c r="O30" s="53">
        <f>IF(N30="","Ei tiedossa",IF(N30&lt;-1,"Varhainen",IF(N30&lt;0.5,"PHV-huippu","Post-PHV")))</f>
        <v/>
      </c>
      <c r="P30" s="54">
        <f>IF(A30="","",TODAY())</f>
        <v/>
      </c>
      <c r="Q30" s="55" t="n"/>
      <c r="R30" s="56">
        <f>IF(OR(M30="",N30=""),"",M30-N30)</f>
        <v/>
      </c>
      <c r="S30" s="57">
        <f>IF(OR(R30="",D30="",E30=""),"Ei tietoja",IF(R30&gt;=IF(E30="P",VLOOKUP(MONTH(D30),'📋 Ohjeet'!$A$50:$C$61,2,FALSE()),VLOOKUP(MONTH(D30),'📋 Ohjeet'!$A$50:$C$61,3,FALSE())),"✅ KYLLÄ","❌ EI"))</f>
        <v/>
      </c>
    </row>
    <row r="31" ht="15" customHeight="1" s="30">
      <c r="A31" s="40" t="n"/>
      <c r="B31" s="40" t="n"/>
      <c r="C31" s="40" t="n"/>
      <c r="D31" s="40" t="n"/>
      <c r="E31" s="40" t="n"/>
      <c r="F31" s="40" t="n"/>
      <c r="G31" s="41" t="n"/>
      <c r="H31" s="41" t="n"/>
      <c r="I31" s="41" t="n"/>
      <c r="J31" s="41" t="n"/>
      <c r="K31" s="41" t="n"/>
      <c r="L31" s="41" t="n"/>
      <c r="M31" s="42">
        <f>IF(D31="","",DATEDIF(D31,TODAY(),"Y")+DATEDIF(D31,TODAY(),"YM")/12)</f>
        <v/>
      </c>
      <c r="N31" s="43">
        <f>IF(OR(E31="",G31="",H31="",J31=""),"",IF(E31="P",-9.236+0.0002708*(H31+I31)*(G31-(H31+I31))-0.001663*(M31*(G31-(H31+I31)))+0.007216*(M31*(H31+I31))+0.02292*(J31/G31*100),-9.376+0.0001882*(H31+I31)*(G31-(H31+I31))+0.0022*(M31*(H31+I31))+0.005841*(M31*(H31+I31))-0.002658*(M31*J31)+0.07693*(J31/G31*100)))</f>
        <v/>
      </c>
      <c r="O31" s="44">
        <f>IF(N31="","Ei tiedossa",IF(N31&lt;-1,"Varhainen",IF(N31&lt;0.5,"PHV-huippu","Post-PHV")))</f>
        <v/>
      </c>
      <c r="P31" s="45">
        <f>IF(A31="","",TODAY())</f>
        <v/>
      </c>
      <c r="Q31" s="46" t="n"/>
      <c r="R31" s="47">
        <f>IF(OR(M31="",N31=""),"",M31-N31)</f>
        <v/>
      </c>
      <c r="S31" s="48">
        <f>IF(OR(R31="",D31="",E31=""),"Ei tietoja",IF(R31&gt;=IF(E31="P",VLOOKUP(MONTH(D31),'📋 Ohjeet'!$A$50:$C$61,2,FALSE()),VLOOKUP(MONTH(D31),'📋 Ohjeet'!$A$50:$C$61,3,FALSE())),"✅ KYLLÄ","❌ EI"))</f>
        <v/>
      </c>
    </row>
    <row r="32" ht="15" customHeight="1" s="30">
      <c r="A32" s="49" t="n"/>
      <c r="B32" s="49" t="n"/>
      <c r="C32" s="49" t="n"/>
      <c r="D32" s="49" t="n"/>
      <c r="E32" s="49" t="n"/>
      <c r="F32" s="49" t="n"/>
      <c r="G32" s="50" t="n"/>
      <c r="H32" s="50" t="n"/>
      <c r="I32" s="50" t="n"/>
      <c r="J32" s="50" t="n"/>
      <c r="K32" s="50" t="n"/>
      <c r="L32" s="50" t="n"/>
      <c r="M32" s="51">
        <f>IF(D32="","",DATEDIF(D32,TODAY(),"Y")+DATEDIF(D32,TODAY(),"YM")/12)</f>
        <v/>
      </c>
      <c r="N32" s="52">
        <f>IF(OR(E32="",G32="",H32="",J32=""),"",IF(E32="P",-9.236+0.0002708*(H32+I32)*(G32-(H32+I32))-0.001663*(M32*(G32-(H32+I32)))+0.007216*(M32*(H32+I32))+0.02292*(J32/G32*100),-9.376+0.0001882*(H32+I32)*(G32-(H32+I32))+0.0022*(M32*(H32+I32))+0.005841*(M32*(H32+I32))-0.002658*(M32*J32)+0.07693*(J32/G32*100)))</f>
        <v/>
      </c>
      <c r="O32" s="53">
        <f>IF(N32="","Ei tiedossa",IF(N32&lt;-1,"Varhainen",IF(N32&lt;0.5,"PHV-huippu","Post-PHV")))</f>
        <v/>
      </c>
      <c r="P32" s="54">
        <f>IF(A32="","",TODAY())</f>
        <v/>
      </c>
      <c r="Q32" s="55" t="n"/>
      <c r="R32" s="56">
        <f>IF(OR(M32="",N32=""),"",M32-N32)</f>
        <v/>
      </c>
      <c r="S32" s="57">
        <f>IF(OR(R32="",D32="",E32=""),"Ei tietoja",IF(R32&gt;=IF(E32="P",VLOOKUP(MONTH(D32),'📋 Ohjeet'!$A$50:$C$61,2,FALSE()),VLOOKUP(MONTH(D32),'📋 Ohjeet'!$A$50:$C$61,3,FALSE())),"✅ KYLLÄ","❌ EI"))</f>
        <v/>
      </c>
    </row>
    <row r="33" ht="15" customHeight="1" s="30">
      <c r="A33" s="40" t="n"/>
      <c r="B33" s="40" t="n"/>
      <c r="C33" s="40" t="n"/>
      <c r="D33" s="40" t="n"/>
      <c r="E33" s="40" t="n"/>
      <c r="F33" s="40" t="n"/>
      <c r="G33" s="41" t="n"/>
      <c r="H33" s="41" t="n"/>
      <c r="I33" s="41" t="n"/>
      <c r="J33" s="41" t="n"/>
      <c r="K33" s="41" t="n"/>
      <c r="L33" s="41" t="n"/>
      <c r="M33" s="42">
        <f>IF(D33="","",DATEDIF(D33,TODAY(),"Y")+DATEDIF(D33,TODAY(),"YM")/12)</f>
        <v/>
      </c>
      <c r="N33" s="43">
        <f>IF(OR(E33="",G33="",H33="",J33=""),"",IF(E33="P",-9.236+0.0002708*(H33+I33)*(G33-(H33+I33))-0.001663*(M33*(G33-(H33+I33)))+0.007216*(M33*(H33+I33))+0.02292*(J33/G33*100),-9.376+0.0001882*(H33+I33)*(G33-(H33+I33))+0.0022*(M33*(H33+I33))+0.005841*(M33*(H33+I33))-0.002658*(M33*J33)+0.07693*(J33/G33*100)))</f>
        <v/>
      </c>
      <c r="O33" s="44">
        <f>IF(N33="","Ei tiedossa",IF(N33&lt;-1,"Varhainen",IF(N33&lt;0.5,"PHV-huippu","Post-PHV")))</f>
        <v/>
      </c>
      <c r="P33" s="45">
        <f>IF(A33="","",TODAY())</f>
        <v/>
      </c>
      <c r="Q33" s="46" t="n"/>
      <c r="R33" s="47">
        <f>IF(OR(M33="",N33=""),"",M33-N33)</f>
        <v/>
      </c>
      <c r="S33" s="48">
        <f>IF(OR(R33="",D33="",E33=""),"Ei tietoja",IF(R33&gt;=IF(E33="P",VLOOKUP(MONTH(D33),'📋 Ohjeet'!$A$50:$C$61,2,FALSE()),VLOOKUP(MONTH(D33),'📋 Ohjeet'!$A$50:$C$61,3,FALSE())),"✅ KYLLÄ","❌ EI"))</f>
        <v/>
      </c>
    </row>
    <row r="34" ht="15" customHeight="1" s="30">
      <c r="A34" s="49" t="n"/>
      <c r="B34" s="49" t="n"/>
      <c r="C34" s="49" t="n"/>
      <c r="D34" s="49" t="n"/>
      <c r="E34" s="49" t="n"/>
      <c r="F34" s="49" t="n"/>
      <c r="G34" s="50" t="n"/>
      <c r="H34" s="50" t="n"/>
      <c r="I34" s="50" t="n"/>
      <c r="J34" s="50" t="n"/>
      <c r="K34" s="50" t="n"/>
      <c r="L34" s="50" t="n"/>
      <c r="M34" s="51">
        <f>IF(D34="","",DATEDIF(D34,TODAY(),"Y")+DATEDIF(D34,TODAY(),"YM")/12)</f>
        <v/>
      </c>
      <c r="N34" s="52">
        <f>IF(OR(E34="",G34="",H34="",J34=""),"",IF(E34="P",-9.236+0.0002708*(H34+I34)*(G34-(H34+I34))-0.001663*(M34*(G34-(H34+I34)))+0.007216*(M34*(H34+I34))+0.02292*(J34/G34*100),-9.376+0.0001882*(H34+I34)*(G34-(H34+I34))+0.0022*(M34*(H34+I34))+0.005841*(M34*(H34+I34))-0.002658*(M34*J34)+0.07693*(J34/G34*100)))</f>
        <v/>
      </c>
      <c r="O34" s="53">
        <f>IF(N34="","Ei tiedossa",IF(N34&lt;-1,"Varhainen",IF(N34&lt;0.5,"PHV-huippu","Post-PHV")))</f>
        <v/>
      </c>
      <c r="P34" s="54">
        <f>IF(A34="","",TODAY())</f>
        <v/>
      </c>
      <c r="Q34" s="55" t="n"/>
      <c r="R34" s="56">
        <f>IF(OR(M34="",N34=""),"",M34-N34)</f>
        <v/>
      </c>
      <c r="S34" s="57">
        <f>IF(OR(R34="",D34="",E34=""),"Ei tietoja",IF(R34&gt;=IF(E34="P",VLOOKUP(MONTH(D34),'📋 Ohjeet'!$A$50:$C$61,2,FALSE()),VLOOKUP(MONTH(D34),'📋 Ohjeet'!$A$50:$C$61,3,FALSE())),"✅ KYLLÄ","❌ EI"))</f>
        <v/>
      </c>
    </row>
    <row r="35" ht="15" customHeight="1" s="30">
      <c r="A35" s="40" t="n"/>
      <c r="B35" s="40" t="n"/>
      <c r="C35" s="40" t="n"/>
      <c r="D35" s="40" t="n"/>
      <c r="E35" s="40" t="n"/>
      <c r="F35" s="40" t="n"/>
      <c r="G35" s="41" t="n"/>
      <c r="H35" s="41" t="n"/>
      <c r="I35" s="41" t="n"/>
      <c r="J35" s="41" t="n"/>
      <c r="K35" s="41" t="n"/>
      <c r="L35" s="41" t="n"/>
      <c r="M35" s="42">
        <f>IF(D35="","",DATEDIF(D35,TODAY(),"Y")+DATEDIF(D35,TODAY(),"YM")/12)</f>
        <v/>
      </c>
      <c r="N35" s="43">
        <f>IF(OR(E35="",G35="",H35="",J35=""),"",IF(E35="P",-9.236+0.0002708*(H35+I35)*(G35-(H35+I35))-0.001663*(M35*(G35-(H35+I35)))+0.007216*(M35*(H35+I35))+0.02292*(J35/G35*100),-9.376+0.0001882*(H35+I35)*(G35-(H35+I35))+0.0022*(M35*(H35+I35))+0.005841*(M35*(H35+I35))-0.002658*(M35*J35)+0.07693*(J35/G35*100)))</f>
        <v/>
      </c>
      <c r="O35" s="44">
        <f>IF(N35="","Ei tiedossa",IF(N35&lt;-1,"Varhainen",IF(N35&lt;0.5,"PHV-huippu","Post-PHV")))</f>
        <v/>
      </c>
      <c r="P35" s="45">
        <f>IF(A35="","",TODAY())</f>
        <v/>
      </c>
      <c r="Q35" s="46" t="n"/>
      <c r="R35" s="47">
        <f>IF(OR(M35="",N35=""),"",M35-N35)</f>
        <v/>
      </c>
      <c r="S35" s="48">
        <f>IF(OR(R35="",D35="",E35=""),"Ei tietoja",IF(R35&gt;=IF(E35="P",VLOOKUP(MONTH(D35),'📋 Ohjeet'!$A$50:$C$61,2,FALSE()),VLOOKUP(MONTH(D35),'📋 Ohjeet'!$A$50:$C$61,3,FALSE())),"✅ KYLLÄ","❌ EI"))</f>
        <v/>
      </c>
    </row>
    <row r="36" ht="15" customHeight="1" s="30">
      <c r="A36" s="49" t="n"/>
      <c r="B36" s="49" t="n"/>
      <c r="C36" s="49" t="n"/>
      <c r="D36" s="49" t="n"/>
      <c r="E36" s="49" t="n"/>
      <c r="F36" s="49" t="n"/>
      <c r="G36" s="50" t="n"/>
      <c r="H36" s="50" t="n"/>
      <c r="I36" s="50" t="n"/>
      <c r="J36" s="50" t="n"/>
      <c r="K36" s="50" t="n"/>
      <c r="L36" s="50" t="n"/>
      <c r="M36" s="51">
        <f>IF(D36="","",DATEDIF(D36,TODAY(),"Y")+DATEDIF(D36,TODAY(),"YM")/12)</f>
        <v/>
      </c>
      <c r="N36" s="52">
        <f>IF(OR(E36="",G36="",H36="",J36=""),"",IF(E36="P",-9.236+0.0002708*(H36+I36)*(G36-(H36+I36))-0.001663*(M36*(G36-(H36+I36)))+0.007216*(M36*(H36+I36))+0.02292*(J36/G36*100),-9.376+0.0001882*(H36+I36)*(G36-(H36+I36))+0.0022*(M36*(H36+I36))+0.005841*(M36*(H36+I36))-0.002658*(M36*J36)+0.07693*(J36/G36*100)))</f>
        <v/>
      </c>
      <c r="O36" s="53">
        <f>IF(N36="","Ei tiedossa",IF(N36&lt;-1,"Varhainen",IF(N36&lt;0.5,"PHV-huippu","Post-PHV")))</f>
        <v/>
      </c>
      <c r="P36" s="54">
        <f>IF(A36="","",TODAY())</f>
        <v/>
      </c>
      <c r="Q36" s="55" t="n"/>
      <c r="R36" s="56">
        <f>IF(OR(M36="",N36=""),"",M36-N36)</f>
        <v/>
      </c>
      <c r="S36" s="57">
        <f>IF(OR(R36="",D36="",E36=""),"Ei tietoja",IF(R36&gt;=IF(E36="P",VLOOKUP(MONTH(D36),'📋 Ohjeet'!$A$50:$C$61,2,FALSE()),VLOOKUP(MONTH(D36),'📋 Ohjeet'!$A$50:$C$61,3,FALSE())),"✅ KYLLÄ","❌ EI"))</f>
        <v/>
      </c>
    </row>
    <row r="37" ht="15" customHeight="1" s="30">
      <c r="A37" s="40" t="n"/>
      <c r="B37" s="40" t="n"/>
      <c r="C37" s="40" t="n"/>
      <c r="D37" s="40" t="n"/>
      <c r="E37" s="40" t="n"/>
      <c r="F37" s="40" t="n"/>
      <c r="G37" s="41" t="n"/>
      <c r="H37" s="41" t="n"/>
      <c r="I37" s="41" t="n"/>
      <c r="J37" s="41" t="n"/>
      <c r="K37" s="41" t="n"/>
      <c r="L37" s="41" t="n"/>
      <c r="M37" s="42">
        <f>IF(D37="","",DATEDIF(D37,TODAY(),"Y")+DATEDIF(D37,TODAY(),"YM")/12)</f>
        <v/>
      </c>
      <c r="N37" s="43">
        <f>IF(OR(E37="",G37="",H37="",J37=""),"",IF(E37="P",-9.236+0.0002708*(H37+I37)*(G37-(H37+I37))-0.001663*(M37*(G37-(H37+I37)))+0.007216*(M37*(H37+I37))+0.02292*(J37/G37*100),-9.376+0.0001882*(H37+I37)*(G37-(H37+I37))+0.0022*(M37*(H37+I37))+0.005841*(M37*(H37+I37))-0.002658*(M37*J37)+0.07693*(J37/G37*100)))</f>
        <v/>
      </c>
      <c r="O37" s="44">
        <f>IF(N37="","Ei tiedossa",IF(N37&lt;-1,"Varhainen",IF(N37&lt;0.5,"PHV-huippu","Post-PHV")))</f>
        <v/>
      </c>
      <c r="P37" s="45">
        <f>IF(A37="","",TODAY())</f>
        <v/>
      </c>
      <c r="Q37" s="46" t="n"/>
      <c r="R37" s="47">
        <f>IF(OR(M37="",N37=""),"",M37-N37)</f>
        <v/>
      </c>
      <c r="S37" s="48">
        <f>IF(OR(R37="",D37="",E37=""),"Ei tietoja",IF(R37&gt;=IF(E37="P",VLOOKUP(MONTH(D37),'📋 Ohjeet'!$A$50:$C$61,2,FALSE()),VLOOKUP(MONTH(D37),'📋 Ohjeet'!$A$50:$C$61,3,FALSE())),"✅ KYLLÄ","❌ EI"))</f>
        <v/>
      </c>
    </row>
    <row r="38" ht="15" customHeight="1" s="30">
      <c r="A38" s="49" t="n"/>
      <c r="B38" s="49" t="n"/>
      <c r="C38" s="49" t="n"/>
      <c r="D38" s="49" t="n"/>
      <c r="E38" s="49" t="n"/>
      <c r="F38" s="49" t="n"/>
      <c r="G38" s="50" t="n"/>
      <c r="H38" s="50" t="n"/>
      <c r="I38" s="50" t="n"/>
      <c r="J38" s="50" t="n"/>
      <c r="K38" s="50" t="n"/>
      <c r="L38" s="50" t="n"/>
      <c r="M38" s="51">
        <f>IF(D38="","",DATEDIF(D38,TODAY(),"Y")+DATEDIF(D38,TODAY(),"YM")/12)</f>
        <v/>
      </c>
      <c r="N38" s="52">
        <f>IF(OR(E38="",G38="",H38="",J38=""),"",IF(E38="P",-9.236+0.0002708*(H38+I38)*(G38-(H38+I38))-0.001663*(M38*(G38-(H38+I38)))+0.007216*(M38*(H38+I38))+0.02292*(J38/G38*100),-9.376+0.0001882*(H38+I38)*(G38-(H38+I38))+0.0022*(M38*(H38+I38))+0.005841*(M38*(H38+I38))-0.002658*(M38*J38)+0.07693*(J38/G38*100)))</f>
        <v/>
      </c>
      <c r="O38" s="53">
        <f>IF(N38="","Ei tiedossa",IF(N38&lt;-1,"Varhainen",IF(N38&lt;0.5,"PHV-huippu","Post-PHV")))</f>
        <v/>
      </c>
      <c r="P38" s="54">
        <f>IF(A38="","",TODAY())</f>
        <v/>
      </c>
      <c r="Q38" s="55" t="n"/>
      <c r="R38" s="56">
        <f>IF(OR(M38="",N38=""),"",M38-N38)</f>
        <v/>
      </c>
      <c r="S38" s="57">
        <f>IF(OR(R38="",D38="",E38=""),"Ei tietoja",IF(R38&gt;=IF(E38="P",VLOOKUP(MONTH(D38),'📋 Ohjeet'!$A$50:$C$61,2,FALSE()),VLOOKUP(MONTH(D38),'📋 Ohjeet'!$A$50:$C$61,3,FALSE())),"✅ KYLLÄ","❌ EI"))</f>
        <v/>
      </c>
    </row>
    <row r="39" ht="15" customHeight="1" s="30">
      <c r="A39" s="40" t="n"/>
      <c r="B39" s="40" t="n"/>
      <c r="C39" s="40" t="n"/>
      <c r="D39" s="40" t="n"/>
      <c r="E39" s="40" t="n"/>
      <c r="F39" s="40" t="n"/>
      <c r="G39" s="41" t="n"/>
      <c r="H39" s="41" t="n"/>
      <c r="I39" s="41" t="n"/>
      <c r="J39" s="41" t="n"/>
      <c r="K39" s="41" t="n"/>
      <c r="L39" s="41" t="n"/>
      <c r="M39" s="42">
        <f>IF(D39="","",DATEDIF(D39,TODAY(),"Y")+DATEDIF(D39,TODAY(),"YM")/12)</f>
        <v/>
      </c>
      <c r="N39" s="43">
        <f>IF(OR(E39="",G39="",H39="",J39=""),"",IF(E39="P",-9.236+0.0002708*(H39+I39)*(G39-(H39+I39))-0.001663*(M39*(G39-(H39+I39)))+0.007216*(M39*(H39+I39))+0.02292*(J39/G39*100),-9.376+0.0001882*(H39+I39)*(G39-(H39+I39))+0.0022*(M39*(H39+I39))+0.005841*(M39*(H39+I39))-0.002658*(M39*J39)+0.07693*(J39/G39*100)))</f>
        <v/>
      </c>
      <c r="O39" s="44">
        <f>IF(N39="","Ei tiedossa",IF(N39&lt;-1,"Varhainen",IF(N39&lt;0.5,"PHV-huippu","Post-PHV")))</f>
        <v/>
      </c>
      <c r="P39" s="45">
        <f>IF(A39="","",TODAY())</f>
        <v/>
      </c>
      <c r="Q39" s="46" t="n"/>
      <c r="R39" s="47">
        <f>IF(OR(M39="",N39=""),"",M39-N39)</f>
        <v/>
      </c>
      <c r="S39" s="48">
        <f>IF(OR(R39="",D39="",E39=""),"Ei tietoja",IF(R39&gt;=IF(E39="P",VLOOKUP(MONTH(D39),'📋 Ohjeet'!$A$50:$C$61,2,FALSE()),VLOOKUP(MONTH(D39),'📋 Ohjeet'!$A$50:$C$61,3,FALSE())),"✅ KYLLÄ","❌ EI"))</f>
        <v/>
      </c>
    </row>
    <row r="40" ht="15" customHeight="1" s="30">
      <c r="A40" s="49" t="n"/>
      <c r="B40" s="49" t="n"/>
      <c r="C40" s="49" t="n"/>
      <c r="D40" s="49" t="n"/>
      <c r="E40" s="49" t="n"/>
      <c r="F40" s="49" t="n"/>
      <c r="G40" s="50" t="n"/>
      <c r="H40" s="50" t="n"/>
      <c r="I40" s="50" t="n"/>
      <c r="J40" s="50" t="n"/>
      <c r="K40" s="50" t="n"/>
      <c r="L40" s="50" t="n"/>
      <c r="M40" s="51">
        <f>IF(D40="","",DATEDIF(D40,TODAY(),"Y")+DATEDIF(D40,TODAY(),"YM")/12)</f>
        <v/>
      </c>
      <c r="N40" s="52">
        <f>IF(OR(E40="",G40="",H40="",J40=""),"",IF(E40="P",-9.236+0.0002708*(H40+I40)*(G40-(H40+I40))-0.001663*(M40*(G40-(H40+I40)))+0.007216*(M40*(H40+I40))+0.02292*(J40/G40*100),-9.376+0.0001882*(H40+I40)*(G40-(H40+I40))+0.0022*(M40*(H40+I40))+0.005841*(M40*(H40+I40))-0.002658*(M40*J40)+0.07693*(J40/G40*100)))</f>
        <v/>
      </c>
      <c r="O40" s="53">
        <f>IF(N40="","Ei tiedossa",IF(N40&lt;-1,"Varhainen",IF(N40&lt;0.5,"PHV-huippu","Post-PHV")))</f>
        <v/>
      </c>
      <c r="P40" s="54">
        <f>IF(A40="","",TODAY())</f>
        <v/>
      </c>
      <c r="Q40" s="55" t="n"/>
      <c r="R40" s="56">
        <f>IF(OR(M40="",N40=""),"",M40-N40)</f>
        <v/>
      </c>
      <c r="S40" s="57">
        <f>IF(OR(R40="",D40="",E40=""),"Ei tietoja",IF(R40&gt;=IF(E40="P",VLOOKUP(MONTH(D40),'📋 Ohjeet'!$A$50:$C$61,2,FALSE()),VLOOKUP(MONTH(D40),'📋 Ohjeet'!$A$50:$C$61,3,FALSE())),"✅ KYLLÄ","❌ EI"))</f>
        <v/>
      </c>
    </row>
    <row r="41" ht="15" customHeight="1" s="30">
      <c r="A41" s="40" t="n"/>
      <c r="B41" s="40" t="n"/>
      <c r="C41" s="40" t="n"/>
      <c r="D41" s="40" t="n"/>
      <c r="E41" s="40" t="n"/>
      <c r="F41" s="40" t="n"/>
      <c r="G41" s="41" t="n"/>
      <c r="H41" s="41" t="n"/>
      <c r="I41" s="41" t="n"/>
      <c r="J41" s="41" t="n"/>
      <c r="K41" s="41" t="n"/>
      <c r="L41" s="41" t="n"/>
      <c r="M41" s="42">
        <f>IF(D41="","",DATEDIF(D41,TODAY(),"Y")+DATEDIF(D41,TODAY(),"YM")/12)</f>
        <v/>
      </c>
      <c r="N41" s="43">
        <f>IF(OR(E41="",G41="",H41="",J41=""),"",IF(E41="P",-9.236+0.0002708*(H41+I41)*(G41-(H41+I41))-0.001663*(M41*(G41-(H41+I41)))+0.007216*(M41*(H41+I41))+0.02292*(J41/G41*100),-9.376+0.0001882*(H41+I41)*(G41-(H41+I41))+0.0022*(M41*(H41+I41))+0.005841*(M41*(H41+I41))-0.002658*(M41*J41)+0.07693*(J41/G41*100)))</f>
        <v/>
      </c>
      <c r="O41" s="44">
        <f>IF(N41="","Ei tiedossa",IF(N41&lt;-1,"Varhainen",IF(N41&lt;0.5,"PHV-huippu","Post-PHV")))</f>
        <v/>
      </c>
      <c r="P41" s="45">
        <f>IF(A41="","",TODAY())</f>
        <v/>
      </c>
      <c r="Q41" s="46" t="n"/>
      <c r="R41" s="47">
        <f>IF(OR(M41="",N41=""),"",M41-N41)</f>
        <v/>
      </c>
      <c r="S41" s="48">
        <f>IF(OR(R41="",D41="",E41=""),"Ei tietoja",IF(R41&gt;=IF(E41="P",VLOOKUP(MONTH(D41),'📋 Ohjeet'!$A$50:$C$61,2,FALSE()),VLOOKUP(MONTH(D41),'📋 Ohjeet'!$A$50:$C$61,3,FALSE())),"✅ KYLLÄ","❌ EI"))</f>
        <v/>
      </c>
    </row>
    <row r="42" ht="15" customHeight="1" s="30">
      <c r="A42" s="49" t="n"/>
      <c r="B42" s="49" t="n"/>
      <c r="C42" s="49" t="n"/>
      <c r="D42" s="49" t="n"/>
      <c r="E42" s="49" t="n"/>
      <c r="F42" s="49" t="n"/>
      <c r="G42" s="50" t="n"/>
      <c r="H42" s="50" t="n"/>
      <c r="I42" s="50" t="n"/>
      <c r="J42" s="50" t="n"/>
      <c r="K42" s="50" t="n"/>
      <c r="L42" s="50" t="n"/>
      <c r="M42" s="51">
        <f>IF(D42="","",DATEDIF(D42,TODAY(),"Y")+DATEDIF(D42,TODAY(),"YM")/12)</f>
        <v/>
      </c>
      <c r="N42" s="52">
        <f>IF(OR(E42="",G42="",H42="",J42=""),"",IF(E42="P",-9.236+0.0002708*(H42+I42)*(G42-(H42+I42))-0.001663*(M42*(G42-(H42+I42)))+0.007216*(M42*(H42+I42))+0.02292*(J42/G42*100),-9.376+0.0001882*(H42+I42)*(G42-(H42+I42))+0.0022*(M42*(H42+I42))+0.005841*(M42*(H42+I42))-0.002658*(M42*J42)+0.07693*(J42/G42*100)))</f>
        <v/>
      </c>
      <c r="O42" s="53">
        <f>IF(N42="","Ei tiedossa",IF(N42&lt;-1,"Varhainen",IF(N42&lt;0.5,"PHV-huippu","Post-PHV")))</f>
        <v/>
      </c>
      <c r="P42" s="54">
        <f>IF(A42="","",TODAY())</f>
        <v/>
      </c>
      <c r="Q42" s="55" t="n"/>
      <c r="R42" s="56">
        <f>IF(OR(M42="",N42=""),"",M42-N42)</f>
        <v/>
      </c>
      <c r="S42" s="57">
        <f>IF(OR(R42="",D42="",E42=""),"Ei tietoja",IF(R42&gt;=IF(E42="P",VLOOKUP(MONTH(D42),'📋 Ohjeet'!$A$50:$C$61,2,FALSE()),VLOOKUP(MONTH(D42),'📋 Ohjeet'!$A$50:$C$61,3,FALSE())),"✅ KYLLÄ","❌ EI"))</f>
        <v/>
      </c>
    </row>
    <row r="43" ht="15" customHeight="1" s="30">
      <c r="A43" s="40" t="n"/>
      <c r="B43" s="40" t="n"/>
      <c r="C43" s="40" t="n"/>
      <c r="D43" s="40" t="n"/>
      <c r="E43" s="40" t="n"/>
      <c r="F43" s="40" t="n"/>
      <c r="G43" s="41" t="n"/>
      <c r="H43" s="41" t="n"/>
      <c r="I43" s="41" t="n"/>
      <c r="J43" s="41" t="n"/>
      <c r="K43" s="41" t="n"/>
      <c r="L43" s="41" t="n"/>
      <c r="M43" s="42">
        <f>IF(D43="","",DATEDIF(D43,TODAY(),"Y")+DATEDIF(D43,TODAY(),"YM")/12)</f>
        <v/>
      </c>
      <c r="N43" s="43">
        <f>IF(OR(E43="",G43="",H43="",J43=""),"",IF(E43="P",-9.236+0.0002708*(H43+I43)*(G43-(H43+I43))-0.001663*(M43*(G43-(H43+I43)))+0.007216*(M43*(H43+I43))+0.02292*(J43/G43*100),-9.376+0.0001882*(H43+I43)*(G43-(H43+I43))+0.0022*(M43*(H43+I43))+0.005841*(M43*(H43+I43))-0.002658*(M43*J43)+0.07693*(J43/G43*100)))</f>
        <v/>
      </c>
      <c r="O43" s="44">
        <f>IF(N43="","Ei tiedossa",IF(N43&lt;-1,"Varhainen",IF(N43&lt;0.5,"PHV-huippu","Post-PHV")))</f>
        <v/>
      </c>
      <c r="P43" s="45">
        <f>IF(A43="","",TODAY())</f>
        <v/>
      </c>
      <c r="Q43" s="46" t="n"/>
      <c r="R43" s="47">
        <f>IF(OR(M43="",N43=""),"",M43-N43)</f>
        <v/>
      </c>
      <c r="S43" s="48">
        <f>IF(OR(R43="",D43="",E43=""),"Ei tietoja",IF(R43&gt;=IF(E43="P",VLOOKUP(MONTH(D43),'📋 Ohjeet'!$A$50:$C$61,2,FALSE()),VLOOKUP(MONTH(D43),'📋 Ohjeet'!$A$50:$C$61,3,FALSE())),"✅ KYLLÄ","❌ EI"))</f>
        <v/>
      </c>
    </row>
    <row r="44" ht="15" customHeight="1" s="30">
      <c r="A44" s="49" t="n"/>
      <c r="B44" s="49" t="n"/>
      <c r="C44" s="49" t="n"/>
      <c r="D44" s="49" t="n"/>
      <c r="E44" s="49" t="n"/>
      <c r="F44" s="49" t="n"/>
      <c r="G44" s="50" t="n"/>
      <c r="H44" s="50" t="n"/>
      <c r="I44" s="50" t="n"/>
      <c r="J44" s="50" t="n"/>
      <c r="K44" s="50" t="n"/>
      <c r="L44" s="50" t="n"/>
      <c r="M44" s="51">
        <f>IF(D44="","",DATEDIF(D44,TODAY(),"Y")+DATEDIF(D44,TODAY(),"YM")/12)</f>
        <v/>
      </c>
      <c r="N44" s="52">
        <f>IF(OR(E44="",G44="",H44="",J44=""),"",IF(E44="P",-9.236+0.0002708*(H44+I44)*(G44-(H44+I44))-0.001663*(M44*(G44-(H44+I44)))+0.007216*(M44*(H44+I44))+0.02292*(J44/G44*100),-9.376+0.0001882*(H44+I44)*(G44-(H44+I44))+0.0022*(M44*(H44+I44))+0.005841*(M44*(H44+I44))-0.002658*(M44*J44)+0.07693*(J44/G44*100)))</f>
        <v/>
      </c>
      <c r="O44" s="53">
        <f>IF(N44="","Ei tiedossa",IF(N44&lt;-1,"Varhainen",IF(N44&lt;0.5,"PHV-huippu","Post-PHV")))</f>
        <v/>
      </c>
      <c r="P44" s="54">
        <f>IF(A44="","",TODAY())</f>
        <v/>
      </c>
      <c r="Q44" s="55" t="n"/>
      <c r="R44" s="56">
        <f>IF(OR(M44="",N44=""),"",M44-N44)</f>
        <v/>
      </c>
      <c r="S44" s="57">
        <f>IF(OR(R44="",D44="",E44=""),"Ei tietoja",IF(R44&gt;=IF(E44="P",VLOOKUP(MONTH(D44),'📋 Ohjeet'!$A$50:$C$61,2,FALSE()),VLOOKUP(MONTH(D44),'📋 Ohjeet'!$A$50:$C$61,3,FALSE())),"✅ KYLLÄ","❌ EI"))</f>
        <v/>
      </c>
    </row>
    <row r="45" ht="15" customHeight="1" s="30">
      <c r="A45" s="40" t="n"/>
      <c r="B45" s="40" t="n"/>
      <c r="C45" s="40" t="n"/>
      <c r="D45" s="40" t="n"/>
      <c r="E45" s="40" t="n"/>
      <c r="F45" s="40" t="n"/>
      <c r="G45" s="41" t="n"/>
      <c r="H45" s="41" t="n"/>
      <c r="I45" s="41" t="n"/>
      <c r="J45" s="41" t="n"/>
      <c r="K45" s="41" t="n"/>
      <c r="L45" s="41" t="n"/>
      <c r="M45" s="42">
        <f>IF(D45="","",DATEDIF(D45,TODAY(),"Y")+DATEDIF(D45,TODAY(),"YM")/12)</f>
        <v/>
      </c>
      <c r="N45" s="43">
        <f>IF(OR(E45="",G45="",H45="",J45=""),"",IF(E45="P",-9.236+0.0002708*(H45+I45)*(G45-(H45+I45))-0.001663*(M45*(G45-(H45+I45)))+0.007216*(M45*(H45+I45))+0.02292*(J45/G45*100),-9.376+0.0001882*(H45+I45)*(G45-(H45+I45))+0.0022*(M45*(H45+I45))+0.005841*(M45*(H45+I45))-0.002658*(M45*J45)+0.07693*(J45/G45*100)))</f>
        <v/>
      </c>
      <c r="O45" s="44">
        <f>IF(N45="","Ei tiedossa",IF(N45&lt;-1,"Varhainen",IF(N45&lt;0.5,"PHV-huippu","Post-PHV")))</f>
        <v/>
      </c>
      <c r="P45" s="45">
        <f>IF(A45="","",TODAY())</f>
        <v/>
      </c>
      <c r="Q45" s="46" t="n"/>
      <c r="R45" s="47">
        <f>IF(OR(M45="",N45=""),"",M45-N45)</f>
        <v/>
      </c>
      <c r="S45" s="48">
        <f>IF(OR(R45="",D45="",E45=""),"Ei tietoja",IF(R45&gt;=IF(E45="P",VLOOKUP(MONTH(D45),'📋 Ohjeet'!$A$50:$C$61,2,FALSE()),VLOOKUP(MONTH(D45),'📋 Ohjeet'!$A$50:$C$61,3,FALSE())),"✅ KYLLÄ","❌ EI"))</f>
        <v/>
      </c>
    </row>
    <row r="46" ht="15" customHeight="1" s="30">
      <c r="A46" s="49" t="n"/>
      <c r="B46" s="49" t="n"/>
      <c r="C46" s="49" t="n"/>
      <c r="D46" s="49" t="n"/>
      <c r="E46" s="49" t="n"/>
      <c r="F46" s="49" t="n"/>
      <c r="G46" s="50" t="n"/>
      <c r="H46" s="50" t="n"/>
      <c r="I46" s="50" t="n"/>
      <c r="J46" s="50" t="n"/>
      <c r="K46" s="50" t="n"/>
      <c r="L46" s="50" t="n"/>
      <c r="M46" s="51">
        <f>IF(D46="","",DATEDIF(D46,TODAY(),"Y")+DATEDIF(D46,TODAY(),"YM")/12)</f>
        <v/>
      </c>
      <c r="N46" s="52">
        <f>IF(OR(E46="",G46="",H46="",J46=""),"",IF(E46="P",-9.236+0.0002708*(H46+I46)*(G46-(H46+I46))-0.001663*(M46*(G46-(H46+I46)))+0.007216*(M46*(H46+I46))+0.02292*(J46/G46*100),-9.376+0.0001882*(H46+I46)*(G46-(H46+I46))+0.0022*(M46*(H46+I46))+0.005841*(M46*(H46+I46))-0.002658*(M46*J46)+0.07693*(J46/G46*100)))</f>
        <v/>
      </c>
      <c r="O46" s="53">
        <f>IF(N46="","Ei tiedossa",IF(N46&lt;-1,"Varhainen",IF(N46&lt;0.5,"PHV-huippu","Post-PHV")))</f>
        <v/>
      </c>
      <c r="P46" s="54">
        <f>IF(A46="","",TODAY())</f>
        <v/>
      </c>
      <c r="Q46" s="55" t="n"/>
      <c r="R46" s="56">
        <f>IF(OR(M46="",N46=""),"",M46-N46)</f>
        <v/>
      </c>
      <c r="S46" s="57">
        <f>IF(OR(R46="",D46="",E46=""),"Ei tietoja",IF(R46&gt;=IF(E46="P",VLOOKUP(MONTH(D46),'📋 Ohjeet'!$A$50:$C$61,2,FALSE()),VLOOKUP(MONTH(D46),'📋 Ohjeet'!$A$50:$C$61,3,FALSE())),"✅ KYLLÄ","❌ EI"))</f>
        <v/>
      </c>
    </row>
    <row r="47" ht="15" customHeight="1" s="30">
      <c r="A47" s="40" t="n"/>
      <c r="B47" s="40" t="n"/>
      <c r="C47" s="40" t="n"/>
      <c r="D47" s="40" t="n"/>
      <c r="E47" s="40" t="n"/>
      <c r="F47" s="40" t="n"/>
      <c r="G47" s="41" t="n"/>
      <c r="H47" s="41" t="n"/>
      <c r="I47" s="41" t="n"/>
      <c r="J47" s="41" t="n"/>
      <c r="K47" s="41" t="n"/>
      <c r="L47" s="41" t="n"/>
      <c r="M47" s="42">
        <f>IF(D47="","",DATEDIF(D47,TODAY(),"Y")+DATEDIF(D47,TODAY(),"YM")/12)</f>
        <v/>
      </c>
      <c r="N47" s="43">
        <f>IF(OR(E47="",G47="",H47="",J47=""),"",IF(E47="P",-9.236+0.0002708*(H47+I47)*(G47-(H47+I47))-0.001663*(M47*(G47-(H47+I47)))+0.007216*(M47*(H47+I47))+0.02292*(J47/G47*100),-9.376+0.0001882*(H47+I47)*(G47-(H47+I47))+0.0022*(M47*(H47+I47))+0.005841*(M47*(H47+I47))-0.002658*(M47*J47)+0.07693*(J47/G47*100)))</f>
        <v/>
      </c>
      <c r="O47" s="44">
        <f>IF(N47="","Ei tiedossa",IF(N47&lt;-1,"Varhainen",IF(N47&lt;0.5,"PHV-huippu","Post-PHV")))</f>
        <v/>
      </c>
      <c r="P47" s="45">
        <f>IF(A47="","",TODAY())</f>
        <v/>
      </c>
      <c r="Q47" s="46" t="n"/>
      <c r="R47" s="47">
        <f>IF(OR(M47="",N47=""),"",M47-N47)</f>
        <v/>
      </c>
      <c r="S47" s="48">
        <f>IF(OR(R47="",D47="",E47=""),"Ei tietoja",IF(R47&gt;=IF(E47="P",VLOOKUP(MONTH(D47),'📋 Ohjeet'!$A$50:$C$61,2,FALSE()),VLOOKUP(MONTH(D47),'📋 Ohjeet'!$A$50:$C$61,3,FALSE())),"✅ KYLLÄ","❌ EI"))</f>
        <v/>
      </c>
    </row>
    <row r="48" ht="15" customHeight="1" s="30">
      <c r="A48" s="49" t="n"/>
      <c r="B48" s="49" t="n"/>
      <c r="C48" s="49" t="n"/>
      <c r="D48" s="49" t="n"/>
      <c r="E48" s="49" t="n"/>
      <c r="F48" s="49" t="n"/>
      <c r="G48" s="50" t="n"/>
      <c r="H48" s="50" t="n"/>
      <c r="I48" s="50" t="n"/>
      <c r="J48" s="50" t="n"/>
      <c r="K48" s="50" t="n"/>
      <c r="L48" s="50" t="n"/>
      <c r="M48" s="51">
        <f>IF(D48="","",DATEDIF(D48,TODAY(),"Y")+DATEDIF(D48,TODAY(),"YM")/12)</f>
        <v/>
      </c>
      <c r="N48" s="52">
        <f>IF(OR(E48="",G48="",H48="",J48=""),"",IF(E48="P",-9.236+0.0002708*(H48+I48)*(G48-(H48+I48))-0.001663*(M48*(G48-(H48+I48)))+0.007216*(M48*(H48+I48))+0.02292*(J48/G48*100),-9.376+0.0001882*(H48+I48)*(G48-(H48+I48))+0.0022*(M48*(H48+I48))+0.005841*(M48*(H48+I48))-0.002658*(M48*J48)+0.07693*(J48/G48*100)))</f>
        <v/>
      </c>
      <c r="O48" s="53">
        <f>IF(N48="","Ei tiedossa",IF(N48&lt;-1,"Varhainen",IF(N48&lt;0.5,"PHV-huippu","Post-PHV")))</f>
        <v/>
      </c>
      <c r="P48" s="54">
        <f>IF(A48="","",TODAY())</f>
        <v/>
      </c>
      <c r="Q48" s="55" t="n"/>
      <c r="R48" s="56">
        <f>IF(OR(M48="",N48=""),"",M48-N48)</f>
        <v/>
      </c>
      <c r="S48" s="57">
        <f>IF(OR(R48="",D48="",E48=""),"Ei tietoja",IF(R48&gt;=IF(E48="P",VLOOKUP(MONTH(D48),'📋 Ohjeet'!$A$50:$C$61,2,FALSE()),VLOOKUP(MONTH(D48),'📋 Ohjeet'!$A$50:$C$61,3,FALSE())),"✅ KYLLÄ","❌ EI"))</f>
        <v/>
      </c>
    </row>
    <row r="49" ht="15" customHeight="1" s="30">
      <c r="A49" s="40" t="n"/>
      <c r="B49" s="40" t="n"/>
      <c r="C49" s="40" t="n"/>
      <c r="D49" s="40" t="n"/>
      <c r="E49" s="40" t="n"/>
      <c r="F49" s="40" t="n"/>
      <c r="G49" s="41" t="n"/>
      <c r="H49" s="41" t="n"/>
      <c r="I49" s="41" t="n"/>
      <c r="J49" s="41" t="n"/>
      <c r="K49" s="41" t="n"/>
      <c r="L49" s="41" t="n"/>
      <c r="M49" s="42">
        <f>IF(D49="","",DATEDIF(D49,TODAY(),"Y")+DATEDIF(D49,TODAY(),"YM")/12)</f>
        <v/>
      </c>
      <c r="N49" s="43">
        <f>IF(OR(E49="",G49="",H49="",J49=""),"",IF(E49="P",-9.236+0.0002708*(H49+I49)*(G49-(H49+I49))-0.001663*(M49*(G49-(H49+I49)))+0.007216*(M49*(H49+I49))+0.02292*(J49/G49*100),-9.376+0.0001882*(H49+I49)*(G49-(H49+I49))+0.0022*(M49*(H49+I49))+0.005841*(M49*(H49+I49))-0.002658*(M49*J49)+0.07693*(J49/G49*100)))</f>
        <v/>
      </c>
      <c r="O49" s="44">
        <f>IF(N49="","Ei tiedossa",IF(N49&lt;-1,"Varhainen",IF(N49&lt;0.5,"PHV-huippu","Post-PHV")))</f>
        <v/>
      </c>
      <c r="P49" s="45">
        <f>IF(A49="","",TODAY())</f>
        <v/>
      </c>
      <c r="Q49" s="46" t="n"/>
      <c r="R49" s="47">
        <f>IF(OR(M49="",N49=""),"",M49-N49)</f>
        <v/>
      </c>
      <c r="S49" s="48">
        <f>IF(OR(R49="",D49="",E49=""),"Ei tietoja",IF(R49&gt;=IF(E49="P",VLOOKUP(MONTH(D49),'📋 Ohjeet'!$A$50:$C$61,2,FALSE()),VLOOKUP(MONTH(D49),'📋 Ohjeet'!$A$50:$C$61,3,FALSE())),"✅ KYLLÄ","❌ EI"))</f>
        <v/>
      </c>
    </row>
    <row r="50" ht="15" customHeight="1" s="30">
      <c r="A50" s="49" t="n"/>
      <c r="B50" s="49" t="n"/>
      <c r="C50" s="49" t="n"/>
      <c r="D50" s="49" t="n"/>
      <c r="E50" s="49" t="n"/>
      <c r="F50" s="49" t="n"/>
      <c r="G50" s="50" t="n"/>
      <c r="H50" s="50" t="n"/>
      <c r="I50" s="50" t="n"/>
      <c r="J50" s="50" t="n"/>
      <c r="K50" s="50" t="n"/>
      <c r="L50" s="50" t="n"/>
      <c r="M50" s="51">
        <f>IF(D50="","",DATEDIF(D50,TODAY(),"Y")+DATEDIF(D50,TODAY(),"YM")/12)</f>
        <v/>
      </c>
      <c r="N50" s="52">
        <f>IF(OR(E50="",G50="",H50="",J50=""),"",IF(E50="P",-9.236+0.0002708*(H50+I50)*(G50-(H50+I50))-0.001663*(M50*(G50-(H50+I50)))+0.007216*(M50*(H50+I50))+0.02292*(J50/G50*100),-9.376+0.0001882*(H50+I50)*(G50-(H50+I50))+0.0022*(M50*(H50+I50))+0.005841*(M50*(H50+I50))-0.002658*(M50*J50)+0.07693*(J50/G50*100)))</f>
        <v/>
      </c>
      <c r="O50" s="53">
        <f>IF(N50="","Ei tiedossa",IF(N50&lt;-1,"Varhainen",IF(N50&lt;0.5,"PHV-huippu","Post-PHV")))</f>
        <v/>
      </c>
      <c r="P50" s="54">
        <f>IF(A50="","",TODAY())</f>
        <v/>
      </c>
      <c r="Q50" s="55" t="n"/>
      <c r="R50" s="56">
        <f>IF(OR(M50="",N50=""),"",M50-N50)</f>
        <v/>
      </c>
      <c r="S50" s="57">
        <f>IF(OR(R50="",D50="",E50=""),"Ei tietoja",IF(R50&gt;=IF(E50="P",VLOOKUP(MONTH(D50),'📋 Ohjeet'!$A$50:$C$61,2,FALSE()),VLOOKUP(MONTH(D50),'📋 Ohjeet'!$A$50:$C$61,3,FALSE())),"✅ KYLLÄ","❌ EI"))</f>
        <v/>
      </c>
    </row>
    <row r="51" ht="15" customHeight="1" s="30">
      <c r="A51" s="40" t="n"/>
      <c r="B51" s="40" t="n"/>
      <c r="C51" s="40" t="n"/>
      <c r="D51" s="40" t="n"/>
      <c r="E51" s="40" t="n"/>
      <c r="F51" s="40" t="n"/>
      <c r="G51" s="41" t="n"/>
      <c r="H51" s="41" t="n"/>
      <c r="I51" s="41" t="n"/>
      <c r="J51" s="41" t="n"/>
      <c r="K51" s="41" t="n"/>
      <c r="L51" s="41" t="n"/>
      <c r="M51" s="42">
        <f>IF(D51="","",DATEDIF(D51,TODAY(),"Y")+DATEDIF(D51,TODAY(),"YM")/12)</f>
        <v/>
      </c>
      <c r="N51" s="43">
        <f>IF(OR(E51="",G51="",H51="",J51=""),"",IF(E51="P",-9.236+0.0002708*(H51+I51)*(G51-(H51+I51))-0.001663*(M51*(G51-(H51+I51)))+0.007216*(M51*(H51+I51))+0.02292*(J51/G51*100),-9.376+0.0001882*(H51+I51)*(G51-(H51+I51))+0.0022*(M51*(H51+I51))+0.005841*(M51*(H51+I51))-0.002658*(M51*J51)+0.07693*(J51/G51*100)))</f>
        <v/>
      </c>
      <c r="O51" s="44">
        <f>IF(N51="","Ei tiedossa",IF(N51&lt;-1,"Varhainen",IF(N51&lt;0.5,"PHV-huippu","Post-PHV")))</f>
        <v/>
      </c>
      <c r="P51" s="45">
        <f>IF(A51="","",TODAY())</f>
        <v/>
      </c>
      <c r="Q51" s="46" t="n"/>
      <c r="R51" s="47">
        <f>IF(OR(M51="",N51=""),"",M51-N51)</f>
        <v/>
      </c>
      <c r="S51" s="48">
        <f>IF(OR(R51="",D51="",E51=""),"Ei tietoja",IF(R51&gt;=IF(E51="P",VLOOKUP(MONTH(D51),'📋 Ohjeet'!$A$50:$C$61,2,FALSE()),VLOOKUP(MONTH(D51),'📋 Ohjeet'!$A$50:$C$61,3,FALSE())),"✅ KYLLÄ","❌ EI"))</f>
        <v/>
      </c>
    </row>
    <row r="52" ht="15" customHeight="1" s="30">
      <c r="A52" s="49" t="n"/>
      <c r="B52" s="49" t="n"/>
      <c r="C52" s="49" t="n"/>
      <c r="D52" s="49" t="n"/>
      <c r="E52" s="49" t="n"/>
      <c r="F52" s="49" t="n"/>
      <c r="G52" s="50" t="n"/>
      <c r="H52" s="50" t="n"/>
      <c r="I52" s="50" t="n"/>
      <c r="J52" s="50" t="n"/>
      <c r="K52" s="50" t="n"/>
      <c r="L52" s="50" t="n"/>
      <c r="M52" s="51">
        <f>IF(D52="","",DATEDIF(D52,TODAY(),"Y")+DATEDIF(D52,TODAY(),"YM")/12)</f>
        <v/>
      </c>
      <c r="N52" s="52">
        <f>IF(OR(E52="",G52="",H52="",J52=""),"",IF(E52="P",-9.236+0.0002708*(H52+I52)*(G52-(H52+I52))-0.001663*(M52*(G52-(H52+I52)))+0.007216*(M52*(H52+I52))+0.02292*(J52/G52*100),-9.376+0.0001882*(H52+I52)*(G52-(H52+I52))+0.0022*(M52*(H52+I52))+0.005841*(M52*(H52+I52))-0.002658*(M52*J52)+0.07693*(J52/G52*100)))</f>
        <v/>
      </c>
      <c r="O52" s="53">
        <f>IF(N52="","Ei tiedossa",IF(N52&lt;-1,"Varhainen",IF(N52&lt;0.5,"PHV-huippu","Post-PHV")))</f>
        <v/>
      </c>
      <c r="P52" s="54">
        <f>IF(A52="","",TODAY())</f>
        <v/>
      </c>
      <c r="Q52" s="55" t="n"/>
      <c r="R52" s="56">
        <f>IF(OR(M52="",N52=""),"",M52-N52)</f>
        <v/>
      </c>
      <c r="S52" s="57">
        <f>IF(OR(R52="",D52="",E52=""),"Ei tietoja",IF(R52&gt;=IF(E52="P",VLOOKUP(MONTH(D52),'📋 Ohjeet'!$A$50:$C$61,2,FALSE()),VLOOKUP(MONTH(D52),'📋 Ohjeet'!$A$50:$C$61,3,FALSE())),"✅ KYLLÄ","❌ EI"))</f>
        <v/>
      </c>
    </row>
    <row r="53" ht="15" customHeight="1" s="30">
      <c r="A53" s="40" t="n"/>
      <c r="B53" s="40" t="n"/>
      <c r="C53" s="40" t="n"/>
      <c r="D53" s="40" t="n"/>
      <c r="E53" s="40" t="n"/>
      <c r="F53" s="40" t="n"/>
      <c r="G53" s="41" t="n"/>
      <c r="H53" s="41" t="n"/>
      <c r="I53" s="41" t="n"/>
      <c r="J53" s="41" t="n"/>
      <c r="K53" s="41" t="n"/>
      <c r="L53" s="41" t="n"/>
      <c r="M53" s="42">
        <f>IF(D53="","",DATEDIF(D53,TODAY(),"Y")+DATEDIF(D53,TODAY(),"YM")/12)</f>
        <v/>
      </c>
      <c r="N53" s="43">
        <f>IF(OR(E53="",G53="",H53="",J53=""),"",IF(E53="P",-9.236+0.0002708*(H53+I53)*(G53-(H53+I53))-0.001663*(M53*(G53-(H53+I53)))+0.007216*(M53*(H53+I53))+0.02292*(J53/G53*100),-9.376+0.0001882*(H53+I53)*(G53-(H53+I53))+0.0022*(M53*(H53+I53))+0.005841*(M53*(H53+I53))-0.002658*(M53*J53)+0.07693*(J53/G53*100)))</f>
        <v/>
      </c>
      <c r="O53" s="44">
        <f>IF(N53="","Ei tiedossa",IF(N53&lt;-1,"Varhainen",IF(N53&lt;0.5,"PHV-huippu","Post-PHV")))</f>
        <v/>
      </c>
      <c r="P53" s="45">
        <f>IF(A53="","",TODAY())</f>
        <v/>
      </c>
      <c r="Q53" s="46" t="n"/>
      <c r="R53" s="47">
        <f>IF(OR(M53="",N53=""),"",M53-N53)</f>
        <v/>
      </c>
      <c r="S53" s="48">
        <f>IF(OR(R53="",D53="",E53=""),"Ei tietoja",IF(R53&gt;=IF(E53="P",VLOOKUP(MONTH(D53),'📋 Ohjeet'!$A$50:$C$61,2,FALSE()),VLOOKUP(MONTH(D53),'📋 Ohjeet'!$A$50:$C$61,3,FALSE())),"✅ KYLLÄ","❌ EI"))</f>
        <v/>
      </c>
    </row>
    <row r="54" ht="15" customHeight="1" s="30">
      <c r="A54" s="49" t="n"/>
      <c r="B54" s="49" t="n"/>
      <c r="C54" s="49" t="n"/>
      <c r="D54" s="49" t="n"/>
      <c r="E54" s="49" t="n"/>
      <c r="F54" s="49" t="n"/>
      <c r="G54" s="50" t="n"/>
      <c r="H54" s="50" t="n"/>
      <c r="I54" s="50" t="n"/>
      <c r="J54" s="50" t="n"/>
      <c r="K54" s="50" t="n"/>
      <c r="L54" s="50" t="n"/>
      <c r="M54" s="51">
        <f>IF(D54="","",DATEDIF(D54,TODAY(),"Y")+DATEDIF(D54,TODAY(),"YM")/12)</f>
        <v/>
      </c>
      <c r="N54" s="52">
        <f>IF(OR(E54="",G54="",H54="",J54=""),"",IF(E54="P",-9.236+0.0002708*(H54+I54)*(G54-(H54+I54))-0.001663*(M54*(G54-(H54+I54)))+0.007216*(M54*(H54+I54))+0.02292*(J54/G54*100),-9.376+0.0001882*(H54+I54)*(G54-(H54+I54))+0.0022*(M54*(H54+I54))+0.005841*(M54*(H54+I54))-0.002658*(M54*J54)+0.07693*(J54/G54*100)))</f>
        <v/>
      </c>
      <c r="O54" s="53">
        <f>IF(N54="","Ei tiedossa",IF(N54&lt;-1,"Varhainen",IF(N54&lt;0.5,"PHV-huippu","Post-PHV")))</f>
        <v/>
      </c>
      <c r="P54" s="54">
        <f>IF(A54="","",TODAY())</f>
        <v/>
      </c>
      <c r="Q54" s="55" t="n"/>
      <c r="R54" s="56">
        <f>IF(OR(M54="",N54=""),"",M54-N54)</f>
        <v/>
      </c>
      <c r="S54" s="57">
        <f>IF(OR(R54="",D54="",E54=""),"Ei tietoja",IF(R54&gt;=IF(E54="P",VLOOKUP(MONTH(D54),'📋 Ohjeet'!$A$50:$C$61,2,FALSE()),VLOOKUP(MONTH(D54),'📋 Ohjeet'!$A$50:$C$61,3,FALSE())),"✅ KYLLÄ","❌ EI"))</f>
        <v/>
      </c>
    </row>
  </sheetData>
  <mergeCells count="3">
    <mergeCell ref="A3:Q3"/>
    <mergeCell ref="A2:Q2"/>
    <mergeCell ref="A1:Q1"/>
  </mergeCells>
  <dataValidations count="1">
    <dataValidation sqref="E5:E54" showDropDown="0" showInputMessage="1" showErrorMessage="1" allowBlank="1" errorTitle="Virheellinen arvo" error="Käytä P (Poika) tai T (Tyttö)" promptTitle="Sukupuoli" prompt="Syötä P (Poika) tai T (Tyttö)" type="list" errorStyle="stop" operator="between">
      <formula1>"P,T"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S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9" min="1" max="1"/>
    <col width="16" customWidth="1" style="29" min="2" max="2"/>
    <col width="14" customWidth="1" style="29" min="3" max="4"/>
    <col width="12" customWidth="1" style="29" min="5" max="5"/>
    <col width="16" customWidth="1" style="29" min="6" max="6"/>
    <col width="13" customWidth="1" style="29" min="7" max="7"/>
    <col width="16" customWidth="1" style="29" min="8" max="9"/>
    <col width="12" customWidth="1" style="29" min="10" max="10"/>
    <col width="15" customWidth="1" style="29" min="11" max="12"/>
    <col width="14" customWidth="1" style="29" min="13" max="16"/>
    <col width="22" customWidth="1" style="29" min="17" max="17"/>
    <col width="14" customWidth="1" style="29" min="18" max="19"/>
  </cols>
  <sheetData>
    <row r="1" ht="27.75" customHeight="1" s="30">
      <c r="A1" s="36" t="inlineStr">
        <is>
          <t>TalentMaster™ — Pelaajapohja U19</t>
        </is>
      </c>
    </row>
    <row r="2" ht="18" customHeight="1" s="30">
      <c r="A2" s="37" t="inlineStr">
        <is>
          <t>🔵 Pakollinen kenttä   🟢 Mirwald-mittaus (biologinen ikä)   🟡 Lasketaan automaattisesti — ÄLÄ MUOKKAA   🟣 PHV-ikä &amp; Yli-ikäisyyssääntö (automaattinen)   ⬜ Vapaaehtoinen</t>
        </is>
      </c>
    </row>
    <row r="3" ht="18" customHeight="1" s="30">
      <c r="A3" s="38" t="inlineStr">
        <is>
          <t>⚠️  Älä muuta sarakkeiden järjestystä tai poista otsikkorivejä. Tallenna .xlsx-muodossa ja lataa suoraan TalentMasterin Tuo dataa -välilehdeltä. PalloID on pakollinen — se tunnistaa pelaajan järjestelmässä.</t>
        </is>
      </c>
    </row>
    <row r="4" ht="39.75" customHeight="1" s="30">
      <c r="A4" s="39" t="inlineStr">
        <is>
          <t>PalloID *</t>
        </is>
      </c>
      <c r="B4" s="39" t="inlineStr">
        <is>
          <t>Sukunimi *</t>
        </is>
      </c>
      <c r="C4" s="39" t="inlineStr">
        <is>
          <t>Etunimi *</t>
        </is>
      </c>
      <c r="D4" s="39" t="inlineStr">
        <is>
          <t>Syntymäaika *</t>
        </is>
      </c>
      <c r="E4" s="39" t="inlineStr">
        <is>
          <t>Sukupuoli *</t>
        </is>
      </c>
      <c r="F4" s="39" t="inlineStr">
        <is>
          <t>Joukkue *</t>
        </is>
      </c>
      <c r="G4" s="39" t="inlineStr">
        <is>
          <t>Pituus (cm) *</t>
        </is>
      </c>
      <c r="H4" s="39" t="inlineStr">
        <is>
          <t>Istumapituus (cm) *</t>
        </is>
      </c>
      <c r="I4" s="39" t="inlineStr">
        <is>
          <t>Penkin korkeus (cm)</t>
        </is>
      </c>
      <c r="J4" s="39" t="inlineStr">
        <is>
          <t>Paino (kg) *</t>
        </is>
      </c>
      <c r="K4" s="39" t="inlineStr">
        <is>
          <t>Äidin pituus (cm)</t>
        </is>
      </c>
      <c r="L4" s="39" t="inlineStr">
        <is>
          <t>Isän pituus (cm)</t>
        </is>
      </c>
      <c r="M4" s="39" t="inlineStr">
        <is>
          <t>Ikä mitt.hetkellä</t>
        </is>
      </c>
      <c r="N4" s="39" t="inlineStr">
        <is>
          <t>Maturity Offset</t>
        </is>
      </c>
      <c r="O4" s="39" t="inlineStr">
        <is>
          <t>PHV-tila</t>
        </is>
      </c>
      <c r="P4" s="39" t="inlineStr">
        <is>
          <t>Laskentapäivä</t>
        </is>
      </c>
      <c r="Q4" s="39" t="inlineStr">
        <is>
          <t>Huomio</t>
        </is>
      </c>
      <c r="R4" s="39" t="inlineStr">
        <is>
          <t>PHV-ikä (vuotta)</t>
        </is>
      </c>
      <c r="S4" s="39" t="inlineStr">
        <is>
          <t>Yli-ikäisyys
(Palloliitto)</t>
        </is>
      </c>
    </row>
    <row r="5" ht="15" customHeight="1" s="30">
      <c r="A5" s="40" t="n"/>
      <c r="B5" s="40" t="n"/>
      <c r="C5" s="40" t="n"/>
      <c r="D5" s="40" t="n"/>
      <c r="E5" s="40" t="n"/>
      <c r="F5" s="40" t="n"/>
      <c r="G5" s="41" t="n"/>
      <c r="H5" s="41" t="n"/>
      <c r="I5" s="41" t="n"/>
      <c r="J5" s="41" t="n"/>
      <c r="K5" s="41" t="n"/>
      <c r="L5" s="41" t="n"/>
      <c r="M5" s="42">
        <f>IF(D5="","",DATEDIF(D5,TODAY(),"Y")+DATEDIF(D5,TODAY(),"YM")/12)</f>
        <v/>
      </c>
      <c r="N5" s="43">
        <f>IF(OR(E5="",G5="",H5="",J5=""),"",IF(E5="P",-9.236+0.0002708*(H5+I5)*(G5-(H5+I5))-0.001663*(M5*(G5-(H5+I5)))+0.007216*(M5*(H5+I5))+0.02292*(J5/G5*100),-9.376+0.0001882*(H5+I5)*(G5-(H5+I5))+0.0022*(M5*(H5+I5))+0.005841*(M5*(H5+I5))-0.002658*(M5*J5)+0.07693*(J5/G5*100)))</f>
        <v/>
      </c>
      <c r="O5" s="44">
        <f>IF(N5="","Ei tiedossa",IF(N5&lt;-1,"Varhainen",IF(N5&lt;0.5,"PHV-huippu","Post-PHV")))</f>
        <v/>
      </c>
      <c r="P5" s="45">
        <f>IF(A5="","",TODAY())</f>
        <v/>
      </c>
      <c r="Q5" s="46" t="n"/>
      <c r="R5" s="47">
        <f>IF(OR(M5="",N5=""),"",M5-N5)</f>
        <v/>
      </c>
      <c r="S5" s="48">
        <f>IF(OR(R5="",D5="",E5=""),"Ei tietoja",IF(R5&gt;=IF(E5="P",VLOOKUP(MONTH(D5),'📋 Ohjeet'!$A$50:$C$61,2,FALSE()),VLOOKUP(MONTH(D5),'📋 Ohjeet'!$A$50:$C$61,3,FALSE())),"✅ KYLLÄ","❌ EI"))</f>
        <v/>
      </c>
    </row>
    <row r="6" ht="15" customHeight="1" s="30">
      <c r="A6" s="49" t="n"/>
      <c r="B6" s="49" t="n"/>
      <c r="C6" s="49" t="n"/>
      <c r="D6" s="49" t="n"/>
      <c r="E6" s="49" t="n"/>
      <c r="F6" s="49" t="n"/>
      <c r="G6" s="50" t="n"/>
      <c r="H6" s="50" t="n"/>
      <c r="I6" s="50" t="n"/>
      <c r="J6" s="50" t="n"/>
      <c r="K6" s="50" t="n"/>
      <c r="L6" s="50" t="n"/>
      <c r="M6" s="51">
        <f>IF(D6="","",DATEDIF(D6,TODAY(),"Y")+DATEDIF(D6,TODAY(),"YM")/12)</f>
        <v/>
      </c>
      <c r="N6" s="52">
        <f>IF(OR(E6="",G6="",H6="",J6=""),"",IF(E6="P",-9.236+0.0002708*(H6+I6)*(G6-(H6+I6))-0.001663*(M6*(G6-(H6+I6)))+0.007216*(M6*(H6+I6))+0.02292*(J6/G6*100),-9.376+0.0001882*(H6+I6)*(G6-(H6+I6))+0.0022*(M6*(H6+I6))+0.005841*(M6*(H6+I6))-0.002658*(M6*J6)+0.07693*(J6/G6*100)))</f>
        <v/>
      </c>
      <c r="O6" s="53">
        <f>IF(N6="","Ei tiedossa",IF(N6&lt;-1,"Varhainen",IF(N6&lt;0.5,"PHV-huippu","Post-PHV")))</f>
        <v/>
      </c>
      <c r="P6" s="54">
        <f>IF(A6="","",TODAY())</f>
        <v/>
      </c>
      <c r="Q6" s="55" t="n"/>
      <c r="R6" s="56">
        <f>IF(OR(M6="",N6=""),"",M6-N6)</f>
        <v/>
      </c>
      <c r="S6" s="57">
        <f>IF(OR(R6="",D6="",E6=""),"Ei tietoja",IF(R6&gt;=IF(E6="P",VLOOKUP(MONTH(D6),'📋 Ohjeet'!$A$50:$C$61,2,FALSE()),VLOOKUP(MONTH(D6),'📋 Ohjeet'!$A$50:$C$61,3,FALSE())),"✅ KYLLÄ","❌ EI"))</f>
        <v/>
      </c>
    </row>
    <row r="7" ht="15" customHeight="1" s="30">
      <c r="A7" s="40" t="n"/>
      <c r="B7" s="40" t="n"/>
      <c r="C7" s="40" t="n"/>
      <c r="D7" s="40" t="n"/>
      <c r="E7" s="40" t="n"/>
      <c r="F7" s="40" t="n"/>
      <c r="G7" s="41" t="n"/>
      <c r="H7" s="41" t="n"/>
      <c r="I7" s="41" t="n"/>
      <c r="J7" s="41" t="n"/>
      <c r="K7" s="41" t="n"/>
      <c r="L7" s="41" t="n"/>
      <c r="M7" s="42">
        <f>IF(D7="","",DATEDIF(D7,TODAY(),"Y")+DATEDIF(D7,TODAY(),"YM")/12)</f>
        <v/>
      </c>
      <c r="N7" s="43">
        <f>IF(OR(E7="",G7="",H7="",J7=""),"",IF(E7="P",-9.236+0.0002708*(H7+I7)*(G7-(H7+I7))-0.001663*(M7*(G7-(H7+I7)))+0.007216*(M7*(H7+I7))+0.02292*(J7/G7*100),-9.376+0.0001882*(H7+I7)*(G7-(H7+I7))+0.0022*(M7*(H7+I7))+0.005841*(M7*(H7+I7))-0.002658*(M7*J7)+0.07693*(J7/G7*100)))</f>
        <v/>
      </c>
      <c r="O7" s="44">
        <f>IF(N7="","Ei tiedossa",IF(N7&lt;-1,"Varhainen",IF(N7&lt;0.5,"PHV-huippu","Post-PHV")))</f>
        <v/>
      </c>
      <c r="P7" s="45">
        <f>IF(A7="","",TODAY())</f>
        <v/>
      </c>
      <c r="Q7" s="46" t="n"/>
      <c r="R7" s="47">
        <f>IF(OR(M7="",N7=""),"",M7-N7)</f>
        <v/>
      </c>
      <c r="S7" s="48">
        <f>IF(OR(R7="",D7="",E7=""),"Ei tietoja",IF(R7&gt;=IF(E7="P",VLOOKUP(MONTH(D7),'📋 Ohjeet'!$A$50:$C$61,2,FALSE()),VLOOKUP(MONTH(D7),'📋 Ohjeet'!$A$50:$C$61,3,FALSE())),"✅ KYLLÄ","❌ EI"))</f>
        <v/>
      </c>
    </row>
    <row r="8" ht="15" customHeight="1" s="30">
      <c r="A8" s="49" t="n"/>
      <c r="B8" s="49" t="n"/>
      <c r="C8" s="49" t="n"/>
      <c r="D8" s="49" t="n"/>
      <c r="E8" s="49" t="n"/>
      <c r="F8" s="49" t="n"/>
      <c r="G8" s="50" t="n"/>
      <c r="H8" s="50" t="n"/>
      <c r="I8" s="50" t="n"/>
      <c r="J8" s="50" t="n"/>
      <c r="K8" s="50" t="n"/>
      <c r="L8" s="50" t="n"/>
      <c r="M8" s="51">
        <f>IF(D8="","",DATEDIF(D8,TODAY(),"Y")+DATEDIF(D8,TODAY(),"YM")/12)</f>
        <v/>
      </c>
      <c r="N8" s="52">
        <f>IF(OR(E8="",G8="",H8="",J8=""),"",IF(E8="P",-9.236+0.0002708*(H8+I8)*(G8-(H8+I8))-0.001663*(M8*(G8-(H8+I8)))+0.007216*(M8*(H8+I8))+0.02292*(J8/G8*100),-9.376+0.0001882*(H8+I8)*(G8-(H8+I8))+0.0022*(M8*(H8+I8))+0.005841*(M8*(H8+I8))-0.002658*(M8*J8)+0.07693*(J8/G8*100)))</f>
        <v/>
      </c>
      <c r="O8" s="53">
        <f>IF(N8="","Ei tiedossa",IF(N8&lt;-1,"Varhainen",IF(N8&lt;0.5,"PHV-huippu","Post-PHV")))</f>
        <v/>
      </c>
      <c r="P8" s="54">
        <f>IF(A8="","",TODAY())</f>
        <v/>
      </c>
      <c r="Q8" s="55" t="n"/>
      <c r="R8" s="56">
        <f>IF(OR(M8="",N8=""),"",M8-N8)</f>
        <v/>
      </c>
      <c r="S8" s="57">
        <f>IF(OR(R8="",D8="",E8=""),"Ei tietoja",IF(R8&gt;=IF(E8="P",VLOOKUP(MONTH(D8),'📋 Ohjeet'!$A$50:$C$61,2,FALSE()),VLOOKUP(MONTH(D8),'📋 Ohjeet'!$A$50:$C$61,3,FALSE())),"✅ KYLLÄ","❌ EI"))</f>
        <v/>
      </c>
    </row>
    <row r="9" ht="15" customHeight="1" s="30">
      <c r="A9" s="40" t="n"/>
      <c r="B9" s="40" t="n"/>
      <c r="C9" s="40" t="n"/>
      <c r="D9" s="40" t="n"/>
      <c r="E9" s="40" t="n"/>
      <c r="F9" s="40" t="n"/>
      <c r="G9" s="41" t="n"/>
      <c r="H9" s="41" t="n"/>
      <c r="I9" s="41" t="n"/>
      <c r="J9" s="41" t="n"/>
      <c r="K9" s="41" t="n"/>
      <c r="L9" s="41" t="n"/>
      <c r="M9" s="42">
        <f>IF(D9="","",DATEDIF(D9,TODAY(),"Y")+DATEDIF(D9,TODAY(),"YM")/12)</f>
        <v/>
      </c>
      <c r="N9" s="43">
        <f>IF(OR(E9="",G9="",H9="",J9=""),"",IF(E9="P",-9.236+0.0002708*(H9+I9)*(G9-(H9+I9))-0.001663*(M9*(G9-(H9+I9)))+0.007216*(M9*(H9+I9))+0.02292*(J9/G9*100),-9.376+0.0001882*(H9+I9)*(G9-(H9+I9))+0.0022*(M9*(H9+I9))+0.005841*(M9*(H9+I9))-0.002658*(M9*J9)+0.07693*(J9/G9*100)))</f>
        <v/>
      </c>
      <c r="O9" s="44">
        <f>IF(N9="","Ei tiedossa",IF(N9&lt;-1,"Varhainen",IF(N9&lt;0.5,"PHV-huippu","Post-PHV")))</f>
        <v/>
      </c>
      <c r="P9" s="45">
        <f>IF(A9="","",TODAY())</f>
        <v/>
      </c>
      <c r="Q9" s="46" t="n"/>
      <c r="R9" s="47">
        <f>IF(OR(M9="",N9=""),"",M9-N9)</f>
        <v/>
      </c>
      <c r="S9" s="48">
        <f>IF(OR(R9="",D9="",E9=""),"Ei tietoja",IF(R9&gt;=IF(E9="P",VLOOKUP(MONTH(D9),'📋 Ohjeet'!$A$50:$C$61,2,FALSE()),VLOOKUP(MONTH(D9),'📋 Ohjeet'!$A$50:$C$61,3,FALSE())),"✅ KYLLÄ","❌ EI"))</f>
        <v/>
      </c>
    </row>
    <row r="10" ht="15" customHeight="1" s="30">
      <c r="A10" s="49" t="n"/>
      <c r="B10" s="49" t="n"/>
      <c r="C10" s="49" t="n"/>
      <c r="D10" s="49" t="n"/>
      <c r="E10" s="49" t="n"/>
      <c r="F10" s="49" t="n"/>
      <c r="G10" s="50" t="n"/>
      <c r="H10" s="50" t="n"/>
      <c r="I10" s="50" t="n"/>
      <c r="J10" s="50" t="n"/>
      <c r="K10" s="50" t="n"/>
      <c r="L10" s="50" t="n"/>
      <c r="M10" s="51">
        <f>IF(D10="","",DATEDIF(D10,TODAY(),"Y")+DATEDIF(D10,TODAY(),"YM")/12)</f>
        <v/>
      </c>
      <c r="N10" s="52">
        <f>IF(OR(E10="",G10="",H10="",J10=""),"",IF(E10="P",-9.236+0.0002708*(H10+I10)*(G10-(H10+I10))-0.001663*(M10*(G10-(H10+I10)))+0.007216*(M10*(H10+I10))+0.02292*(J10/G10*100),-9.376+0.0001882*(H10+I10)*(G10-(H10+I10))+0.0022*(M10*(H10+I10))+0.005841*(M10*(H10+I10))-0.002658*(M10*J10)+0.07693*(J10/G10*100)))</f>
        <v/>
      </c>
      <c r="O10" s="53">
        <f>IF(N10="","Ei tiedossa",IF(N10&lt;-1,"Varhainen",IF(N10&lt;0.5,"PHV-huippu","Post-PHV")))</f>
        <v/>
      </c>
      <c r="P10" s="54">
        <f>IF(A10="","",TODAY())</f>
        <v/>
      </c>
      <c r="Q10" s="55" t="n"/>
      <c r="R10" s="56">
        <f>IF(OR(M10="",N10=""),"",M10-N10)</f>
        <v/>
      </c>
      <c r="S10" s="57">
        <f>IF(OR(R10="",D10="",E10=""),"Ei tietoja",IF(R10&gt;=IF(E10="P",VLOOKUP(MONTH(D10),'📋 Ohjeet'!$A$50:$C$61,2,FALSE()),VLOOKUP(MONTH(D10),'📋 Ohjeet'!$A$50:$C$61,3,FALSE())),"✅ KYLLÄ","❌ EI"))</f>
        <v/>
      </c>
    </row>
    <row r="11" ht="15" customHeight="1" s="30">
      <c r="A11" s="40" t="n"/>
      <c r="B11" s="40" t="n"/>
      <c r="C11" s="40" t="n"/>
      <c r="D11" s="40" t="n"/>
      <c r="E11" s="40" t="n"/>
      <c r="F11" s="40" t="n"/>
      <c r="G11" s="41" t="n"/>
      <c r="H11" s="41" t="n"/>
      <c r="I11" s="41" t="n"/>
      <c r="J11" s="41" t="n"/>
      <c r="K11" s="41" t="n"/>
      <c r="L11" s="41" t="n"/>
      <c r="M11" s="42">
        <f>IF(D11="","",DATEDIF(D11,TODAY(),"Y")+DATEDIF(D11,TODAY(),"YM")/12)</f>
        <v/>
      </c>
      <c r="N11" s="43">
        <f>IF(OR(E11="",G11="",H11="",J11=""),"",IF(E11="P",-9.236+0.0002708*(H11+I11)*(G11-(H11+I11))-0.001663*(M11*(G11-(H11+I11)))+0.007216*(M11*(H11+I11))+0.02292*(J11/G11*100),-9.376+0.0001882*(H11+I11)*(G11-(H11+I11))+0.0022*(M11*(H11+I11))+0.005841*(M11*(H11+I11))-0.002658*(M11*J11)+0.07693*(J11/G11*100)))</f>
        <v/>
      </c>
      <c r="O11" s="44">
        <f>IF(N11="","Ei tiedossa",IF(N11&lt;-1,"Varhainen",IF(N11&lt;0.5,"PHV-huippu","Post-PHV")))</f>
        <v/>
      </c>
      <c r="P11" s="45">
        <f>IF(A11="","",TODAY())</f>
        <v/>
      </c>
      <c r="Q11" s="46" t="n"/>
      <c r="R11" s="47">
        <f>IF(OR(M11="",N11=""),"",M11-N11)</f>
        <v/>
      </c>
      <c r="S11" s="48">
        <f>IF(OR(R11="",D11="",E11=""),"Ei tietoja",IF(R11&gt;=IF(E11="P",VLOOKUP(MONTH(D11),'📋 Ohjeet'!$A$50:$C$61,2,FALSE()),VLOOKUP(MONTH(D11),'📋 Ohjeet'!$A$50:$C$61,3,FALSE())),"✅ KYLLÄ","❌ EI"))</f>
        <v/>
      </c>
    </row>
    <row r="12" ht="15" customHeight="1" s="30">
      <c r="A12" s="49" t="n"/>
      <c r="B12" s="49" t="n"/>
      <c r="C12" s="49" t="n"/>
      <c r="D12" s="49" t="n"/>
      <c r="E12" s="49" t="n"/>
      <c r="F12" s="49" t="n"/>
      <c r="G12" s="50" t="n"/>
      <c r="H12" s="50" t="n"/>
      <c r="I12" s="50" t="n"/>
      <c r="J12" s="50" t="n"/>
      <c r="K12" s="50" t="n"/>
      <c r="L12" s="50" t="n"/>
      <c r="M12" s="51">
        <f>IF(D12="","",DATEDIF(D12,TODAY(),"Y")+DATEDIF(D12,TODAY(),"YM")/12)</f>
        <v/>
      </c>
      <c r="N12" s="52">
        <f>IF(OR(E12="",G12="",H12="",J12=""),"",IF(E12="P",-9.236+0.0002708*(H12+I12)*(G12-(H12+I12))-0.001663*(M12*(G12-(H12+I12)))+0.007216*(M12*(H12+I12))+0.02292*(J12/G12*100),-9.376+0.0001882*(H12+I12)*(G12-(H12+I12))+0.0022*(M12*(H12+I12))+0.005841*(M12*(H12+I12))-0.002658*(M12*J12)+0.07693*(J12/G12*100)))</f>
        <v/>
      </c>
      <c r="O12" s="53">
        <f>IF(N12="","Ei tiedossa",IF(N12&lt;-1,"Varhainen",IF(N12&lt;0.5,"PHV-huippu","Post-PHV")))</f>
        <v/>
      </c>
      <c r="P12" s="54">
        <f>IF(A12="","",TODAY())</f>
        <v/>
      </c>
      <c r="Q12" s="55" t="n"/>
      <c r="R12" s="56">
        <f>IF(OR(M12="",N12=""),"",M12-N12)</f>
        <v/>
      </c>
      <c r="S12" s="57">
        <f>IF(OR(R12="",D12="",E12=""),"Ei tietoja",IF(R12&gt;=IF(E12="P",VLOOKUP(MONTH(D12),'📋 Ohjeet'!$A$50:$C$61,2,FALSE()),VLOOKUP(MONTH(D12),'📋 Ohjeet'!$A$50:$C$61,3,FALSE())),"✅ KYLLÄ","❌ EI"))</f>
        <v/>
      </c>
    </row>
    <row r="13" ht="15" customHeight="1" s="30">
      <c r="A13" s="40" t="n"/>
      <c r="B13" s="40" t="n"/>
      <c r="C13" s="40" t="n"/>
      <c r="D13" s="40" t="n"/>
      <c r="E13" s="40" t="n"/>
      <c r="F13" s="40" t="n"/>
      <c r="G13" s="41" t="n"/>
      <c r="H13" s="41" t="n"/>
      <c r="I13" s="41" t="n"/>
      <c r="J13" s="41" t="n"/>
      <c r="K13" s="41" t="n"/>
      <c r="L13" s="41" t="n"/>
      <c r="M13" s="42">
        <f>IF(D13="","",DATEDIF(D13,TODAY(),"Y")+DATEDIF(D13,TODAY(),"YM")/12)</f>
        <v/>
      </c>
      <c r="N13" s="43">
        <f>IF(OR(E13="",G13="",H13="",J13=""),"",IF(E13="P",-9.236+0.0002708*(H13+I13)*(G13-(H13+I13))-0.001663*(M13*(G13-(H13+I13)))+0.007216*(M13*(H13+I13))+0.02292*(J13/G13*100),-9.376+0.0001882*(H13+I13)*(G13-(H13+I13))+0.0022*(M13*(H13+I13))+0.005841*(M13*(H13+I13))-0.002658*(M13*J13)+0.07693*(J13/G13*100)))</f>
        <v/>
      </c>
      <c r="O13" s="44">
        <f>IF(N13="","Ei tiedossa",IF(N13&lt;-1,"Varhainen",IF(N13&lt;0.5,"PHV-huippu","Post-PHV")))</f>
        <v/>
      </c>
      <c r="P13" s="45">
        <f>IF(A13="","",TODAY())</f>
        <v/>
      </c>
      <c r="Q13" s="46" t="n"/>
      <c r="R13" s="47">
        <f>IF(OR(M13="",N13=""),"",M13-N13)</f>
        <v/>
      </c>
      <c r="S13" s="48">
        <f>IF(OR(R13="",D13="",E13=""),"Ei tietoja",IF(R13&gt;=IF(E13="P",VLOOKUP(MONTH(D13),'📋 Ohjeet'!$A$50:$C$61,2,FALSE()),VLOOKUP(MONTH(D13),'📋 Ohjeet'!$A$50:$C$61,3,FALSE())),"✅ KYLLÄ","❌ EI"))</f>
        <v/>
      </c>
    </row>
    <row r="14" ht="15" customHeight="1" s="30">
      <c r="A14" s="49" t="n"/>
      <c r="B14" s="49" t="n"/>
      <c r="C14" s="49" t="n"/>
      <c r="D14" s="49" t="n"/>
      <c r="E14" s="49" t="n"/>
      <c r="F14" s="49" t="n"/>
      <c r="G14" s="50" t="n"/>
      <c r="H14" s="50" t="n"/>
      <c r="I14" s="50" t="n"/>
      <c r="J14" s="50" t="n"/>
      <c r="K14" s="50" t="n"/>
      <c r="L14" s="50" t="n"/>
      <c r="M14" s="51">
        <f>IF(D14="","",DATEDIF(D14,TODAY(),"Y")+DATEDIF(D14,TODAY(),"YM")/12)</f>
        <v/>
      </c>
      <c r="N14" s="52">
        <f>IF(OR(E14="",G14="",H14="",J14=""),"",IF(E14="P",-9.236+0.0002708*(H14+I14)*(G14-(H14+I14))-0.001663*(M14*(G14-(H14+I14)))+0.007216*(M14*(H14+I14))+0.02292*(J14/G14*100),-9.376+0.0001882*(H14+I14)*(G14-(H14+I14))+0.0022*(M14*(H14+I14))+0.005841*(M14*(H14+I14))-0.002658*(M14*J14)+0.07693*(J14/G14*100)))</f>
        <v/>
      </c>
      <c r="O14" s="53">
        <f>IF(N14="","Ei tiedossa",IF(N14&lt;-1,"Varhainen",IF(N14&lt;0.5,"PHV-huippu","Post-PHV")))</f>
        <v/>
      </c>
      <c r="P14" s="54">
        <f>IF(A14="","",TODAY())</f>
        <v/>
      </c>
      <c r="Q14" s="55" t="n"/>
      <c r="R14" s="56">
        <f>IF(OR(M14="",N14=""),"",M14-N14)</f>
        <v/>
      </c>
      <c r="S14" s="57">
        <f>IF(OR(R14="",D14="",E14=""),"Ei tietoja",IF(R14&gt;=IF(E14="P",VLOOKUP(MONTH(D14),'📋 Ohjeet'!$A$50:$C$61,2,FALSE()),VLOOKUP(MONTH(D14),'📋 Ohjeet'!$A$50:$C$61,3,FALSE())),"✅ KYLLÄ","❌ EI"))</f>
        <v/>
      </c>
    </row>
    <row r="15" ht="15" customHeight="1" s="30">
      <c r="A15" s="40" t="n"/>
      <c r="B15" s="40" t="n"/>
      <c r="C15" s="40" t="n"/>
      <c r="D15" s="40" t="n"/>
      <c r="E15" s="40" t="n"/>
      <c r="F15" s="40" t="n"/>
      <c r="G15" s="41" t="n"/>
      <c r="H15" s="41" t="n"/>
      <c r="I15" s="41" t="n"/>
      <c r="J15" s="41" t="n"/>
      <c r="K15" s="41" t="n"/>
      <c r="L15" s="41" t="n"/>
      <c r="M15" s="42">
        <f>IF(D15="","",DATEDIF(D15,TODAY(),"Y")+DATEDIF(D15,TODAY(),"YM")/12)</f>
        <v/>
      </c>
      <c r="N15" s="43">
        <f>IF(OR(E15="",G15="",H15="",J15=""),"",IF(E15="P",-9.236+0.0002708*(H15+I15)*(G15-(H15+I15))-0.001663*(M15*(G15-(H15+I15)))+0.007216*(M15*(H15+I15))+0.02292*(J15/G15*100),-9.376+0.0001882*(H15+I15)*(G15-(H15+I15))+0.0022*(M15*(H15+I15))+0.005841*(M15*(H15+I15))-0.002658*(M15*J15)+0.07693*(J15/G15*100)))</f>
        <v/>
      </c>
      <c r="O15" s="44">
        <f>IF(N15="","Ei tiedossa",IF(N15&lt;-1,"Varhainen",IF(N15&lt;0.5,"PHV-huippu","Post-PHV")))</f>
        <v/>
      </c>
      <c r="P15" s="45">
        <f>IF(A15="","",TODAY())</f>
        <v/>
      </c>
      <c r="Q15" s="46" t="n"/>
      <c r="R15" s="47">
        <f>IF(OR(M15="",N15=""),"",M15-N15)</f>
        <v/>
      </c>
      <c r="S15" s="48">
        <f>IF(OR(R15="",D15="",E15=""),"Ei tietoja",IF(R15&gt;=IF(E15="P",VLOOKUP(MONTH(D15),'📋 Ohjeet'!$A$50:$C$61,2,FALSE()),VLOOKUP(MONTH(D15),'📋 Ohjeet'!$A$50:$C$61,3,FALSE())),"✅ KYLLÄ","❌ EI"))</f>
        <v/>
      </c>
    </row>
    <row r="16" ht="15" customHeight="1" s="30">
      <c r="A16" s="49" t="n"/>
      <c r="B16" s="49" t="n"/>
      <c r="C16" s="49" t="n"/>
      <c r="D16" s="49" t="n"/>
      <c r="E16" s="49" t="n"/>
      <c r="F16" s="49" t="n"/>
      <c r="G16" s="50" t="n"/>
      <c r="H16" s="50" t="n"/>
      <c r="I16" s="50" t="n"/>
      <c r="J16" s="50" t="n"/>
      <c r="K16" s="50" t="n"/>
      <c r="L16" s="50" t="n"/>
      <c r="M16" s="51">
        <f>IF(D16="","",DATEDIF(D16,TODAY(),"Y")+DATEDIF(D16,TODAY(),"YM")/12)</f>
        <v/>
      </c>
      <c r="N16" s="52">
        <f>IF(OR(E16="",G16="",H16="",J16=""),"",IF(E16="P",-9.236+0.0002708*(H16+I16)*(G16-(H16+I16))-0.001663*(M16*(G16-(H16+I16)))+0.007216*(M16*(H16+I16))+0.02292*(J16/G16*100),-9.376+0.0001882*(H16+I16)*(G16-(H16+I16))+0.0022*(M16*(H16+I16))+0.005841*(M16*(H16+I16))-0.002658*(M16*J16)+0.07693*(J16/G16*100)))</f>
        <v/>
      </c>
      <c r="O16" s="53">
        <f>IF(N16="","Ei tiedossa",IF(N16&lt;-1,"Varhainen",IF(N16&lt;0.5,"PHV-huippu","Post-PHV")))</f>
        <v/>
      </c>
      <c r="P16" s="54">
        <f>IF(A16="","",TODAY())</f>
        <v/>
      </c>
      <c r="Q16" s="55" t="n"/>
      <c r="R16" s="56">
        <f>IF(OR(M16="",N16=""),"",M16-N16)</f>
        <v/>
      </c>
      <c r="S16" s="57">
        <f>IF(OR(R16="",D16="",E16=""),"Ei tietoja",IF(R16&gt;=IF(E16="P",VLOOKUP(MONTH(D16),'📋 Ohjeet'!$A$50:$C$61,2,FALSE()),VLOOKUP(MONTH(D16),'📋 Ohjeet'!$A$50:$C$61,3,FALSE())),"✅ KYLLÄ","❌ EI"))</f>
        <v/>
      </c>
    </row>
    <row r="17" ht="15" customHeight="1" s="30">
      <c r="A17" s="40" t="n"/>
      <c r="B17" s="40" t="n"/>
      <c r="C17" s="40" t="n"/>
      <c r="D17" s="40" t="n"/>
      <c r="E17" s="40" t="n"/>
      <c r="F17" s="40" t="n"/>
      <c r="G17" s="41" t="n"/>
      <c r="H17" s="41" t="n"/>
      <c r="I17" s="41" t="n"/>
      <c r="J17" s="41" t="n"/>
      <c r="K17" s="41" t="n"/>
      <c r="L17" s="41" t="n"/>
      <c r="M17" s="42">
        <f>IF(D17="","",DATEDIF(D17,TODAY(),"Y")+DATEDIF(D17,TODAY(),"YM")/12)</f>
        <v/>
      </c>
      <c r="N17" s="43">
        <f>IF(OR(E17="",G17="",H17="",J17=""),"",IF(E17="P",-9.236+0.0002708*(H17+I17)*(G17-(H17+I17))-0.001663*(M17*(G17-(H17+I17)))+0.007216*(M17*(H17+I17))+0.02292*(J17/G17*100),-9.376+0.0001882*(H17+I17)*(G17-(H17+I17))+0.0022*(M17*(H17+I17))+0.005841*(M17*(H17+I17))-0.002658*(M17*J17)+0.07693*(J17/G17*100)))</f>
        <v/>
      </c>
      <c r="O17" s="44">
        <f>IF(N17="","Ei tiedossa",IF(N17&lt;-1,"Varhainen",IF(N17&lt;0.5,"PHV-huippu","Post-PHV")))</f>
        <v/>
      </c>
      <c r="P17" s="45">
        <f>IF(A17="","",TODAY())</f>
        <v/>
      </c>
      <c r="Q17" s="46" t="n"/>
      <c r="R17" s="47">
        <f>IF(OR(M17="",N17=""),"",M17-N17)</f>
        <v/>
      </c>
      <c r="S17" s="48">
        <f>IF(OR(R17="",D17="",E17=""),"Ei tietoja",IF(R17&gt;=IF(E17="P",VLOOKUP(MONTH(D17),'📋 Ohjeet'!$A$50:$C$61,2,FALSE()),VLOOKUP(MONTH(D17),'📋 Ohjeet'!$A$50:$C$61,3,FALSE())),"✅ KYLLÄ","❌ EI"))</f>
        <v/>
      </c>
    </row>
    <row r="18" ht="15" customHeight="1" s="30">
      <c r="A18" s="49" t="n"/>
      <c r="B18" s="49" t="n"/>
      <c r="C18" s="49" t="n"/>
      <c r="D18" s="49" t="n"/>
      <c r="E18" s="49" t="n"/>
      <c r="F18" s="49" t="n"/>
      <c r="G18" s="50" t="n"/>
      <c r="H18" s="50" t="n"/>
      <c r="I18" s="50" t="n"/>
      <c r="J18" s="50" t="n"/>
      <c r="K18" s="50" t="n"/>
      <c r="L18" s="50" t="n"/>
      <c r="M18" s="51">
        <f>IF(D18="","",DATEDIF(D18,TODAY(),"Y")+DATEDIF(D18,TODAY(),"YM")/12)</f>
        <v/>
      </c>
      <c r="N18" s="52">
        <f>IF(OR(E18="",G18="",H18="",J18=""),"",IF(E18="P",-9.236+0.0002708*(H18+I18)*(G18-(H18+I18))-0.001663*(M18*(G18-(H18+I18)))+0.007216*(M18*(H18+I18))+0.02292*(J18/G18*100),-9.376+0.0001882*(H18+I18)*(G18-(H18+I18))+0.0022*(M18*(H18+I18))+0.005841*(M18*(H18+I18))-0.002658*(M18*J18)+0.07693*(J18/G18*100)))</f>
        <v/>
      </c>
      <c r="O18" s="53">
        <f>IF(N18="","Ei tiedossa",IF(N18&lt;-1,"Varhainen",IF(N18&lt;0.5,"PHV-huippu","Post-PHV")))</f>
        <v/>
      </c>
      <c r="P18" s="54">
        <f>IF(A18="","",TODAY())</f>
        <v/>
      </c>
      <c r="Q18" s="55" t="n"/>
      <c r="R18" s="56">
        <f>IF(OR(M18="",N18=""),"",M18-N18)</f>
        <v/>
      </c>
      <c r="S18" s="57">
        <f>IF(OR(R18="",D18="",E18=""),"Ei tietoja",IF(R18&gt;=IF(E18="P",VLOOKUP(MONTH(D18),'📋 Ohjeet'!$A$50:$C$61,2,FALSE()),VLOOKUP(MONTH(D18),'📋 Ohjeet'!$A$50:$C$61,3,FALSE())),"✅ KYLLÄ","❌ EI"))</f>
        <v/>
      </c>
    </row>
    <row r="19" ht="15" customHeight="1" s="30">
      <c r="A19" s="40" t="n"/>
      <c r="B19" s="40" t="n"/>
      <c r="C19" s="40" t="n"/>
      <c r="D19" s="40" t="n"/>
      <c r="E19" s="40" t="n"/>
      <c r="F19" s="40" t="n"/>
      <c r="G19" s="41" t="n"/>
      <c r="H19" s="41" t="n"/>
      <c r="I19" s="41" t="n"/>
      <c r="J19" s="41" t="n"/>
      <c r="K19" s="41" t="n"/>
      <c r="L19" s="41" t="n"/>
      <c r="M19" s="42">
        <f>IF(D19="","",DATEDIF(D19,TODAY(),"Y")+DATEDIF(D19,TODAY(),"YM")/12)</f>
        <v/>
      </c>
      <c r="N19" s="43">
        <f>IF(OR(E19="",G19="",H19="",J19=""),"",IF(E19="P",-9.236+0.0002708*(H19+I19)*(G19-(H19+I19))-0.001663*(M19*(G19-(H19+I19)))+0.007216*(M19*(H19+I19))+0.02292*(J19/G19*100),-9.376+0.0001882*(H19+I19)*(G19-(H19+I19))+0.0022*(M19*(H19+I19))+0.005841*(M19*(H19+I19))-0.002658*(M19*J19)+0.07693*(J19/G19*100)))</f>
        <v/>
      </c>
      <c r="O19" s="44">
        <f>IF(N19="","Ei tiedossa",IF(N19&lt;-1,"Varhainen",IF(N19&lt;0.5,"PHV-huippu","Post-PHV")))</f>
        <v/>
      </c>
      <c r="P19" s="45">
        <f>IF(A19="","",TODAY())</f>
        <v/>
      </c>
      <c r="Q19" s="46" t="n"/>
      <c r="R19" s="47">
        <f>IF(OR(M19="",N19=""),"",M19-N19)</f>
        <v/>
      </c>
      <c r="S19" s="48">
        <f>IF(OR(R19="",D19="",E19=""),"Ei tietoja",IF(R19&gt;=IF(E19="P",VLOOKUP(MONTH(D19),'📋 Ohjeet'!$A$50:$C$61,2,FALSE()),VLOOKUP(MONTH(D19),'📋 Ohjeet'!$A$50:$C$61,3,FALSE())),"✅ KYLLÄ","❌ EI"))</f>
        <v/>
      </c>
    </row>
    <row r="20" ht="15" customHeight="1" s="30">
      <c r="A20" s="49" t="n"/>
      <c r="B20" s="49" t="n"/>
      <c r="C20" s="49" t="n"/>
      <c r="D20" s="49" t="n"/>
      <c r="E20" s="49" t="n"/>
      <c r="F20" s="49" t="n"/>
      <c r="G20" s="50" t="n"/>
      <c r="H20" s="50" t="n"/>
      <c r="I20" s="50" t="n"/>
      <c r="J20" s="50" t="n"/>
      <c r="K20" s="50" t="n"/>
      <c r="L20" s="50" t="n"/>
      <c r="M20" s="51">
        <f>IF(D20="","",DATEDIF(D20,TODAY(),"Y")+DATEDIF(D20,TODAY(),"YM")/12)</f>
        <v/>
      </c>
      <c r="N20" s="52">
        <f>IF(OR(E20="",G20="",H20="",J20=""),"",IF(E20="P",-9.236+0.0002708*(H20+I20)*(G20-(H20+I20))-0.001663*(M20*(G20-(H20+I20)))+0.007216*(M20*(H20+I20))+0.02292*(J20/G20*100),-9.376+0.0001882*(H20+I20)*(G20-(H20+I20))+0.0022*(M20*(H20+I20))+0.005841*(M20*(H20+I20))-0.002658*(M20*J20)+0.07693*(J20/G20*100)))</f>
        <v/>
      </c>
      <c r="O20" s="53">
        <f>IF(N20="","Ei tiedossa",IF(N20&lt;-1,"Varhainen",IF(N20&lt;0.5,"PHV-huippu","Post-PHV")))</f>
        <v/>
      </c>
      <c r="P20" s="54">
        <f>IF(A20="","",TODAY())</f>
        <v/>
      </c>
      <c r="Q20" s="55" t="n"/>
      <c r="R20" s="56">
        <f>IF(OR(M20="",N20=""),"",M20-N20)</f>
        <v/>
      </c>
      <c r="S20" s="57">
        <f>IF(OR(R20="",D20="",E20=""),"Ei tietoja",IF(R20&gt;=IF(E20="P",VLOOKUP(MONTH(D20),'📋 Ohjeet'!$A$50:$C$61,2,FALSE()),VLOOKUP(MONTH(D20),'📋 Ohjeet'!$A$50:$C$61,3,FALSE())),"✅ KYLLÄ","❌ EI"))</f>
        <v/>
      </c>
    </row>
    <row r="21" ht="15" customHeight="1" s="30">
      <c r="A21" s="40" t="n"/>
      <c r="B21" s="40" t="n"/>
      <c r="C21" s="40" t="n"/>
      <c r="D21" s="40" t="n"/>
      <c r="E21" s="40" t="n"/>
      <c r="F21" s="40" t="n"/>
      <c r="G21" s="41" t="n"/>
      <c r="H21" s="41" t="n"/>
      <c r="I21" s="41" t="n"/>
      <c r="J21" s="41" t="n"/>
      <c r="K21" s="41" t="n"/>
      <c r="L21" s="41" t="n"/>
      <c r="M21" s="42">
        <f>IF(D21="","",DATEDIF(D21,TODAY(),"Y")+DATEDIF(D21,TODAY(),"YM")/12)</f>
        <v/>
      </c>
      <c r="N21" s="43">
        <f>IF(OR(E21="",G21="",H21="",J21=""),"",IF(E21="P",-9.236+0.0002708*(H21+I21)*(G21-(H21+I21))-0.001663*(M21*(G21-(H21+I21)))+0.007216*(M21*(H21+I21))+0.02292*(J21/G21*100),-9.376+0.0001882*(H21+I21)*(G21-(H21+I21))+0.0022*(M21*(H21+I21))+0.005841*(M21*(H21+I21))-0.002658*(M21*J21)+0.07693*(J21/G21*100)))</f>
        <v/>
      </c>
      <c r="O21" s="44">
        <f>IF(N21="","Ei tiedossa",IF(N21&lt;-1,"Varhainen",IF(N21&lt;0.5,"PHV-huippu","Post-PHV")))</f>
        <v/>
      </c>
      <c r="P21" s="45">
        <f>IF(A21="","",TODAY())</f>
        <v/>
      </c>
      <c r="Q21" s="46" t="n"/>
      <c r="R21" s="47">
        <f>IF(OR(M21="",N21=""),"",M21-N21)</f>
        <v/>
      </c>
      <c r="S21" s="48">
        <f>IF(OR(R21="",D21="",E21=""),"Ei tietoja",IF(R21&gt;=IF(E21="P",VLOOKUP(MONTH(D21),'📋 Ohjeet'!$A$50:$C$61,2,FALSE()),VLOOKUP(MONTH(D21),'📋 Ohjeet'!$A$50:$C$61,3,FALSE())),"✅ KYLLÄ","❌ EI"))</f>
        <v/>
      </c>
    </row>
    <row r="22" ht="15" customHeight="1" s="30">
      <c r="A22" s="49" t="n"/>
      <c r="B22" s="49" t="n"/>
      <c r="C22" s="49" t="n"/>
      <c r="D22" s="49" t="n"/>
      <c r="E22" s="49" t="n"/>
      <c r="F22" s="49" t="n"/>
      <c r="G22" s="50" t="n"/>
      <c r="H22" s="50" t="n"/>
      <c r="I22" s="50" t="n"/>
      <c r="J22" s="50" t="n"/>
      <c r="K22" s="50" t="n"/>
      <c r="L22" s="50" t="n"/>
      <c r="M22" s="51">
        <f>IF(D22="","",DATEDIF(D22,TODAY(),"Y")+DATEDIF(D22,TODAY(),"YM")/12)</f>
        <v/>
      </c>
      <c r="N22" s="52">
        <f>IF(OR(E22="",G22="",H22="",J22=""),"",IF(E22="P",-9.236+0.0002708*(H22+I22)*(G22-(H22+I22))-0.001663*(M22*(G22-(H22+I22)))+0.007216*(M22*(H22+I22))+0.02292*(J22/G22*100),-9.376+0.0001882*(H22+I22)*(G22-(H22+I22))+0.0022*(M22*(H22+I22))+0.005841*(M22*(H22+I22))-0.002658*(M22*J22)+0.07693*(J22/G22*100)))</f>
        <v/>
      </c>
      <c r="O22" s="53">
        <f>IF(N22="","Ei tiedossa",IF(N22&lt;-1,"Varhainen",IF(N22&lt;0.5,"PHV-huippu","Post-PHV")))</f>
        <v/>
      </c>
      <c r="P22" s="54">
        <f>IF(A22="","",TODAY())</f>
        <v/>
      </c>
      <c r="Q22" s="55" t="n"/>
      <c r="R22" s="56">
        <f>IF(OR(M22="",N22=""),"",M22-N22)</f>
        <v/>
      </c>
      <c r="S22" s="57">
        <f>IF(OR(R22="",D22="",E22=""),"Ei tietoja",IF(R22&gt;=IF(E22="P",VLOOKUP(MONTH(D22),'📋 Ohjeet'!$A$50:$C$61,2,FALSE()),VLOOKUP(MONTH(D22),'📋 Ohjeet'!$A$50:$C$61,3,FALSE())),"✅ KYLLÄ","❌ EI"))</f>
        <v/>
      </c>
    </row>
    <row r="23" ht="15" customHeight="1" s="30">
      <c r="A23" s="40" t="n"/>
      <c r="B23" s="40" t="n"/>
      <c r="C23" s="40" t="n"/>
      <c r="D23" s="40" t="n"/>
      <c r="E23" s="40" t="n"/>
      <c r="F23" s="40" t="n"/>
      <c r="G23" s="41" t="n"/>
      <c r="H23" s="41" t="n"/>
      <c r="I23" s="41" t="n"/>
      <c r="J23" s="41" t="n"/>
      <c r="K23" s="41" t="n"/>
      <c r="L23" s="41" t="n"/>
      <c r="M23" s="42">
        <f>IF(D23="","",DATEDIF(D23,TODAY(),"Y")+DATEDIF(D23,TODAY(),"YM")/12)</f>
        <v/>
      </c>
      <c r="N23" s="43">
        <f>IF(OR(E23="",G23="",H23="",J23=""),"",IF(E23="P",-9.236+0.0002708*(H23+I23)*(G23-(H23+I23))-0.001663*(M23*(G23-(H23+I23)))+0.007216*(M23*(H23+I23))+0.02292*(J23/G23*100),-9.376+0.0001882*(H23+I23)*(G23-(H23+I23))+0.0022*(M23*(H23+I23))+0.005841*(M23*(H23+I23))-0.002658*(M23*J23)+0.07693*(J23/G23*100)))</f>
        <v/>
      </c>
      <c r="O23" s="44">
        <f>IF(N23="","Ei tiedossa",IF(N23&lt;-1,"Varhainen",IF(N23&lt;0.5,"PHV-huippu","Post-PHV")))</f>
        <v/>
      </c>
      <c r="P23" s="45">
        <f>IF(A23="","",TODAY())</f>
        <v/>
      </c>
      <c r="Q23" s="46" t="n"/>
      <c r="R23" s="47">
        <f>IF(OR(M23="",N23=""),"",M23-N23)</f>
        <v/>
      </c>
      <c r="S23" s="48">
        <f>IF(OR(R23="",D23="",E23=""),"Ei tietoja",IF(R23&gt;=IF(E23="P",VLOOKUP(MONTH(D23),'📋 Ohjeet'!$A$50:$C$61,2,FALSE()),VLOOKUP(MONTH(D23),'📋 Ohjeet'!$A$50:$C$61,3,FALSE())),"✅ KYLLÄ","❌ EI"))</f>
        <v/>
      </c>
    </row>
    <row r="24" ht="15" customHeight="1" s="30">
      <c r="A24" s="49" t="n"/>
      <c r="B24" s="49" t="n"/>
      <c r="C24" s="49" t="n"/>
      <c r="D24" s="49" t="n"/>
      <c r="E24" s="49" t="n"/>
      <c r="F24" s="49" t="n"/>
      <c r="G24" s="50" t="n"/>
      <c r="H24" s="50" t="n"/>
      <c r="I24" s="50" t="n"/>
      <c r="J24" s="50" t="n"/>
      <c r="K24" s="50" t="n"/>
      <c r="L24" s="50" t="n"/>
      <c r="M24" s="51">
        <f>IF(D24="","",DATEDIF(D24,TODAY(),"Y")+DATEDIF(D24,TODAY(),"YM")/12)</f>
        <v/>
      </c>
      <c r="N24" s="52">
        <f>IF(OR(E24="",G24="",H24="",J24=""),"",IF(E24="P",-9.236+0.0002708*(H24+I24)*(G24-(H24+I24))-0.001663*(M24*(G24-(H24+I24)))+0.007216*(M24*(H24+I24))+0.02292*(J24/G24*100),-9.376+0.0001882*(H24+I24)*(G24-(H24+I24))+0.0022*(M24*(H24+I24))+0.005841*(M24*(H24+I24))-0.002658*(M24*J24)+0.07693*(J24/G24*100)))</f>
        <v/>
      </c>
      <c r="O24" s="53">
        <f>IF(N24="","Ei tiedossa",IF(N24&lt;-1,"Varhainen",IF(N24&lt;0.5,"PHV-huippu","Post-PHV")))</f>
        <v/>
      </c>
      <c r="P24" s="54">
        <f>IF(A24="","",TODAY())</f>
        <v/>
      </c>
      <c r="Q24" s="55" t="n"/>
      <c r="R24" s="56">
        <f>IF(OR(M24="",N24=""),"",M24-N24)</f>
        <v/>
      </c>
      <c r="S24" s="57">
        <f>IF(OR(R24="",D24="",E24=""),"Ei tietoja",IF(R24&gt;=IF(E24="P",VLOOKUP(MONTH(D24),'📋 Ohjeet'!$A$50:$C$61,2,FALSE()),VLOOKUP(MONTH(D24),'📋 Ohjeet'!$A$50:$C$61,3,FALSE())),"✅ KYLLÄ","❌ EI"))</f>
        <v/>
      </c>
    </row>
    <row r="25" ht="15" customHeight="1" s="30">
      <c r="A25" s="40" t="n"/>
      <c r="B25" s="40" t="n"/>
      <c r="C25" s="40" t="n"/>
      <c r="D25" s="40" t="n"/>
      <c r="E25" s="40" t="n"/>
      <c r="F25" s="40" t="n"/>
      <c r="G25" s="41" t="n"/>
      <c r="H25" s="41" t="n"/>
      <c r="I25" s="41" t="n"/>
      <c r="J25" s="41" t="n"/>
      <c r="K25" s="41" t="n"/>
      <c r="L25" s="41" t="n"/>
      <c r="M25" s="42">
        <f>IF(D25="","",DATEDIF(D25,TODAY(),"Y")+DATEDIF(D25,TODAY(),"YM")/12)</f>
        <v/>
      </c>
      <c r="N25" s="43">
        <f>IF(OR(E25="",G25="",H25="",J25=""),"",IF(E25="P",-9.236+0.0002708*(H25+I25)*(G25-(H25+I25))-0.001663*(M25*(G25-(H25+I25)))+0.007216*(M25*(H25+I25))+0.02292*(J25/G25*100),-9.376+0.0001882*(H25+I25)*(G25-(H25+I25))+0.0022*(M25*(H25+I25))+0.005841*(M25*(H25+I25))-0.002658*(M25*J25)+0.07693*(J25/G25*100)))</f>
        <v/>
      </c>
      <c r="O25" s="44">
        <f>IF(N25="","Ei tiedossa",IF(N25&lt;-1,"Varhainen",IF(N25&lt;0.5,"PHV-huippu","Post-PHV")))</f>
        <v/>
      </c>
      <c r="P25" s="45">
        <f>IF(A25="","",TODAY())</f>
        <v/>
      </c>
      <c r="Q25" s="46" t="n"/>
      <c r="R25" s="47">
        <f>IF(OR(M25="",N25=""),"",M25-N25)</f>
        <v/>
      </c>
      <c r="S25" s="48">
        <f>IF(OR(R25="",D25="",E25=""),"Ei tietoja",IF(R25&gt;=IF(E25="P",VLOOKUP(MONTH(D25),'📋 Ohjeet'!$A$50:$C$61,2,FALSE()),VLOOKUP(MONTH(D25),'📋 Ohjeet'!$A$50:$C$61,3,FALSE())),"✅ KYLLÄ","❌ EI"))</f>
        <v/>
      </c>
    </row>
    <row r="26" ht="15" customHeight="1" s="30">
      <c r="A26" s="49" t="n"/>
      <c r="B26" s="49" t="n"/>
      <c r="C26" s="49" t="n"/>
      <c r="D26" s="49" t="n"/>
      <c r="E26" s="49" t="n"/>
      <c r="F26" s="49" t="n"/>
      <c r="G26" s="50" t="n"/>
      <c r="H26" s="50" t="n"/>
      <c r="I26" s="50" t="n"/>
      <c r="J26" s="50" t="n"/>
      <c r="K26" s="50" t="n"/>
      <c r="L26" s="50" t="n"/>
      <c r="M26" s="51">
        <f>IF(D26="","",DATEDIF(D26,TODAY(),"Y")+DATEDIF(D26,TODAY(),"YM")/12)</f>
        <v/>
      </c>
      <c r="N26" s="52">
        <f>IF(OR(E26="",G26="",H26="",J26=""),"",IF(E26="P",-9.236+0.0002708*(H26+I26)*(G26-(H26+I26))-0.001663*(M26*(G26-(H26+I26)))+0.007216*(M26*(H26+I26))+0.02292*(J26/G26*100),-9.376+0.0001882*(H26+I26)*(G26-(H26+I26))+0.0022*(M26*(H26+I26))+0.005841*(M26*(H26+I26))-0.002658*(M26*J26)+0.07693*(J26/G26*100)))</f>
        <v/>
      </c>
      <c r="O26" s="53">
        <f>IF(N26="","Ei tiedossa",IF(N26&lt;-1,"Varhainen",IF(N26&lt;0.5,"PHV-huippu","Post-PHV")))</f>
        <v/>
      </c>
      <c r="P26" s="54">
        <f>IF(A26="","",TODAY())</f>
        <v/>
      </c>
      <c r="Q26" s="55" t="n"/>
      <c r="R26" s="56">
        <f>IF(OR(M26="",N26=""),"",M26-N26)</f>
        <v/>
      </c>
      <c r="S26" s="57">
        <f>IF(OR(R26="",D26="",E26=""),"Ei tietoja",IF(R26&gt;=IF(E26="P",VLOOKUP(MONTH(D26),'📋 Ohjeet'!$A$50:$C$61,2,FALSE()),VLOOKUP(MONTH(D26),'📋 Ohjeet'!$A$50:$C$61,3,FALSE())),"✅ KYLLÄ","❌ EI"))</f>
        <v/>
      </c>
    </row>
    <row r="27" ht="15" customHeight="1" s="30">
      <c r="A27" s="40" t="n"/>
      <c r="B27" s="40" t="n"/>
      <c r="C27" s="40" t="n"/>
      <c r="D27" s="40" t="n"/>
      <c r="E27" s="40" t="n"/>
      <c r="F27" s="40" t="n"/>
      <c r="G27" s="41" t="n"/>
      <c r="H27" s="41" t="n"/>
      <c r="I27" s="41" t="n"/>
      <c r="J27" s="41" t="n"/>
      <c r="K27" s="41" t="n"/>
      <c r="L27" s="41" t="n"/>
      <c r="M27" s="42">
        <f>IF(D27="","",DATEDIF(D27,TODAY(),"Y")+DATEDIF(D27,TODAY(),"YM")/12)</f>
        <v/>
      </c>
      <c r="N27" s="43">
        <f>IF(OR(E27="",G27="",H27="",J27=""),"",IF(E27="P",-9.236+0.0002708*(H27+I27)*(G27-(H27+I27))-0.001663*(M27*(G27-(H27+I27)))+0.007216*(M27*(H27+I27))+0.02292*(J27/G27*100),-9.376+0.0001882*(H27+I27)*(G27-(H27+I27))+0.0022*(M27*(H27+I27))+0.005841*(M27*(H27+I27))-0.002658*(M27*J27)+0.07693*(J27/G27*100)))</f>
        <v/>
      </c>
      <c r="O27" s="44">
        <f>IF(N27="","Ei tiedossa",IF(N27&lt;-1,"Varhainen",IF(N27&lt;0.5,"PHV-huippu","Post-PHV")))</f>
        <v/>
      </c>
      <c r="P27" s="45">
        <f>IF(A27="","",TODAY())</f>
        <v/>
      </c>
      <c r="Q27" s="46" t="n"/>
      <c r="R27" s="47">
        <f>IF(OR(M27="",N27=""),"",M27-N27)</f>
        <v/>
      </c>
      <c r="S27" s="48">
        <f>IF(OR(R27="",D27="",E27=""),"Ei tietoja",IF(R27&gt;=IF(E27="P",VLOOKUP(MONTH(D27),'📋 Ohjeet'!$A$50:$C$61,2,FALSE()),VLOOKUP(MONTH(D27),'📋 Ohjeet'!$A$50:$C$61,3,FALSE())),"✅ KYLLÄ","❌ EI"))</f>
        <v/>
      </c>
    </row>
    <row r="28" ht="15" customHeight="1" s="30">
      <c r="A28" s="49" t="n"/>
      <c r="B28" s="49" t="n"/>
      <c r="C28" s="49" t="n"/>
      <c r="D28" s="49" t="n"/>
      <c r="E28" s="49" t="n"/>
      <c r="F28" s="49" t="n"/>
      <c r="G28" s="50" t="n"/>
      <c r="H28" s="50" t="n"/>
      <c r="I28" s="50" t="n"/>
      <c r="J28" s="50" t="n"/>
      <c r="K28" s="50" t="n"/>
      <c r="L28" s="50" t="n"/>
      <c r="M28" s="51">
        <f>IF(D28="","",DATEDIF(D28,TODAY(),"Y")+DATEDIF(D28,TODAY(),"YM")/12)</f>
        <v/>
      </c>
      <c r="N28" s="52">
        <f>IF(OR(E28="",G28="",H28="",J28=""),"",IF(E28="P",-9.236+0.0002708*(H28+I28)*(G28-(H28+I28))-0.001663*(M28*(G28-(H28+I28)))+0.007216*(M28*(H28+I28))+0.02292*(J28/G28*100),-9.376+0.0001882*(H28+I28)*(G28-(H28+I28))+0.0022*(M28*(H28+I28))+0.005841*(M28*(H28+I28))-0.002658*(M28*J28)+0.07693*(J28/G28*100)))</f>
        <v/>
      </c>
      <c r="O28" s="53">
        <f>IF(N28="","Ei tiedossa",IF(N28&lt;-1,"Varhainen",IF(N28&lt;0.5,"PHV-huippu","Post-PHV")))</f>
        <v/>
      </c>
      <c r="P28" s="54">
        <f>IF(A28="","",TODAY())</f>
        <v/>
      </c>
      <c r="Q28" s="55" t="n"/>
      <c r="R28" s="56">
        <f>IF(OR(M28="",N28=""),"",M28-N28)</f>
        <v/>
      </c>
      <c r="S28" s="57">
        <f>IF(OR(R28="",D28="",E28=""),"Ei tietoja",IF(R28&gt;=IF(E28="P",VLOOKUP(MONTH(D28),'📋 Ohjeet'!$A$50:$C$61,2,FALSE()),VLOOKUP(MONTH(D28),'📋 Ohjeet'!$A$50:$C$61,3,FALSE())),"✅ KYLLÄ","❌ EI"))</f>
        <v/>
      </c>
    </row>
    <row r="29" ht="15" customHeight="1" s="30">
      <c r="A29" s="40" t="n"/>
      <c r="B29" s="40" t="n"/>
      <c r="C29" s="40" t="n"/>
      <c r="D29" s="40" t="n"/>
      <c r="E29" s="40" t="n"/>
      <c r="F29" s="40" t="n"/>
      <c r="G29" s="41" t="n"/>
      <c r="H29" s="41" t="n"/>
      <c r="I29" s="41" t="n"/>
      <c r="J29" s="41" t="n"/>
      <c r="K29" s="41" t="n"/>
      <c r="L29" s="41" t="n"/>
      <c r="M29" s="42">
        <f>IF(D29="","",DATEDIF(D29,TODAY(),"Y")+DATEDIF(D29,TODAY(),"YM")/12)</f>
        <v/>
      </c>
      <c r="N29" s="43">
        <f>IF(OR(E29="",G29="",H29="",J29=""),"",IF(E29="P",-9.236+0.0002708*(H29+I29)*(G29-(H29+I29))-0.001663*(M29*(G29-(H29+I29)))+0.007216*(M29*(H29+I29))+0.02292*(J29/G29*100),-9.376+0.0001882*(H29+I29)*(G29-(H29+I29))+0.0022*(M29*(H29+I29))+0.005841*(M29*(H29+I29))-0.002658*(M29*J29)+0.07693*(J29/G29*100)))</f>
        <v/>
      </c>
      <c r="O29" s="44">
        <f>IF(N29="","Ei tiedossa",IF(N29&lt;-1,"Varhainen",IF(N29&lt;0.5,"PHV-huippu","Post-PHV")))</f>
        <v/>
      </c>
      <c r="P29" s="45">
        <f>IF(A29="","",TODAY())</f>
        <v/>
      </c>
      <c r="Q29" s="46" t="n"/>
      <c r="R29" s="47">
        <f>IF(OR(M29="",N29=""),"",M29-N29)</f>
        <v/>
      </c>
      <c r="S29" s="48">
        <f>IF(OR(R29="",D29="",E29=""),"Ei tietoja",IF(R29&gt;=IF(E29="P",VLOOKUP(MONTH(D29),'📋 Ohjeet'!$A$50:$C$61,2,FALSE()),VLOOKUP(MONTH(D29),'📋 Ohjeet'!$A$50:$C$61,3,FALSE())),"✅ KYLLÄ","❌ EI"))</f>
        <v/>
      </c>
    </row>
    <row r="30" ht="15" customHeight="1" s="30">
      <c r="A30" s="49" t="n"/>
      <c r="B30" s="49" t="n"/>
      <c r="C30" s="49" t="n"/>
      <c r="D30" s="49" t="n"/>
      <c r="E30" s="49" t="n"/>
      <c r="F30" s="49" t="n"/>
      <c r="G30" s="50" t="n"/>
      <c r="H30" s="50" t="n"/>
      <c r="I30" s="50" t="n"/>
      <c r="J30" s="50" t="n"/>
      <c r="K30" s="50" t="n"/>
      <c r="L30" s="50" t="n"/>
      <c r="M30" s="51">
        <f>IF(D30="","",DATEDIF(D30,TODAY(),"Y")+DATEDIF(D30,TODAY(),"YM")/12)</f>
        <v/>
      </c>
      <c r="N30" s="52">
        <f>IF(OR(E30="",G30="",H30="",J30=""),"",IF(E30="P",-9.236+0.0002708*(H30+I30)*(G30-(H30+I30))-0.001663*(M30*(G30-(H30+I30)))+0.007216*(M30*(H30+I30))+0.02292*(J30/G30*100),-9.376+0.0001882*(H30+I30)*(G30-(H30+I30))+0.0022*(M30*(H30+I30))+0.005841*(M30*(H30+I30))-0.002658*(M30*J30)+0.07693*(J30/G30*100)))</f>
        <v/>
      </c>
      <c r="O30" s="53">
        <f>IF(N30="","Ei tiedossa",IF(N30&lt;-1,"Varhainen",IF(N30&lt;0.5,"PHV-huippu","Post-PHV")))</f>
        <v/>
      </c>
      <c r="P30" s="54">
        <f>IF(A30="","",TODAY())</f>
        <v/>
      </c>
      <c r="Q30" s="55" t="n"/>
      <c r="R30" s="56">
        <f>IF(OR(M30="",N30=""),"",M30-N30)</f>
        <v/>
      </c>
      <c r="S30" s="57">
        <f>IF(OR(R30="",D30="",E30=""),"Ei tietoja",IF(R30&gt;=IF(E30="P",VLOOKUP(MONTH(D30),'📋 Ohjeet'!$A$50:$C$61,2,FALSE()),VLOOKUP(MONTH(D30),'📋 Ohjeet'!$A$50:$C$61,3,FALSE())),"✅ KYLLÄ","❌ EI"))</f>
        <v/>
      </c>
    </row>
    <row r="31" ht="15" customHeight="1" s="30">
      <c r="A31" s="40" t="n"/>
      <c r="B31" s="40" t="n"/>
      <c r="C31" s="40" t="n"/>
      <c r="D31" s="40" t="n"/>
      <c r="E31" s="40" t="n"/>
      <c r="F31" s="40" t="n"/>
      <c r="G31" s="41" t="n"/>
      <c r="H31" s="41" t="n"/>
      <c r="I31" s="41" t="n"/>
      <c r="J31" s="41" t="n"/>
      <c r="K31" s="41" t="n"/>
      <c r="L31" s="41" t="n"/>
      <c r="M31" s="42">
        <f>IF(D31="","",DATEDIF(D31,TODAY(),"Y")+DATEDIF(D31,TODAY(),"YM")/12)</f>
        <v/>
      </c>
      <c r="N31" s="43">
        <f>IF(OR(E31="",G31="",H31="",J31=""),"",IF(E31="P",-9.236+0.0002708*(H31+I31)*(G31-(H31+I31))-0.001663*(M31*(G31-(H31+I31)))+0.007216*(M31*(H31+I31))+0.02292*(J31/G31*100),-9.376+0.0001882*(H31+I31)*(G31-(H31+I31))+0.0022*(M31*(H31+I31))+0.005841*(M31*(H31+I31))-0.002658*(M31*J31)+0.07693*(J31/G31*100)))</f>
        <v/>
      </c>
      <c r="O31" s="44">
        <f>IF(N31="","Ei tiedossa",IF(N31&lt;-1,"Varhainen",IF(N31&lt;0.5,"PHV-huippu","Post-PHV")))</f>
        <v/>
      </c>
      <c r="P31" s="45">
        <f>IF(A31="","",TODAY())</f>
        <v/>
      </c>
      <c r="Q31" s="46" t="n"/>
      <c r="R31" s="47">
        <f>IF(OR(M31="",N31=""),"",M31-N31)</f>
        <v/>
      </c>
      <c r="S31" s="48">
        <f>IF(OR(R31="",D31="",E31=""),"Ei tietoja",IF(R31&gt;=IF(E31="P",VLOOKUP(MONTH(D31),'📋 Ohjeet'!$A$50:$C$61,2,FALSE()),VLOOKUP(MONTH(D31),'📋 Ohjeet'!$A$50:$C$61,3,FALSE())),"✅ KYLLÄ","❌ EI"))</f>
        <v/>
      </c>
    </row>
    <row r="32" ht="15" customHeight="1" s="30">
      <c r="A32" s="49" t="n"/>
      <c r="B32" s="49" t="n"/>
      <c r="C32" s="49" t="n"/>
      <c r="D32" s="49" t="n"/>
      <c r="E32" s="49" t="n"/>
      <c r="F32" s="49" t="n"/>
      <c r="G32" s="50" t="n"/>
      <c r="H32" s="50" t="n"/>
      <c r="I32" s="50" t="n"/>
      <c r="J32" s="50" t="n"/>
      <c r="K32" s="50" t="n"/>
      <c r="L32" s="50" t="n"/>
      <c r="M32" s="51">
        <f>IF(D32="","",DATEDIF(D32,TODAY(),"Y")+DATEDIF(D32,TODAY(),"YM")/12)</f>
        <v/>
      </c>
      <c r="N32" s="52">
        <f>IF(OR(E32="",G32="",H32="",J32=""),"",IF(E32="P",-9.236+0.0002708*(H32+I32)*(G32-(H32+I32))-0.001663*(M32*(G32-(H32+I32)))+0.007216*(M32*(H32+I32))+0.02292*(J32/G32*100),-9.376+0.0001882*(H32+I32)*(G32-(H32+I32))+0.0022*(M32*(H32+I32))+0.005841*(M32*(H32+I32))-0.002658*(M32*J32)+0.07693*(J32/G32*100)))</f>
        <v/>
      </c>
      <c r="O32" s="53">
        <f>IF(N32="","Ei tiedossa",IF(N32&lt;-1,"Varhainen",IF(N32&lt;0.5,"PHV-huippu","Post-PHV")))</f>
        <v/>
      </c>
      <c r="P32" s="54">
        <f>IF(A32="","",TODAY())</f>
        <v/>
      </c>
      <c r="Q32" s="55" t="n"/>
      <c r="R32" s="56">
        <f>IF(OR(M32="",N32=""),"",M32-N32)</f>
        <v/>
      </c>
      <c r="S32" s="57">
        <f>IF(OR(R32="",D32="",E32=""),"Ei tietoja",IF(R32&gt;=IF(E32="P",VLOOKUP(MONTH(D32),'📋 Ohjeet'!$A$50:$C$61,2,FALSE()),VLOOKUP(MONTH(D32),'📋 Ohjeet'!$A$50:$C$61,3,FALSE())),"✅ KYLLÄ","❌ EI"))</f>
        <v/>
      </c>
    </row>
    <row r="33" ht="15" customHeight="1" s="30">
      <c r="A33" s="40" t="n"/>
      <c r="B33" s="40" t="n"/>
      <c r="C33" s="40" t="n"/>
      <c r="D33" s="40" t="n"/>
      <c r="E33" s="40" t="n"/>
      <c r="F33" s="40" t="n"/>
      <c r="G33" s="41" t="n"/>
      <c r="H33" s="41" t="n"/>
      <c r="I33" s="41" t="n"/>
      <c r="J33" s="41" t="n"/>
      <c r="K33" s="41" t="n"/>
      <c r="L33" s="41" t="n"/>
      <c r="M33" s="42">
        <f>IF(D33="","",DATEDIF(D33,TODAY(),"Y")+DATEDIF(D33,TODAY(),"YM")/12)</f>
        <v/>
      </c>
      <c r="N33" s="43">
        <f>IF(OR(E33="",G33="",H33="",J33=""),"",IF(E33="P",-9.236+0.0002708*(H33+I33)*(G33-(H33+I33))-0.001663*(M33*(G33-(H33+I33)))+0.007216*(M33*(H33+I33))+0.02292*(J33/G33*100),-9.376+0.0001882*(H33+I33)*(G33-(H33+I33))+0.0022*(M33*(H33+I33))+0.005841*(M33*(H33+I33))-0.002658*(M33*J33)+0.07693*(J33/G33*100)))</f>
        <v/>
      </c>
      <c r="O33" s="44">
        <f>IF(N33="","Ei tiedossa",IF(N33&lt;-1,"Varhainen",IF(N33&lt;0.5,"PHV-huippu","Post-PHV")))</f>
        <v/>
      </c>
      <c r="P33" s="45">
        <f>IF(A33="","",TODAY())</f>
        <v/>
      </c>
      <c r="Q33" s="46" t="n"/>
      <c r="R33" s="47">
        <f>IF(OR(M33="",N33=""),"",M33-N33)</f>
        <v/>
      </c>
      <c r="S33" s="48">
        <f>IF(OR(R33="",D33="",E33=""),"Ei tietoja",IF(R33&gt;=IF(E33="P",VLOOKUP(MONTH(D33),'📋 Ohjeet'!$A$50:$C$61,2,FALSE()),VLOOKUP(MONTH(D33),'📋 Ohjeet'!$A$50:$C$61,3,FALSE())),"✅ KYLLÄ","❌ EI"))</f>
        <v/>
      </c>
    </row>
    <row r="34" ht="15" customHeight="1" s="30">
      <c r="A34" s="49" t="n"/>
      <c r="B34" s="49" t="n"/>
      <c r="C34" s="49" t="n"/>
      <c r="D34" s="49" t="n"/>
      <c r="E34" s="49" t="n"/>
      <c r="F34" s="49" t="n"/>
      <c r="G34" s="50" t="n"/>
      <c r="H34" s="50" t="n"/>
      <c r="I34" s="50" t="n"/>
      <c r="J34" s="50" t="n"/>
      <c r="K34" s="50" t="n"/>
      <c r="L34" s="50" t="n"/>
      <c r="M34" s="51">
        <f>IF(D34="","",DATEDIF(D34,TODAY(),"Y")+DATEDIF(D34,TODAY(),"YM")/12)</f>
        <v/>
      </c>
      <c r="N34" s="52">
        <f>IF(OR(E34="",G34="",H34="",J34=""),"",IF(E34="P",-9.236+0.0002708*(H34+I34)*(G34-(H34+I34))-0.001663*(M34*(G34-(H34+I34)))+0.007216*(M34*(H34+I34))+0.02292*(J34/G34*100),-9.376+0.0001882*(H34+I34)*(G34-(H34+I34))+0.0022*(M34*(H34+I34))+0.005841*(M34*(H34+I34))-0.002658*(M34*J34)+0.07693*(J34/G34*100)))</f>
        <v/>
      </c>
      <c r="O34" s="53">
        <f>IF(N34="","Ei tiedossa",IF(N34&lt;-1,"Varhainen",IF(N34&lt;0.5,"PHV-huippu","Post-PHV")))</f>
        <v/>
      </c>
      <c r="P34" s="54">
        <f>IF(A34="","",TODAY())</f>
        <v/>
      </c>
      <c r="Q34" s="55" t="n"/>
      <c r="R34" s="56">
        <f>IF(OR(M34="",N34=""),"",M34-N34)</f>
        <v/>
      </c>
      <c r="S34" s="57">
        <f>IF(OR(R34="",D34="",E34=""),"Ei tietoja",IF(R34&gt;=IF(E34="P",VLOOKUP(MONTH(D34),'📋 Ohjeet'!$A$50:$C$61,2,FALSE()),VLOOKUP(MONTH(D34),'📋 Ohjeet'!$A$50:$C$61,3,FALSE())),"✅ KYLLÄ","❌ EI"))</f>
        <v/>
      </c>
    </row>
    <row r="35" ht="15" customHeight="1" s="30">
      <c r="A35" s="40" t="n"/>
      <c r="B35" s="40" t="n"/>
      <c r="C35" s="40" t="n"/>
      <c r="D35" s="40" t="n"/>
      <c r="E35" s="40" t="n"/>
      <c r="F35" s="40" t="n"/>
      <c r="G35" s="41" t="n"/>
      <c r="H35" s="41" t="n"/>
      <c r="I35" s="41" t="n"/>
      <c r="J35" s="41" t="n"/>
      <c r="K35" s="41" t="n"/>
      <c r="L35" s="41" t="n"/>
      <c r="M35" s="42">
        <f>IF(D35="","",DATEDIF(D35,TODAY(),"Y")+DATEDIF(D35,TODAY(),"YM")/12)</f>
        <v/>
      </c>
      <c r="N35" s="43">
        <f>IF(OR(E35="",G35="",H35="",J35=""),"",IF(E35="P",-9.236+0.0002708*(H35+I35)*(G35-(H35+I35))-0.001663*(M35*(G35-(H35+I35)))+0.007216*(M35*(H35+I35))+0.02292*(J35/G35*100),-9.376+0.0001882*(H35+I35)*(G35-(H35+I35))+0.0022*(M35*(H35+I35))+0.005841*(M35*(H35+I35))-0.002658*(M35*J35)+0.07693*(J35/G35*100)))</f>
        <v/>
      </c>
      <c r="O35" s="44">
        <f>IF(N35="","Ei tiedossa",IF(N35&lt;-1,"Varhainen",IF(N35&lt;0.5,"PHV-huippu","Post-PHV")))</f>
        <v/>
      </c>
      <c r="P35" s="45">
        <f>IF(A35="","",TODAY())</f>
        <v/>
      </c>
      <c r="Q35" s="46" t="n"/>
      <c r="R35" s="47">
        <f>IF(OR(M35="",N35=""),"",M35-N35)</f>
        <v/>
      </c>
      <c r="S35" s="48">
        <f>IF(OR(R35="",D35="",E35=""),"Ei tietoja",IF(R35&gt;=IF(E35="P",VLOOKUP(MONTH(D35),'📋 Ohjeet'!$A$50:$C$61,2,FALSE()),VLOOKUP(MONTH(D35),'📋 Ohjeet'!$A$50:$C$61,3,FALSE())),"✅ KYLLÄ","❌ EI"))</f>
        <v/>
      </c>
    </row>
    <row r="36" ht="15" customHeight="1" s="30">
      <c r="A36" s="49" t="n"/>
      <c r="B36" s="49" t="n"/>
      <c r="C36" s="49" t="n"/>
      <c r="D36" s="49" t="n"/>
      <c r="E36" s="49" t="n"/>
      <c r="F36" s="49" t="n"/>
      <c r="G36" s="50" t="n"/>
      <c r="H36" s="50" t="n"/>
      <c r="I36" s="50" t="n"/>
      <c r="J36" s="50" t="n"/>
      <c r="K36" s="50" t="n"/>
      <c r="L36" s="50" t="n"/>
      <c r="M36" s="51">
        <f>IF(D36="","",DATEDIF(D36,TODAY(),"Y")+DATEDIF(D36,TODAY(),"YM")/12)</f>
        <v/>
      </c>
      <c r="N36" s="52">
        <f>IF(OR(E36="",G36="",H36="",J36=""),"",IF(E36="P",-9.236+0.0002708*(H36+I36)*(G36-(H36+I36))-0.001663*(M36*(G36-(H36+I36)))+0.007216*(M36*(H36+I36))+0.02292*(J36/G36*100),-9.376+0.0001882*(H36+I36)*(G36-(H36+I36))+0.0022*(M36*(H36+I36))+0.005841*(M36*(H36+I36))-0.002658*(M36*J36)+0.07693*(J36/G36*100)))</f>
        <v/>
      </c>
      <c r="O36" s="53">
        <f>IF(N36="","Ei tiedossa",IF(N36&lt;-1,"Varhainen",IF(N36&lt;0.5,"PHV-huippu","Post-PHV")))</f>
        <v/>
      </c>
      <c r="P36" s="54">
        <f>IF(A36="","",TODAY())</f>
        <v/>
      </c>
      <c r="Q36" s="55" t="n"/>
      <c r="R36" s="56">
        <f>IF(OR(M36="",N36=""),"",M36-N36)</f>
        <v/>
      </c>
      <c r="S36" s="57">
        <f>IF(OR(R36="",D36="",E36=""),"Ei tietoja",IF(R36&gt;=IF(E36="P",VLOOKUP(MONTH(D36),'📋 Ohjeet'!$A$50:$C$61,2,FALSE()),VLOOKUP(MONTH(D36),'📋 Ohjeet'!$A$50:$C$61,3,FALSE())),"✅ KYLLÄ","❌ EI"))</f>
        <v/>
      </c>
    </row>
    <row r="37" ht="15" customHeight="1" s="30">
      <c r="A37" s="40" t="n"/>
      <c r="B37" s="40" t="n"/>
      <c r="C37" s="40" t="n"/>
      <c r="D37" s="40" t="n"/>
      <c r="E37" s="40" t="n"/>
      <c r="F37" s="40" t="n"/>
      <c r="G37" s="41" t="n"/>
      <c r="H37" s="41" t="n"/>
      <c r="I37" s="41" t="n"/>
      <c r="J37" s="41" t="n"/>
      <c r="K37" s="41" t="n"/>
      <c r="L37" s="41" t="n"/>
      <c r="M37" s="42">
        <f>IF(D37="","",DATEDIF(D37,TODAY(),"Y")+DATEDIF(D37,TODAY(),"YM")/12)</f>
        <v/>
      </c>
      <c r="N37" s="43">
        <f>IF(OR(E37="",G37="",H37="",J37=""),"",IF(E37="P",-9.236+0.0002708*(H37+I37)*(G37-(H37+I37))-0.001663*(M37*(G37-(H37+I37)))+0.007216*(M37*(H37+I37))+0.02292*(J37/G37*100),-9.376+0.0001882*(H37+I37)*(G37-(H37+I37))+0.0022*(M37*(H37+I37))+0.005841*(M37*(H37+I37))-0.002658*(M37*J37)+0.07693*(J37/G37*100)))</f>
        <v/>
      </c>
      <c r="O37" s="44">
        <f>IF(N37="","Ei tiedossa",IF(N37&lt;-1,"Varhainen",IF(N37&lt;0.5,"PHV-huippu","Post-PHV")))</f>
        <v/>
      </c>
      <c r="P37" s="45">
        <f>IF(A37="","",TODAY())</f>
        <v/>
      </c>
      <c r="Q37" s="46" t="n"/>
      <c r="R37" s="47">
        <f>IF(OR(M37="",N37=""),"",M37-N37)</f>
        <v/>
      </c>
      <c r="S37" s="48">
        <f>IF(OR(R37="",D37="",E37=""),"Ei tietoja",IF(R37&gt;=IF(E37="P",VLOOKUP(MONTH(D37),'📋 Ohjeet'!$A$50:$C$61,2,FALSE()),VLOOKUP(MONTH(D37),'📋 Ohjeet'!$A$50:$C$61,3,FALSE())),"✅ KYLLÄ","❌ EI"))</f>
        <v/>
      </c>
    </row>
    <row r="38" ht="15" customHeight="1" s="30">
      <c r="A38" s="49" t="n"/>
      <c r="B38" s="49" t="n"/>
      <c r="C38" s="49" t="n"/>
      <c r="D38" s="49" t="n"/>
      <c r="E38" s="49" t="n"/>
      <c r="F38" s="49" t="n"/>
      <c r="G38" s="50" t="n"/>
      <c r="H38" s="50" t="n"/>
      <c r="I38" s="50" t="n"/>
      <c r="J38" s="50" t="n"/>
      <c r="K38" s="50" t="n"/>
      <c r="L38" s="50" t="n"/>
      <c r="M38" s="51">
        <f>IF(D38="","",DATEDIF(D38,TODAY(),"Y")+DATEDIF(D38,TODAY(),"YM")/12)</f>
        <v/>
      </c>
      <c r="N38" s="52">
        <f>IF(OR(E38="",G38="",H38="",J38=""),"",IF(E38="P",-9.236+0.0002708*(H38+I38)*(G38-(H38+I38))-0.001663*(M38*(G38-(H38+I38)))+0.007216*(M38*(H38+I38))+0.02292*(J38/G38*100),-9.376+0.0001882*(H38+I38)*(G38-(H38+I38))+0.0022*(M38*(H38+I38))+0.005841*(M38*(H38+I38))-0.002658*(M38*J38)+0.07693*(J38/G38*100)))</f>
        <v/>
      </c>
      <c r="O38" s="53">
        <f>IF(N38="","Ei tiedossa",IF(N38&lt;-1,"Varhainen",IF(N38&lt;0.5,"PHV-huippu","Post-PHV")))</f>
        <v/>
      </c>
      <c r="P38" s="54">
        <f>IF(A38="","",TODAY())</f>
        <v/>
      </c>
      <c r="Q38" s="55" t="n"/>
      <c r="R38" s="56">
        <f>IF(OR(M38="",N38=""),"",M38-N38)</f>
        <v/>
      </c>
      <c r="S38" s="57">
        <f>IF(OR(R38="",D38="",E38=""),"Ei tietoja",IF(R38&gt;=IF(E38="P",VLOOKUP(MONTH(D38),'📋 Ohjeet'!$A$50:$C$61,2,FALSE()),VLOOKUP(MONTH(D38),'📋 Ohjeet'!$A$50:$C$61,3,FALSE())),"✅ KYLLÄ","❌ EI"))</f>
        <v/>
      </c>
    </row>
    <row r="39" ht="15" customHeight="1" s="30">
      <c r="A39" s="40" t="n"/>
      <c r="B39" s="40" t="n"/>
      <c r="C39" s="40" t="n"/>
      <c r="D39" s="40" t="n"/>
      <c r="E39" s="40" t="n"/>
      <c r="F39" s="40" t="n"/>
      <c r="G39" s="41" t="n"/>
      <c r="H39" s="41" t="n"/>
      <c r="I39" s="41" t="n"/>
      <c r="J39" s="41" t="n"/>
      <c r="K39" s="41" t="n"/>
      <c r="L39" s="41" t="n"/>
      <c r="M39" s="42">
        <f>IF(D39="","",DATEDIF(D39,TODAY(),"Y")+DATEDIF(D39,TODAY(),"YM")/12)</f>
        <v/>
      </c>
      <c r="N39" s="43">
        <f>IF(OR(E39="",G39="",H39="",J39=""),"",IF(E39="P",-9.236+0.0002708*(H39+I39)*(G39-(H39+I39))-0.001663*(M39*(G39-(H39+I39)))+0.007216*(M39*(H39+I39))+0.02292*(J39/G39*100),-9.376+0.0001882*(H39+I39)*(G39-(H39+I39))+0.0022*(M39*(H39+I39))+0.005841*(M39*(H39+I39))-0.002658*(M39*J39)+0.07693*(J39/G39*100)))</f>
        <v/>
      </c>
      <c r="O39" s="44">
        <f>IF(N39="","Ei tiedossa",IF(N39&lt;-1,"Varhainen",IF(N39&lt;0.5,"PHV-huippu","Post-PHV")))</f>
        <v/>
      </c>
      <c r="P39" s="45">
        <f>IF(A39="","",TODAY())</f>
        <v/>
      </c>
      <c r="Q39" s="46" t="n"/>
      <c r="R39" s="47">
        <f>IF(OR(M39="",N39=""),"",M39-N39)</f>
        <v/>
      </c>
      <c r="S39" s="48">
        <f>IF(OR(R39="",D39="",E39=""),"Ei tietoja",IF(R39&gt;=IF(E39="P",VLOOKUP(MONTH(D39),'📋 Ohjeet'!$A$50:$C$61,2,FALSE()),VLOOKUP(MONTH(D39),'📋 Ohjeet'!$A$50:$C$61,3,FALSE())),"✅ KYLLÄ","❌ EI"))</f>
        <v/>
      </c>
    </row>
    <row r="40" ht="15" customHeight="1" s="30">
      <c r="A40" s="49" t="n"/>
      <c r="B40" s="49" t="n"/>
      <c r="C40" s="49" t="n"/>
      <c r="D40" s="49" t="n"/>
      <c r="E40" s="49" t="n"/>
      <c r="F40" s="49" t="n"/>
      <c r="G40" s="50" t="n"/>
      <c r="H40" s="50" t="n"/>
      <c r="I40" s="50" t="n"/>
      <c r="J40" s="50" t="n"/>
      <c r="K40" s="50" t="n"/>
      <c r="L40" s="50" t="n"/>
      <c r="M40" s="51">
        <f>IF(D40="","",DATEDIF(D40,TODAY(),"Y")+DATEDIF(D40,TODAY(),"YM")/12)</f>
        <v/>
      </c>
      <c r="N40" s="52">
        <f>IF(OR(E40="",G40="",H40="",J40=""),"",IF(E40="P",-9.236+0.0002708*(H40+I40)*(G40-(H40+I40))-0.001663*(M40*(G40-(H40+I40)))+0.007216*(M40*(H40+I40))+0.02292*(J40/G40*100),-9.376+0.0001882*(H40+I40)*(G40-(H40+I40))+0.0022*(M40*(H40+I40))+0.005841*(M40*(H40+I40))-0.002658*(M40*J40)+0.07693*(J40/G40*100)))</f>
        <v/>
      </c>
      <c r="O40" s="53">
        <f>IF(N40="","Ei tiedossa",IF(N40&lt;-1,"Varhainen",IF(N40&lt;0.5,"PHV-huippu","Post-PHV")))</f>
        <v/>
      </c>
      <c r="P40" s="54">
        <f>IF(A40="","",TODAY())</f>
        <v/>
      </c>
      <c r="Q40" s="55" t="n"/>
      <c r="R40" s="56">
        <f>IF(OR(M40="",N40=""),"",M40-N40)</f>
        <v/>
      </c>
      <c r="S40" s="57">
        <f>IF(OR(R40="",D40="",E40=""),"Ei tietoja",IF(R40&gt;=IF(E40="P",VLOOKUP(MONTH(D40),'📋 Ohjeet'!$A$50:$C$61,2,FALSE()),VLOOKUP(MONTH(D40),'📋 Ohjeet'!$A$50:$C$61,3,FALSE())),"✅ KYLLÄ","❌ EI"))</f>
        <v/>
      </c>
    </row>
    <row r="41" ht="15" customHeight="1" s="30">
      <c r="A41" s="40" t="n"/>
      <c r="B41" s="40" t="n"/>
      <c r="C41" s="40" t="n"/>
      <c r="D41" s="40" t="n"/>
      <c r="E41" s="40" t="n"/>
      <c r="F41" s="40" t="n"/>
      <c r="G41" s="41" t="n"/>
      <c r="H41" s="41" t="n"/>
      <c r="I41" s="41" t="n"/>
      <c r="J41" s="41" t="n"/>
      <c r="K41" s="41" t="n"/>
      <c r="L41" s="41" t="n"/>
      <c r="M41" s="42">
        <f>IF(D41="","",DATEDIF(D41,TODAY(),"Y")+DATEDIF(D41,TODAY(),"YM")/12)</f>
        <v/>
      </c>
      <c r="N41" s="43">
        <f>IF(OR(E41="",G41="",H41="",J41=""),"",IF(E41="P",-9.236+0.0002708*(H41+I41)*(G41-(H41+I41))-0.001663*(M41*(G41-(H41+I41)))+0.007216*(M41*(H41+I41))+0.02292*(J41/G41*100),-9.376+0.0001882*(H41+I41)*(G41-(H41+I41))+0.0022*(M41*(H41+I41))+0.005841*(M41*(H41+I41))-0.002658*(M41*J41)+0.07693*(J41/G41*100)))</f>
        <v/>
      </c>
      <c r="O41" s="44">
        <f>IF(N41="","Ei tiedossa",IF(N41&lt;-1,"Varhainen",IF(N41&lt;0.5,"PHV-huippu","Post-PHV")))</f>
        <v/>
      </c>
      <c r="P41" s="45">
        <f>IF(A41="","",TODAY())</f>
        <v/>
      </c>
      <c r="Q41" s="46" t="n"/>
      <c r="R41" s="47">
        <f>IF(OR(M41="",N41=""),"",M41-N41)</f>
        <v/>
      </c>
      <c r="S41" s="48">
        <f>IF(OR(R41="",D41="",E41=""),"Ei tietoja",IF(R41&gt;=IF(E41="P",VLOOKUP(MONTH(D41),'📋 Ohjeet'!$A$50:$C$61,2,FALSE()),VLOOKUP(MONTH(D41),'📋 Ohjeet'!$A$50:$C$61,3,FALSE())),"✅ KYLLÄ","❌ EI"))</f>
        <v/>
      </c>
    </row>
    <row r="42" ht="15" customHeight="1" s="30">
      <c r="A42" s="49" t="n"/>
      <c r="B42" s="49" t="n"/>
      <c r="C42" s="49" t="n"/>
      <c r="D42" s="49" t="n"/>
      <c r="E42" s="49" t="n"/>
      <c r="F42" s="49" t="n"/>
      <c r="G42" s="50" t="n"/>
      <c r="H42" s="50" t="n"/>
      <c r="I42" s="50" t="n"/>
      <c r="J42" s="50" t="n"/>
      <c r="K42" s="50" t="n"/>
      <c r="L42" s="50" t="n"/>
      <c r="M42" s="51">
        <f>IF(D42="","",DATEDIF(D42,TODAY(),"Y")+DATEDIF(D42,TODAY(),"YM")/12)</f>
        <v/>
      </c>
      <c r="N42" s="52">
        <f>IF(OR(E42="",G42="",H42="",J42=""),"",IF(E42="P",-9.236+0.0002708*(H42+I42)*(G42-(H42+I42))-0.001663*(M42*(G42-(H42+I42)))+0.007216*(M42*(H42+I42))+0.02292*(J42/G42*100),-9.376+0.0001882*(H42+I42)*(G42-(H42+I42))+0.0022*(M42*(H42+I42))+0.005841*(M42*(H42+I42))-0.002658*(M42*J42)+0.07693*(J42/G42*100)))</f>
        <v/>
      </c>
      <c r="O42" s="53">
        <f>IF(N42="","Ei tiedossa",IF(N42&lt;-1,"Varhainen",IF(N42&lt;0.5,"PHV-huippu","Post-PHV")))</f>
        <v/>
      </c>
      <c r="P42" s="54">
        <f>IF(A42="","",TODAY())</f>
        <v/>
      </c>
      <c r="Q42" s="55" t="n"/>
      <c r="R42" s="56">
        <f>IF(OR(M42="",N42=""),"",M42-N42)</f>
        <v/>
      </c>
      <c r="S42" s="57">
        <f>IF(OR(R42="",D42="",E42=""),"Ei tietoja",IF(R42&gt;=IF(E42="P",VLOOKUP(MONTH(D42),'📋 Ohjeet'!$A$50:$C$61,2,FALSE()),VLOOKUP(MONTH(D42),'📋 Ohjeet'!$A$50:$C$61,3,FALSE())),"✅ KYLLÄ","❌ EI"))</f>
        <v/>
      </c>
    </row>
    <row r="43" ht="15" customHeight="1" s="30">
      <c r="A43" s="40" t="n"/>
      <c r="B43" s="40" t="n"/>
      <c r="C43" s="40" t="n"/>
      <c r="D43" s="40" t="n"/>
      <c r="E43" s="40" t="n"/>
      <c r="F43" s="40" t="n"/>
      <c r="G43" s="41" t="n"/>
      <c r="H43" s="41" t="n"/>
      <c r="I43" s="41" t="n"/>
      <c r="J43" s="41" t="n"/>
      <c r="K43" s="41" t="n"/>
      <c r="L43" s="41" t="n"/>
      <c r="M43" s="42">
        <f>IF(D43="","",DATEDIF(D43,TODAY(),"Y")+DATEDIF(D43,TODAY(),"YM")/12)</f>
        <v/>
      </c>
      <c r="N43" s="43">
        <f>IF(OR(E43="",G43="",H43="",J43=""),"",IF(E43="P",-9.236+0.0002708*(H43+I43)*(G43-(H43+I43))-0.001663*(M43*(G43-(H43+I43)))+0.007216*(M43*(H43+I43))+0.02292*(J43/G43*100),-9.376+0.0001882*(H43+I43)*(G43-(H43+I43))+0.0022*(M43*(H43+I43))+0.005841*(M43*(H43+I43))-0.002658*(M43*J43)+0.07693*(J43/G43*100)))</f>
        <v/>
      </c>
      <c r="O43" s="44">
        <f>IF(N43="","Ei tiedossa",IF(N43&lt;-1,"Varhainen",IF(N43&lt;0.5,"PHV-huippu","Post-PHV")))</f>
        <v/>
      </c>
      <c r="P43" s="45">
        <f>IF(A43="","",TODAY())</f>
        <v/>
      </c>
      <c r="Q43" s="46" t="n"/>
      <c r="R43" s="47">
        <f>IF(OR(M43="",N43=""),"",M43-N43)</f>
        <v/>
      </c>
      <c r="S43" s="48">
        <f>IF(OR(R43="",D43="",E43=""),"Ei tietoja",IF(R43&gt;=IF(E43="P",VLOOKUP(MONTH(D43),'📋 Ohjeet'!$A$50:$C$61,2,FALSE()),VLOOKUP(MONTH(D43),'📋 Ohjeet'!$A$50:$C$61,3,FALSE())),"✅ KYLLÄ","❌ EI"))</f>
        <v/>
      </c>
    </row>
    <row r="44" ht="15" customHeight="1" s="30">
      <c r="A44" s="49" t="n"/>
      <c r="B44" s="49" t="n"/>
      <c r="C44" s="49" t="n"/>
      <c r="D44" s="49" t="n"/>
      <c r="E44" s="49" t="n"/>
      <c r="F44" s="49" t="n"/>
      <c r="G44" s="50" t="n"/>
      <c r="H44" s="50" t="n"/>
      <c r="I44" s="50" t="n"/>
      <c r="J44" s="50" t="n"/>
      <c r="K44" s="50" t="n"/>
      <c r="L44" s="50" t="n"/>
      <c r="M44" s="51">
        <f>IF(D44="","",DATEDIF(D44,TODAY(),"Y")+DATEDIF(D44,TODAY(),"YM")/12)</f>
        <v/>
      </c>
      <c r="N44" s="52">
        <f>IF(OR(E44="",G44="",H44="",J44=""),"",IF(E44="P",-9.236+0.0002708*(H44+I44)*(G44-(H44+I44))-0.001663*(M44*(G44-(H44+I44)))+0.007216*(M44*(H44+I44))+0.02292*(J44/G44*100),-9.376+0.0001882*(H44+I44)*(G44-(H44+I44))+0.0022*(M44*(H44+I44))+0.005841*(M44*(H44+I44))-0.002658*(M44*J44)+0.07693*(J44/G44*100)))</f>
        <v/>
      </c>
      <c r="O44" s="53">
        <f>IF(N44="","Ei tiedossa",IF(N44&lt;-1,"Varhainen",IF(N44&lt;0.5,"PHV-huippu","Post-PHV")))</f>
        <v/>
      </c>
      <c r="P44" s="54">
        <f>IF(A44="","",TODAY())</f>
        <v/>
      </c>
      <c r="Q44" s="55" t="n"/>
      <c r="R44" s="56">
        <f>IF(OR(M44="",N44=""),"",M44-N44)</f>
        <v/>
      </c>
      <c r="S44" s="57">
        <f>IF(OR(R44="",D44="",E44=""),"Ei tietoja",IF(R44&gt;=IF(E44="P",VLOOKUP(MONTH(D44),'📋 Ohjeet'!$A$50:$C$61,2,FALSE()),VLOOKUP(MONTH(D44),'📋 Ohjeet'!$A$50:$C$61,3,FALSE())),"✅ KYLLÄ","❌ EI"))</f>
        <v/>
      </c>
    </row>
    <row r="45" ht="15" customHeight="1" s="30">
      <c r="A45" s="40" t="n"/>
      <c r="B45" s="40" t="n"/>
      <c r="C45" s="40" t="n"/>
      <c r="D45" s="40" t="n"/>
      <c r="E45" s="40" t="n"/>
      <c r="F45" s="40" t="n"/>
      <c r="G45" s="41" t="n"/>
      <c r="H45" s="41" t="n"/>
      <c r="I45" s="41" t="n"/>
      <c r="J45" s="41" t="n"/>
      <c r="K45" s="41" t="n"/>
      <c r="L45" s="41" t="n"/>
      <c r="M45" s="42">
        <f>IF(D45="","",DATEDIF(D45,TODAY(),"Y")+DATEDIF(D45,TODAY(),"YM")/12)</f>
        <v/>
      </c>
      <c r="N45" s="43">
        <f>IF(OR(E45="",G45="",H45="",J45=""),"",IF(E45="P",-9.236+0.0002708*(H45+I45)*(G45-(H45+I45))-0.001663*(M45*(G45-(H45+I45)))+0.007216*(M45*(H45+I45))+0.02292*(J45/G45*100),-9.376+0.0001882*(H45+I45)*(G45-(H45+I45))+0.0022*(M45*(H45+I45))+0.005841*(M45*(H45+I45))-0.002658*(M45*J45)+0.07693*(J45/G45*100)))</f>
        <v/>
      </c>
      <c r="O45" s="44">
        <f>IF(N45="","Ei tiedossa",IF(N45&lt;-1,"Varhainen",IF(N45&lt;0.5,"PHV-huippu","Post-PHV")))</f>
        <v/>
      </c>
      <c r="P45" s="45">
        <f>IF(A45="","",TODAY())</f>
        <v/>
      </c>
      <c r="Q45" s="46" t="n"/>
      <c r="R45" s="47">
        <f>IF(OR(M45="",N45=""),"",M45-N45)</f>
        <v/>
      </c>
      <c r="S45" s="48">
        <f>IF(OR(R45="",D45="",E45=""),"Ei tietoja",IF(R45&gt;=IF(E45="P",VLOOKUP(MONTH(D45),'📋 Ohjeet'!$A$50:$C$61,2,FALSE()),VLOOKUP(MONTH(D45),'📋 Ohjeet'!$A$50:$C$61,3,FALSE())),"✅ KYLLÄ","❌ EI"))</f>
        <v/>
      </c>
    </row>
    <row r="46" ht="15" customHeight="1" s="30">
      <c r="A46" s="49" t="n"/>
      <c r="B46" s="49" t="n"/>
      <c r="C46" s="49" t="n"/>
      <c r="D46" s="49" t="n"/>
      <c r="E46" s="49" t="n"/>
      <c r="F46" s="49" t="n"/>
      <c r="G46" s="50" t="n"/>
      <c r="H46" s="50" t="n"/>
      <c r="I46" s="50" t="n"/>
      <c r="J46" s="50" t="n"/>
      <c r="K46" s="50" t="n"/>
      <c r="L46" s="50" t="n"/>
      <c r="M46" s="51">
        <f>IF(D46="","",DATEDIF(D46,TODAY(),"Y")+DATEDIF(D46,TODAY(),"YM")/12)</f>
        <v/>
      </c>
      <c r="N46" s="52">
        <f>IF(OR(E46="",G46="",H46="",J46=""),"",IF(E46="P",-9.236+0.0002708*(H46+I46)*(G46-(H46+I46))-0.001663*(M46*(G46-(H46+I46)))+0.007216*(M46*(H46+I46))+0.02292*(J46/G46*100),-9.376+0.0001882*(H46+I46)*(G46-(H46+I46))+0.0022*(M46*(H46+I46))+0.005841*(M46*(H46+I46))-0.002658*(M46*J46)+0.07693*(J46/G46*100)))</f>
        <v/>
      </c>
      <c r="O46" s="53">
        <f>IF(N46="","Ei tiedossa",IF(N46&lt;-1,"Varhainen",IF(N46&lt;0.5,"PHV-huippu","Post-PHV")))</f>
        <v/>
      </c>
      <c r="P46" s="54">
        <f>IF(A46="","",TODAY())</f>
        <v/>
      </c>
      <c r="Q46" s="55" t="n"/>
      <c r="R46" s="56">
        <f>IF(OR(M46="",N46=""),"",M46-N46)</f>
        <v/>
      </c>
      <c r="S46" s="57">
        <f>IF(OR(R46="",D46="",E46=""),"Ei tietoja",IF(R46&gt;=IF(E46="P",VLOOKUP(MONTH(D46),'📋 Ohjeet'!$A$50:$C$61,2,FALSE()),VLOOKUP(MONTH(D46),'📋 Ohjeet'!$A$50:$C$61,3,FALSE())),"✅ KYLLÄ","❌ EI"))</f>
        <v/>
      </c>
    </row>
    <row r="47" ht="15" customHeight="1" s="30">
      <c r="A47" s="40" t="n"/>
      <c r="B47" s="40" t="n"/>
      <c r="C47" s="40" t="n"/>
      <c r="D47" s="40" t="n"/>
      <c r="E47" s="40" t="n"/>
      <c r="F47" s="40" t="n"/>
      <c r="G47" s="41" t="n"/>
      <c r="H47" s="41" t="n"/>
      <c r="I47" s="41" t="n"/>
      <c r="J47" s="41" t="n"/>
      <c r="K47" s="41" t="n"/>
      <c r="L47" s="41" t="n"/>
      <c r="M47" s="42">
        <f>IF(D47="","",DATEDIF(D47,TODAY(),"Y")+DATEDIF(D47,TODAY(),"YM")/12)</f>
        <v/>
      </c>
      <c r="N47" s="43">
        <f>IF(OR(E47="",G47="",H47="",J47=""),"",IF(E47="P",-9.236+0.0002708*(H47+I47)*(G47-(H47+I47))-0.001663*(M47*(G47-(H47+I47)))+0.007216*(M47*(H47+I47))+0.02292*(J47/G47*100),-9.376+0.0001882*(H47+I47)*(G47-(H47+I47))+0.0022*(M47*(H47+I47))+0.005841*(M47*(H47+I47))-0.002658*(M47*J47)+0.07693*(J47/G47*100)))</f>
        <v/>
      </c>
      <c r="O47" s="44">
        <f>IF(N47="","Ei tiedossa",IF(N47&lt;-1,"Varhainen",IF(N47&lt;0.5,"PHV-huippu","Post-PHV")))</f>
        <v/>
      </c>
      <c r="P47" s="45">
        <f>IF(A47="","",TODAY())</f>
        <v/>
      </c>
      <c r="Q47" s="46" t="n"/>
      <c r="R47" s="47">
        <f>IF(OR(M47="",N47=""),"",M47-N47)</f>
        <v/>
      </c>
      <c r="S47" s="48">
        <f>IF(OR(R47="",D47="",E47=""),"Ei tietoja",IF(R47&gt;=IF(E47="P",VLOOKUP(MONTH(D47),'📋 Ohjeet'!$A$50:$C$61,2,FALSE()),VLOOKUP(MONTH(D47),'📋 Ohjeet'!$A$50:$C$61,3,FALSE())),"✅ KYLLÄ","❌ EI"))</f>
        <v/>
      </c>
    </row>
    <row r="48" ht="15" customHeight="1" s="30">
      <c r="A48" s="49" t="n"/>
      <c r="B48" s="49" t="n"/>
      <c r="C48" s="49" t="n"/>
      <c r="D48" s="49" t="n"/>
      <c r="E48" s="49" t="n"/>
      <c r="F48" s="49" t="n"/>
      <c r="G48" s="50" t="n"/>
      <c r="H48" s="50" t="n"/>
      <c r="I48" s="50" t="n"/>
      <c r="J48" s="50" t="n"/>
      <c r="K48" s="50" t="n"/>
      <c r="L48" s="50" t="n"/>
      <c r="M48" s="51">
        <f>IF(D48="","",DATEDIF(D48,TODAY(),"Y")+DATEDIF(D48,TODAY(),"YM")/12)</f>
        <v/>
      </c>
      <c r="N48" s="52">
        <f>IF(OR(E48="",G48="",H48="",J48=""),"",IF(E48="P",-9.236+0.0002708*(H48+I48)*(G48-(H48+I48))-0.001663*(M48*(G48-(H48+I48)))+0.007216*(M48*(H48+I48))+0.02292*(J48/G48*100),-9.376+0.0001882*(H48+I48)*(G48-(H48+I48))+0.0022*(M48*(H48+I48))+0.005841*(M48*(H48+I48))-0.002658*(M48*J48)+0.07693*(J48/G48*100)))</f>
        <v/>
      </c>
      <c r="O48" s="53">
        <f>IF(N48="","Ei tiedossa",IF(N48&lt;-1,"Varhainen",IF(N48&lt;0.5,"PHV-huippu","Post-PHV")))</f>
        <v/>
      </c>
      <c r="P48" s="54">
        <f>IF(A48="","",TODAY())</f>
        <v/>
      </c>
      <c r="Q48" s="55" t="n"/>
      <c r="R48" s="56">
        <f>IF(OR(M48="",N48=""),"",M48-N48)</f>
        <v/>
      </c>
      <c r="S48" s="57">
        <f>IF(OR(R48="",D48="",E48=""),"Ei tietoja",IF(R48&gt;=IF(E48="P",VLOOKUP(MONTH(D48),'📋 Ohjeet'!$A$50:$C$61,2,FALSE()),VLOOKUP(MONTH(D48),'📋 Ohjeet'!$A$50:$C$61,3,FALSE())),"✅ KYLLÄ","❌ EI"))</f>
        <v/>
      </c>
    </row>
    <row r="49" ht="15" customHeight="1" s="30">
      <c r="A49" s="40" t="n"/>
      <c r="B49" s="40" t="n"/>
      <c r="C49" s="40" t="n"/>
      <c r="D49" s="40" t="n"/>
      <c r="E49" s="40" t="n"/>
      <c r="F49" s="40" t="n"/>
      <c r="G49" s="41" t="n"/>
      <c r="H49" s="41" t="n"/>
      <c r="I49" s="41" t="n"/>
      <c r="J49" s="41" t="n"/>
      <c r="K49" s="41" t="n"/>
      <c r="L49" s="41" t="n"/>
      <c r="M49" s="42">
        <f>IF(D49="","",DATEDIF(D49,TODAY(),"Y")+DATEDIF(D49,TODAY(),"YM")/12)</f>
        <v/>
      </c>
      <c r="N49" s="43">
        <f>IF(OR(E49="",G49="",H49="",J49=""),"",IF(E49="P",-9.236+0.0002708*(H49+I49)*(G49-(H49+I49))-0.001663*(M49*(G49-(H49+I49)))+0.007216*(M49*(H49+I49))+0.02292*(J49/G49*100),-9.376+0.0001882*(H49+I49)*(G49-(H49+I49))+0.0022*(M49*(H49+I49))+0.005841*(M49*(H49+I49))-0.002658*(M49*J49)+0.07693*(J49/G49*100)))</f>
        <v/>
      </c>
      <c r="O49" s="44">
        <f>IF(N49="","Ei tiedossa",IF(N49&lt;-1,"Varhainen",IF(N49&lt;0.5,"PHV-huippu","Post-PHV")))</f>
        <v/>
      </c>
      <c r="P49" s="45">
        <f>IF(A49="","",TODAY())</f>
        <v/>
      </c>
      <c r="Q49" s="46" t="n"/>
      <c r="R49" s="47">
        <f>IF(OR(M49="",N49=""),"",M49-N49)</f>
        <v/>
      </c>
      <c r="S49" s="48">
        <f>IF(OR(R49="",D49="",E49=""),"Ei tietoja",IF(R49&gt;=IF(E49="P",VLOOKUP(MONTH(D49),'📋 Ohjeet'!$A$50:$C$61,2,FALSE()),VLOOKUP(MONTH(D49),'📋 Ohjeet'!$A$50:$C$61,3,FALSE())),"✅ KYLLÄ","❌ EI"))</f>
        <v/>
      </c>
    </row>
    <row r="50" ht="15" customHeight="1" s="30">
      <c r="A50" s="49" t="n"/>
      <c r="B50" s="49" t="n"/>
      <c r="C50" s="49" t="n"/>
      <c r="D50" s="49" t="n"/>
      <c r="E50" s="49" t="n"/>
      <c r="F50" s="49" t="n"/>
      <c r="G50" s="50" t="n"/>
      <c r="H50" s="50" t="n"/>
      <c r="I50" s="50" t="n"/>
      <c r="J50" s="50" t="n"/>
      <c r="K50" s="50" t="n"/>
      <c r="L50" s="50" t="n"/>
      <c r="M50" s="51">
        <f>IF(D50="","",DATEDIF(D50,TODAY(),"Y")+DATEDIF(D50,TODAY(),"YM")/12)</f>
        <v/>
      </c>
      <c r="N50" s="52">
        <f>IF(OR(E50="",G50="",H50="",J50=""),"",IF(E50="P",-9.236+0.0002708*(H50+I50)*(G50-(H50+I50))-0.001663*(M50*(G50-(H50+I50)))+0.007216*(M50*(H50+I50))+0.02292*(J50/G50*100),-9.376+0.0001882*(H50+I50)*(G50-(H50+I50))+0.0022*(M50*(H50+I50))+0.005841*(M50*(H50+I50))-0.002658*(M50*J50)+0.07693*(J50/G50*100)))</f>
        <v/>
      </c>
      <c r="O50" s="53">
        <f>IF(N50="","Ei tiedossa",IF(N50&lt;-1,"Varhainen",IF(N50&lt;0.5,"PHV-huippu","Post-PHV")))</f>
        <v/>
      </c>
      <c r="P50" s="54">
        <f>IF(A50="","",TODAY())</f>
        <v/>
      </c>
      <c r="Q50" s="55" t="n"/>
      <c r="R50" s="56">
        <f>IF(OR(M50="",N50=""),"",M50-N50)</f>
        <v/>
      </c>
      <c r="S50" s="57">
        <f>IF(OR(R50="",D50="",E50=""),"Ei tietoja",IF(R50&gt;=IF(E50="P",VLOOKUP(MONTH(D50),'📋 Ohjeet'!$A$50:$C$61,2,FALSE()),VLOOKUP(MONTH(D50),'📋 Ohjeet'!$A$50:$C$61,3,FALSE())),"✅ KYLLÄ","❌ EI"))</f>
        <v/>
      </c>
    </row>
    <row r="51" ht="15" customHeight="1" s="30">
      <c r="A51" s="40" t="n"/>
      <c r="B51" s="40" t="n"/>
      <c r="C51" s="40" t="n"/>
      <c r="D51" s="40" t="n"/>
      <c r="E51" s="40" t="n"/>
      <c r="F51" s="40" t="n"/>
      <c r="G51" s="41" t="n"/>
      <c r="H51" s="41" t="n"/>
      <c r="I51" s="41" t="n"/>
      <c r="J51" s="41" t="n"/>
      <c r="K51" s="41" t="n"/>
      <c r="L51" s="41" t="n"/>
      <c r="M51" s="42">
        <f>IF(D51="","",DATEDIF(D51,TODAY(),"Y")+DATEDIF(D51,TODAY(),"YM")/12)</f>
        <v/>
      </c>
      <c r="N51" s="43">
        <f>IF(OR(E51="",G51="",H51="",J51=""),"",IF(E51="P",-9.236+0.0002708*(H51+I51)*(G51-(H51+I51))-0.001663*(M51*(G51-(H51+I51)))+0.007216*(M51*(H51+I51))+0.02292*(J51/G51*100),-9.376+0.0001882*(H51+I51)*(G51-(H51+I51))+0.0022*(M51*(H51+I51))+0.005841*(M51*(H51+I51))-0.002658*(M51*J51)+0.07693*(J51/G51*100)))</f>
        <v/>
      </c>
      <c r="O51" s="44">
        <f>IF(N51="","Ei tiedossa",IF(N51&lt;-1,"Varhainen",IF(N51&lt;0.5,"PHV-huippu","Post-PHV")))</f>
        <v/>
      </c>
      <c r="P51" s="45">
        <f>IF(A51="","",TODAY())</f>
        <v/>
      </c>
      <c r="Q51" s="46" t="n"/>
      <c r="R51" s="47">
        <f>IF(OR(M51="",N51=""),"",M51-N51)</f>
        <v/>
      </c>
      <c r="S51" s="48">
        <f>IF(OR(R51="",D51="",E51=""),"Ei tietoja",IF(R51&gt;=IF(E51="P",VLOOKUP(MONTH(D51),'📋 Ohjeet'!$A$50:$C$61,2,FALSE()),VLOOKUP(MONTH(D51),'📋 Ohjeet'!$A$50:$C$61,3,FALSE())),"✅ KYLLÄ","❌ EI"))</f>
        <v/>
      </c>
    </row>
    <row r="52" ht="15" customHeight="1" s="30">
      <c r="A52" s="49" t="n"/>
      <c r="B52" s="49" t="n"/>
      <c r="C52" s="49" t="n"/>
      <c r="D52" s="49" t="n"/>
      <c r="E52" s="49" t="n"/>
      <c r="F52" s="49" t="n"/>
      <c r="G52" s="50" t="n"/>
      <c r="H52" s="50" t="n"/>
      <c r="I52" s="50" t="n"/>
      <c r="J52" s="50" t="n"/>
      <c r="K52" s="50" t="n"/>
      <c r="L52" s="50" t="n"/>
      <c r="M52" s="51">
        <f>IF(D52="","",DATEDIF(D52,TODAY(),"Y")+DATEDIF(D52,TODAY(),"YM")/12)</f>
        <v/>
      </c>
      <c r="N52" s="52">
        <f>IF(OR(E52="",G52="",H52="",J52=""),"",IF(E52="P",-9.236+0.0002708*(H52+I52)*(G52-(H52+I52))-0.001663*(M52*(G52-(H52+I52)))+0.007216*(M52*(H52+I52))+0.02292*(J52/G52*100),-9.376+0.0001882*(H52+I52)*(G52-(H52+I52))+0.0022*(M52*(H52+I52))+0.005841*(M52*(H52+I52))-0.002658*(M52*J52)+0.07693*(J52/G52*100)))</f>
        <v/>
      </c>
      <c r="O52" s="53">
        <f>IF(N52="","Ei tiedossa",IF(N52&lt;-1,"Varhainen",IF(N52&lt;0.5,"PHV-huippu","Post-PHV")))</f>
        <v/>
      </c>
      <c r="P52" s="54">
        <f>IF(A52="","",TODAY())</f>
        <v/>
      </c>
      <c r="Q52" s="55" t="n"/>
      <c r="R52" s="56">
        <f>IF(OR(M52="",N52=""),"",M52-N52)</f>
        <v/>
      </c>
      <c r="S52" s="57">
        <f>IF(OR(R52="",D52="",E52=""),"Ei tietoja",IF(R52&gt;=IF(E52="P",VLOOKUP(MONTH(D52),'📋 Ohjeet'!$A$50:$C$61,2,FALSE()),VLOOKUP(MONTH(D52),'📋 Ohjeet'!$A$50:$C$61,3,FALSE())),"✅ KYLLÄ","❌ EI"))</f>
        <v/>
      </c>
    </row>
    <row r="53" ht="15" customHeight="1" s="30">
      <c r="A53" s="40" t="n"/>
      <c r="B53" s="40" t="n"/>
      <c r="C53" s="40" t="n"/>
      <c r="D53" s="40" t="n"/>
      <c r="E53" s="40" t="n"/>
      <c r="F53" s="40" t="n"/>
      <c r="G53" s="41" t="n"/>
      <c r="H53" s="41" t="n"/>
      <c r="I53" s="41" t="n"/>
      <c r="J53" s="41" t="n"/>
      <c r="K53" s="41" t="n"/>
      <c r="L53" s="41" t="n"/>
      <c r="M53" s="42">
        <f>IF(D53="","",DATEDIF(D53,TODAY(),"Y")+DATEDIF(D53,TODAY(),"YM")/12)</f>
        <v/>
      </c>
      <c r="N53" s="43">
        <f>IF(OR(E53="",G53="",H53="",J53=""),"",IF(E53="P",-9.236+0.0002708*(H53+I53)*(G53-(H53+I53))-0.001663*(M53*(G53-(H53+I53)))+0.007216*(M53*(H53+I53))+0.02292*(J53/G53*100),-9.376+0.0001882*(H53+I53)*(G53-(H53+I53))+0.0022*(M53*(H53+I53))+0.005841*(M53*(H53+I53))-0.002658*(M53*J53)+0.07693*(J53/G53*100)))</f>
        <v/>
      </c>
      <c r="O53" s="44">
        <f>IF(N53="","Ei tiedossa",IF(N53&lt;-1,"Varhainen",IF(N53&lt;0.5,"PHV-huippu","Post-PHV")))</f>
        <v/>
      </c>
      <c r="P53" s="45">
        <f>IF(A53="","",TODAY())</f>
        <v/>
      </c>
      <c r="Q53" s="46" t="n"/>
      <c r="R53" s="47">
        <f>IF(OR(M53="",N53=""),"",M53-N53)</f>
        <v/>
      </c>
      <c r="S53" s="48">
        <f>IF(OR(R53="",D53="",E53=""),"Ei tietoja",IF(R53&gt;=IF(E53="P",VLOOKUP(MONTH(D53),'📋 Ohjeet'!$A$50:$C$61,2,FALSE()),VLOOKUP(MONTH(D53),'📋 Ohjeet'!$A$50:$C$61,3,FALSE())),"✅ KYLLÄ","❌ EI"))</f>
        <v/>
      </c>
    </row>
    <row r="54" ht="15" customHeight="1" s="30">
      <c r="A54" s="49" t="n"/>
      <c r="B54" s="49" t="n"/>
      <c r="C54" s="49" t="n"/>
      <c r="D54" s="49" t="n"/>
      <c r="E54" s="49" t="n"/>
      <c r="F54" s="49" t="n"/>
      <c r="G54" s="50" t="n"/>
      <c r="H54" s="50" t="n"/>
      <c r="I54" s="50" t="n"/>
      <c r="J54" s="50" t="n"/>
      <c r="K54" s="50" t="n"/>
      <c r="L54" s="50" t="n"/>
      <c r="M54" s="51">
        <f>IF(D54="","",DATEDIF(D54,TODAY(),"Y")+DATEDIF(D54,TODAY(),"YM")/12)</f>
        <v/>
      </c>
      <c r="N54" s="52">
        <f>IF(OR(E54="",G54="",H54="",J54=""),"",IF(E54="P",-9.236+0.0002708*(H54+I54)*(G54-(H54+I54))-0.001663*(M54*(G54-(H54+I54)))+0.007216*(M54*(H54+I54))+0.02292*(J54/G54*100),-9.376+0.0001882*(H54+I54)*(G54-(H54+I54))+0.0022*(M54*(H54+I54))+0.005841*(M54*(H54+I54))-0.002658*(M54*J54)+0.07693*(J54/G54*100)))</f>
        <v/>
      </c>
      <c r="O54" s="53">
        <f>IF(N54="","Ei tiedossa",IF(N54&lt;-1,"Varhainen",IF(N54&lt;0.5,"PHV-huippu","Post-PHV")))</f>
        <v/>
      </c>
      <c r="P54" s="54">
        <f>IF(A54="","",TODAY())</f>
        <v/>
      </c>
      <c r="Q54" s="55" t="n"/>
      <c r="R54" s="56">
        <f>IF(OR(M54="",N54=""),"",M54-N54)</f>
        <v/>
      </c>
      <c r="S54" s="57">
        <f>IF(OR(R54="",D54="",E54=""),"Ei tietoja",IF(R54&gt;=IF(E54="P",VLOOKUP(MONTH(D54),'📋 Ohjeet'!$A$50:$C$61,2,FALSE()),VLOOKUP(MONTH(D54),'📋 Ohjeet'!$A$50:$C$61,3,FALSE())),"✅ KYLLÄ","❌ EI"))</f>
        <v/>
      </c>
    </row>
  </sheetData>
  <mergeCells count="3">
    <mergeCell ref="A3:Q3"/>
    <mergeCell ref="A2:Q2"/>
    <mergeCell ref="A1:Q1"/>
  </mergeCells>
  <dataValidations count="1">
    <dataValidation sqref="E5:E54" showDropDown="0" showInputMessage="1" showErrorMessage="1" allowBlank="1" errorTitle="Virheellinen arvo" error="Käytä P (Poika) tai T (Tyttö)" promptTitle="Sukupuoli" prompt="Syötä P (Poika) tai T (Tyttö)" type="list" errorStyle="stop" operator="between">
      <formula1>"P,T"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2026-03-22T16:00:49Z</dcterms:created>
  <dcterms:modified xmlns:dcterms="http://purl.org/dc/terms/" xmlns:xsi="http://www.w3.org/2001/XMLSchema-instance" xsi:type="dcterms:W3CDTF">2026-03-22T17:34:13Z</dcterms:modified>
  <cp:revision>0</cp:revision>
</cp:coreProperties>
</file>